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emmajohnson/Desktop/Wong Lab/Review Paper/"/>
    </mc:Choice>
  </mc:AlternateContent>
  <xr:revisionPtr revIDLastSave="0" documentId="13_ncr:9_{6CD75C91-4E6E-9B44-94BC-CAA6CFACDF3C}" xr6:coauthVersionLast="47" xr6:coauthVersionMax="47" xr10:uidLastSave="{00000000-0000-0000-0000-000000000000}"/>
  <bookViews>
    <workbookView xWindow="-38260" yWindow="-120" windowWidth="38080" windowHeight="19920" activeTab="1" xr2:uid="{20A15528-01BF-0346-895D-FA00F4DFD14A}"/>
  </bookViews>
  <sheets>
    <sheet name="Original List" sheetId="1" r:id="rId1"/>
    <sheet name="Title and abstract scree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7" i="2" l="1"/>
  <c r="R14" i="2"/>
  <c r="M23" i="2"/>
  <c r="L639" i="1"/>
  <c r="Y2" i="2"/>
  <c r="I50" i="2" l="1"/>
  <c r="I26" i="2"/>
  <c r="I224" i="2"/>
  <c r="I223" i="2"/>
  <c r="I222" i="2"/>
  <c r="I221" i="2"/>
  <c r="I220" i="2"/>
  <c r="I53" i="2"/>
  <c r="I218" i="2"/>
  <c r="I217" i="2"/>
  <c r="I214" i="2"/>
  <c r="I213" i="2"/>
  <c r="I212" i="2"/>
  <c r="I211" i="2"/>
  <c r="I210" i="2"/>
  <c r="I52" i="2"/>
  <c r="I208" i="2"/>
  <c r="I51" i="2"/>
  <c r="I207" i="2"/>
  <c r="I206" i="2"/>
  <c r="I203" i="2"/>
  <c r="I202" i="2"/>
  <c r="I49" i="2"/>
  <c r="I201" i="2"/>
  <c r="I200" i="2"/>
  <c r="I48" i="2"/>
  <c r="I198" i="2"/>
  <c r="I197" i="2"/>
  <c r="I196" i="2"/>
  <c r="I190" i="2"/>
  <c r="I188" i="2"/>
  <c r="I185" i="2"/>
  <c r="I184" i="2"/>
  <c r="I183" i="2"/>
  <c r="I182" i="2"/>
  <c r="I177" i="2"/>
  <c r="I176" i="2"/>
  <c r="I175" i="2"/>
  <c r="I172" i="2"/>
  <c r="I167" i="2"/>
  <c r="I47" i="2"/>
  <c r="I46" i="2"/>
  <c r="I45" i="2"/>
  <c r="I44" i="2"/>
  <c r="I165" i="2"/>
  <c r="I164" i="2"/>
  <c r="I163" i="2"/>
  <c r="I42" i="2"/>
  <c r="I162" i="2"/>
  <c r="I41" i="2"/>
  <c r="I40" i="2"/>
  <c r="I161" i="2"/>
  <c r="I39" i="2"/>
  <c r="I157" i="2"/>
  <c r="I38" i="2"/>
  <c r="I37" i="2"/>
  <c r="I36" i="2"/>
  <c r="I35" i="2"/>
  <c r="I34" i="2"/>
  <c r="I153" i="2"/>
  <c r="I33" i="2"/>
  <c r="I151" i="2"/>
  <c r="I150" i="2"/>
  <c r="I149" i="2"/>
  <c r="I32" i="2"/>
  <c r="I148" i="2"/>
  <c r="I31" i="2"/>
  <c r="I30" i="2"/>
  <c r="I146" i="2"/>
  <c r="I29" i="2"/>
  <c r="I145" i="2"/>
  <c r="I28" i="2"/>
  <c r="I27" i="2"/>
  <c r="I143" i="2"/>
  <c r="I142" i="2"/>
  <c r="I141" i="2"/>
  <c r="I140" i="2"/>
  <c r="I139" i="2"/>
  <c r="I138" i="2"/>
  <c r="I137" i="2"/>
  <c r="I134" i="2"/>
  <c r="I132" i="2"/>
  <c r="I131" i="2"/>
  <c r="I128" i="2"/>
  <c r="I127" i="2"/>
  <c r="I25" i="2"/>
  <c r="I24" i="2"/>
  <c r="I126" i="2"/>
  <c r="I23" i="2"/>
  <c r="I124" i="2"/>
  <c r="I22" i="2"/>
  <c r="I21" i="2"/>
  <c r="I20" i="2"/>
  <c r="I19" i="2"/>
  <c r="I118" i="2"/>
  <c r="I117" i="2"/>
  <c r="I116" i="2"/>
  <c r="I18" i="2"/>
  <c r="I110" i="2"/>
  <c r="I109" i="2"/>
  <c r="I17" i="2"/>
  <c r="I108" i="2"/>
  <c r="I16" i="2"/>
  <c r="I107" i="2"/>
  <c r="I15" i="2"/>
  <c r="I106" i="2"/>
  <c r="I104" i="2"/>
  <c r="I103" i="2"/>
  <c r="I102" i="2"/>
  <c r="I101" i="2"/>
  <c r="I14" i="2"/>
  <c r="I99" i="2"/>
  <c r="I13" i="2"/>
  <c r="I97" i="2"/>
  <c r="I95" i="2"/>
  <c r="I94" i="2"/>
  <c r="I93" i="2"/>
  <c r="I91" i="2"/>
  <c r="I90" i="2"/>
  <c r="I89" i="2"/>
  <c r="I88" i="2"/>
  <c r="I87" i="2"/>
  <c r="I86" i="2"/>
  <c r="I84" i="2"/>
  <c r="I12" i="2"/>
  <c r="I81" i="2"/>
  <c r="I80" i="2"/>
  <c r="I79" i="2"/>
  <c r="I11" i="2"/>
  <c r="I10" i="2"/>
  <c r="I77" i="2"/>
  <c r="I9" i="2"/>
  <c r="I8" i="2"/>
  <c r="I74" i="2"/>
  <c r="I7" i="2"/>
  <c r="I73" i="2"/>
  <c r="I6" i="2"/>
  <c r="I5" i="2"/>
  <c r="I72" i="2"/>
  <c r="I4" i="2"/>
  <c r="I3" i="2"/>
  <c r="I71" i="2"/>
  <c r="I2" i="2"/>
  <c r="I69" i="2"/>
  <c r="I65" i="2"/>
  <c r="I64" i="2"/>
  <c r="I62" i="2"/>
  <c r="I59" i="2"/>
  <c r="I58" i="2"/>
  <c r="I219" i="2"/>
  <c r="I216" i="2"/>
  <c r="I215" i="2"/>
  <c r="I209" i="2"/>
  <c r="I205" i="2"/>
  <c r="I204" i="2"/>
  <c r="I199" i="2"/>
  <c r="I194" i="2"/>
  <c r="I193" i="2"/>
  <c r="I192" i="2"/>
  <c r="I191" i="2"/>
  <c r="I189" i="2"/>
  <c r="I187" i="2"/>
  <c r="I186" i="2"/>
  <c r="I181" i="2"/>
  <c r="I180" i="2"/>
  <c r="I179" i="2"/>
  <c r="I178" i="2"/>
  <c r="I174" i="2"/>
  <c r="I173" i="2"/>
  <c r="I171" i="2"/>
  <c r="I170" i="2"/>
  <c r="I169" i="2"/>
  <c r="I168" i="2"/>
  <c r="I166" i="2"/>
  <c r="I160" i="2"/>
  <c r="I159" i="2"/>
  <c r="I158" i="2"/>
  <c r="I156" i="2"/>
  <c r="I155" i="2"/>
  <c r="I154" i="2"/>
  <c r="I152" i="2"/>
  <c r="I147" i="2"/>
  <c r="I144" i="2"/>
  <c r="I136" i="2"/>
  <c r="I135" i="2"/>
  <c r="I133" i="2"/>
  <c r="I130" i="2"/>
  <c r="I129" i="2"/>
  <c r="I125" i="2"/>
  <c r="I123" i="2"/>
  <c r="I122" i="2"/>
  <c r="I121" i="2"/>
  <c r="I120" i="2"/>
  <c r="I119" i="2"/>
  <c r="I115" i="2"/>
  <c r="I114" i="2"/>
  <c r="I113" i="2"/>
  <c r="I112" i="2"/>
  <c r="I111" i="2"/>
  <c r="I105" i="2"/>
  <c r="I100" i="2"/>
  <c r="I98" i="2"/>
  <c r="I96" i="2"/>
  <c r="I92" i="2"/>
  <c r="I85" i="2"/>
  <c r="I83" i="2"/>
  <c r="I82" i="2"/>
  <c r="I78" i="2"/>
  <c r="I76" i="2"/>
  <c r="I75" i="2"/>
  <c r="I70" i="2"/>
  <c r="I68" i="2"/>
  <c r="I67" i="2"/>
  <c r="I66" i="2"/>
  <c r="I63" i="2"/>
  <c r="I61" i="2"/>
  <c r="I60" i="2"/>
  <c r="I56" i="2"/>
  <c r="I55" i="2"/>
  <c r="I54" i="2"/>
  <c r="I566" i="1" l="1"/>
  <c r="I611" i="1"/>
  <c r="I420" i="1"/>
  <c r="I820" i="1"/>
  <c r="I363" i="1"/>
  <c r="I742" i="1"/>
  <c r="I579" i="1"/>
  <c r="I694" i="1"/>
  <c r="I720" i="1"/>
  <c r="I503" i="1"/>
  <c r="I702" i="1"/>
  <c r="I782" i="1"/>
  <c r="I505" i="1"/>
  <c r="I732" i="1"/>
  <c r="I773" i="1"/>
  <c r="I822" i="1"/>
  <c r="I119" i="1"/>
  <c r="I803" i="1"/>
  <c r="I512" i="1"/>
  <c r="I799" i="1"/>
  <c r="I652" i="1"/>
  <c r="I745" i="1"/>
  <c r="I122" i="1"/>
  <c r="I689" i="1"/>
  <c r="I839" i="1"/>
  <c r="I640" i="1"/>
  <c r="I648" i="1"/>
  <c r="I547" i="1"/>
  <c r="I274" i="1"/>
  <c r="I425" i="1"/>
  <c r="I135" i="1"/>
  <c r="I335" i="1"/>
  <c r="I804" i="1"/>
  <c r="I554" i="1"/>
  <c r="I20" i="1"/>
  <c r="I808" i="1"/>
  <c r="I850" i="1"/>
  <c r="I676" i="1"/>
  <c r="I851" i="1"/>
  <c r="I758" i="1"/>
  <c r="I240" i="1"/>
  <c r="I777" i="1"/>
  <c r="I691" i="1"/>
  <c r="I639" i="1"/>
  <c r="I103" i="1"/>
  <c r="I651" i="1"/>
  <c r="I581" i="1"/>
  <c r="I798" i="1"/>
  <c r="I778" i="1"/>
  <c r="I726" i="1"/>
  <c r="I671" i="1"/>
  <c r="I294" i="1"/>
  <c r="I352" i="1"/>
  <c r="I580" i="1"/>
  <c r="I176" i="1"/>
  <c r="I206" i="1"/>
  <c r="I800" i="1"/>
  <c r="I679" i="1"/>
  <c r="I12" i="1"/>
  <c r="I809" i="1"/>
  <c r="I754" i="1"/>
  <c r="I824" i="1"/>
  <c r="I674" i="1"/>
  <c r="I836" i="1"/>
  <c r="I104" i="1"/>
  <c r="I668" i="1"/>
  <c r="I687" i="1"/>
  <c r="I769" i="1"/>
  <c r="I459" i="1"/>
  <c r="I780" i="1"/>
  <c r="I810" i="1"/>
  <c r="I690" i="1"/>
  <c r="I653" i="1"/>
  <c r="I717" i="1"/>
  <c r="I514" i="1"/>
  <c r="I743" i="1"/>
  <c r="I675" i="1"/>
  <c r="I730" i="1"/>
  <c r="I219" i="1"/>
  <c r="I467" i="1"/>
  <c r="I641" i="1"/>
  <c r="I821" i="1"/>
  <c r="I233" i="1"/>
  <c r="I342" i="1"/>
  <c r="I510" i="1"/>
  <c r="I819" i="1"/>
  <c r="I681" i="1"/>
  <c r="I646" i="1"/>
  <c r="I784" i="1"/>
  <c r="I645" i="1"/>
  <c r="I805" i="1"/>
  <c r="I744" i="1"/>
  <c r="I663" i="1"/>
  <c r="I661" i="1"/>
  <c r="I148" i="1"/>
  <c r="I816" i="1"/>
  <c r="I647" i="1"/>
  <c r="I506" i="1"/>
  <c r="I797" i="1"/>
  <c r="I336" i="1"/>
  <c r="I592" i="1"/>
  <c r="I667" i="1"/>
  <c r="I728" i="1"/>
  <c r="I642" i="1"/>
  <c r="I19" i="1"/>
  <c r="I241" i="1"/>
  <c r="I760" i="1"/>
  <c r="I269" i="1"/>
  <c r="I191" i="1"/>
  <c r="I543" i="1"/>
  <c r="I842" i="1"/>
  <c r="I723" i="1"/>
  <c r="I795" i="1"/>
  <c r="I807" i="1"/>
  <c r="I455" i="1"/>
  <c r="I471" i="1"/>
  <c r="I288" i="1"/>
  <c r="I729" i="1"/>
  <c r="I672" i="1"/>
  <c r="I254" i="1"/>
  <c r="I359" i="1"/>
  <c r="I658" i="1"/>
  <c r="I785" i="1"/>
  <c r="I333" i="1"/>
  <c r="I528" i="1"/>
  <c r="I214" i="1"/>
  <c r="I118" i="1"/>
  <c r="I373" i="1"/>
  <c r="I620" i="1"/>
  <c r="I285" i="1"/>
  <c r="I793" i="1"/>
  <c r="I426" i="1"/>
  <c r="I70" i="1"/>
  <c r="I484" i="1"/>
  <c r="I408" i="1"/>
  <c r="I565" i="1"/>
  <c r="I145" i="1"/>
  <c r="I453" i="1"/>
  <c r="I568" i="1"/>
  <c r="I715" i="1"/>
  <c r="I75" i="1"/>
  <c r="I339" i="1"/>
  <c r="I569" i="1"/>
  <c r="I64" i="1"/>
  <c r="I152" i="1"/>
  <c r="I567" i="1"/>
  <c r="I224" i="1"/>
  <c r="I615" i="1"/>
  <c r="I563" i="1"/>
  <c r="I65" i="1"/>
  <c r="I678" i="1"/>
  <c r="I460" i="1"/>
  <c r="I540" i="1"/>
  <c r="I721" i="1"/>
  <c r="I557" i="1"/>
  <c r="I358" i="1"/>
  <c r="I643" i="1"/>
  <c r="I432" i="1"/>
  <c r="I146" i="1"/>
  <c r="I792" i="1"/>
  <c r="I631" i="1"/>
  <c r="I126" i="1"/>
  <c r="I97" i="1"/>
  <c r="I644" i="1"/>
  <c r="I413" i="1"/>
  <c r="I71" i="1"/>
  <c r="I772" i="1"/>
  <c r="I194" i="1"/>
  <c r="I25" i="1"/>
  <c r="I468" i="1"/>
  <c r="I693" i="1"/>
  <c r="I396" i="1"/>
  <c r="I498" i="1"/>
  <c r="I521" i="1"/>
  <c r="I701" i="1"/>
  <c r="I556" i="1"/>
  <c r="I680" i="1"/>
  <c r="I86" i="1"/>
  <c r="I573" i="1"/>
  <c r="I589" i="1"/>
  <c r="I140" i="1"/>
  <c r="I788" i="1"/>
  <c r="I840" i="1"/>
  <c r="I559" i="1"/>
  <c r="I465" i="1"/>
  <c r="I166" i="1"/>
  <c r="I831" i="1"/>
  <c r="I63" i="1"/>
  <c r="I845" i="1"/>
  <c r="I552" i="1"/>
  <c r="I79" i="1"/>
  <c r="I205" i="1"/>
  <c r="I818" i="1"/>
  <c r="I248" i="1"/>
  <c r="I710" i="1"/>
  <c r="I603" i="1"/>
  <c r="I827" i="1"/>
  <c r="I230" i="1"/>
  <c r="I737" i="1"/>
  <c r="I32" i="1"/>
  <c r="I806" i="1"/>
  <c r="I826" i="1"/>
  <c r="I376" i="1"/>
  <c r="I464" i="1"/>
  <c r="I332" i="1"/>
  <c r="I656" i="1"/>
  <c r="I781" i="1"/>
  <c r="I159" i="1"/>
  <c r="I112" i="1"/>
  <c r="I466" i="1"/>
  <c r="I197" i="1"/>
  <c r="I699" i="1"/>
  <c r="I178" i="1"/>
  <c r="I716" i="1"/>
  <c r="I697" i="1"/>
  <c r="I306" i="1"/>
  <c r="I367" i="1"/>
  <c r="I564" i="1"/>
  <c r="I684" i="1"/>
  <c r="I734" i="1"/>
  <c r="I105" i="1"/>
  <c r="I727" i="1"/>
  <c r="I677" i="1"/>
  <c r="I238" i="1"/>
  <c r="I106" i="1"/>
  <c r="I830" i="1"/>
  <c r="I237" i="1"/>
  <c r="I764" i="1"/>
  <c r="I419" i="1"/>
  <c r="I731" i="1"/>
  <c r="I590" i="1"/>
  <c r="I136" i="1"/>
  <c r="I490" i="1"/>
  <c r="I193" i="1"/>
  <c r="I292" i="1"/>
  <c r="I767" i="1"/>
  <c r="I416" i="1"/>
  <c r="I181" i="1"/>
  <c r="I768" i="1"/>
  <c r="I657" i="1"/>
  <c r="I486" i="1"/>
  <c r="I823" i="1"/>
  <c r="I838" i="1"/>
  <c r="I786" i="1"/>
  <c r="I859" i="1"/>
  <c r="I283" i="1"/>
  <c r="I724" i="1"/>
  <c r="I485" i="1"/>
  <c r="I832" i="1"/>
  <c r="I703" i="1"/>
  <c r="I847" i="1"/>
  <c r="I849" i="1"/>
  <c r="I705" i="1"/>
  <c r="I843" i="1"/>
  <c r="I418" i="1"/>
  <c r="I218" i="1"/>
  <c r="I774" i="1"/>
  <c r="I698" i="1"/>
  <c r="I114" i="1"/>
  <c r="I835" i="1"/>
  <c r="I770" i="1"/>
  <c r="I761" i="1"/>
  <c r="I550" i="1"/>
  <c r="I362" i="1"/>
  <c r="I779" i="1"/>
  <c r="I524" i="1"/>
  <c r="I483" i="1"/>
  <c r="I366" i="1"/>
  <c r="I558" i="1"/>
  <c r="I791" i="1"/>
  <c r="I712" i="1"/>
  <c r="I660" i="1"/>
  <c r="I711" i="1"/>
  <c r="I469" i="1"/>
  <c r="I189" i="1"/>
  <c r="I606" i="1"/>
  <c r="I209" i="1"/>
  <c r="I541" i="1"/>
  <c r="I527" i="1"/>
  <c r="I502" i="1"/>
  <c r="I757" i="1"/>
  <c r="I533" i="1"/>
  <c r="I833" i="1"/>
  <c r="I9" i="1"/>
  <c r="I688" i="1"/>
  <c r="I776" i="1"/>
  <c r="I665" i="1"/>
  <c r="I618" i="1"/>
  <c r="I700" i="1"/>
  <c r="I855" i="1"/>
  <c r="I98" i="1"/>
  <c r="I738" i="1"/>
  <c r="I247" i="1"/>
  <c r="I695" i="1"/>
  <c r="I683" i="1"/>
  <c r="I587" i="1"/>
  <c r="I829" i="1"/>
  <c r="I682" i="1"/>
  <c r="I654" i="1"/>
  <c r="I572" i="1"/>
  <c r="I570" i="1"/>
  <c r="I54" i="1"/>
  <c r="I522" i="1"/>
  <c r="I258" i="1"/>
  <c r="I828" i="1"/>
  <c r="I216" i="1"/>
  <c r="I382" i="1"/>
  <c r="I384" i="1"/>
  <c r="I713" i="1"/>
  <c r="I319" i="1"/>
  <c r="I666" i="1"/>
  <c r="I635" i="1"/>
  <c r="I670" i="1"/>
  <c r="I130" i="1"/>
  <c r="I123" i="1"/>
  <c r="I21" i="1"/>
  <c r="I223" i="1"/>
  <c r="I853" i="1"/>
  <c r="I68" i="1"/>
  <c r="I538" i="1"/>
  <c r="I752" i="1"/>
  <c r="I747" i="1"/>
  <c r="I578" i="1"/>
  <c r="I322" i="1"/>
  <c r="I801" i="1"/>
  <c r="I389" i="1"/>
  <c r="I324" i="1"/>
  <c r="I368" i="1"/>
  <c r="I696" i="1"/>
  <c r="I794" i="1"/>
  <c r="I733" i="1"/>
  <c r="I834" i="1"/>
  <c r="I458" i="1"/>
  <c r="I796" i="1"/>
  <c r="I714" i="1"/>
  <c r="I156" i="1"/>
  <c r="I232" i="1"/>
  <c r="I7" i="1"/>
  <c r="I301" i="1"/>
  <c r="I848" i="1"/>
  <c r="I765" i="1"/>
  <c r="I217" i="1"/>
  <c r="I95" i="1"/>
  <c r="I596" i="1"/>
  <c r="I440" i="1"/>
  <c r="I709" i="1"/>
  <c r="I354" i="1"/>
  <c r="I852" i="1"/>
  <c r="I150" i="1"/>
  <c r="I591" i="1"/>
  <c r="I746" i="1"/>
  <c r="I607" i="1"/>
  <c r="I207" i="1"/>
  <c r="I284" i="1"/>
  <c r="I813" i="1"/>
  <c r="I212" i="1"/>
  <c r="I108" i="1"/>
  <c r="I814" i="1"/>
  <c r="I29" i="1"/>
  <c r="I854" i="1"/>
  <c r="I417" i="1"/>
  <c r="I616" i="1"/>
  <c r="I751" i="1"/>
  <c r="I741" i="1"/>
  <c r="I756" i="1"/>
  <c r="I236" i="1"/>
  <c r="I685" i="1"/>
  <c r="I155" i="1"/>
  <c r="I41" i="1"/>
  <c r="I94" i="1"/>
  <c r="I402" i="1"/>
  <c r="I260" i="1"/>
  <c r="I669" i="1"/>
  <c r="I516" i="1"/>
  <c r="I220" i="1"/>
  <c r="I180" i="1"/>
  <c r="I740" i="1"/>
  <c r="I344" i="1"/>
  <c r="I636" i="1"/>
  <c r="I15" i="1"/>
  <c r="I613" i="1"/>
  <c r="I462" i="1"/>
  <c r="I815" i="1"/>
  <c r="I739" i="1"/>
  <c r="I441" i="1"/>
  <c r="I77" i="1"/>
  <c r="I473" i="1"/>
  <c r="I361" i="1"/>
  <c r="I89" i="1"/>
  <c r="I313" i="1"/>
  <c r="I421" i="1"/>
  <c r="I662" i="1"/>
  <c r="I213" i="1"/>
  <c r="I736" i="1"/>
  <c r="I523" i="1"/>
  <c r="I495" i="1"/>
  <c r="I766" i="1"/>
  <c r="I673" i="1"/>
  <c r="I138" i="1"/>
  <c r="I812" i="1"/>
  <c r="I128" i="1"/>
  <c r="I93" i="1"/>
  <c r="I144" i="1"/>
  <c r="I242" i="1"/>
  <c r="I526" i="1"/>
  <c r="I771" i="1"/>
  <c r="I604" i="1"/>
  <c r="I169" i="1"/>
  <c r="I423" i="1"/>
  <c r="I614" i="1"/>
  <c r="I551" i="1"/>
  <c r="I719" i="1"/>
  <c r="I775" i="1"/>
  <c r="I280" i="1"/>
  <c r="I783" i="1"/>
  <c r="I272" i="1"/>
  <c r="I132" i="1"/>
  <c r="I330" i="1"/>
  <c r="I718" i="1"/>
  <c r="I302" i="1"/>
  <c r="I789" i="1"/>
  <c r="I844" i="1"/>
  <c r="I100" i="1"/>
  <c r="I53" i="1"/>
  <c r="I370" i="1"/>
  <c r="I649" i="1"/>
  <c r="I525" i="1"/>
  <c r="I250" i="1"/>
  <c r="I811" i="1"/>
  <c r="I287" i="1"/>
  <c r="I385" i="1"/>
  <c r="I461" i="1"/>
  <c r="I488" i="1"/>
  <c r="I61" i="1"/>
  <c r="I586" i="1"/>
  <c r="I91" i="1"/>
  <c r="I151" i="1"/>
  <c r="I595" i="1"/>
  <c r="I401" i="1"/>
  <c r="I457" i="1"/>
  <c r="I3" i="1"/>
  <c r="I222" i="1"/>
  <c r="I35" i="1"/>
  <c r="I860" i="1"/>
  <c r="I456" i="1"/>
  <c r="I42" i="1"/>
  <c r="I692" i="1"/>
  <c r="I431" i="1"/>
  <c r="I74" i="1"/>
  <c r="I87" i="1"/>
  <c r="I858" i="1"/>
  <c r="I297" i="1"/>
  <c r="I51" i="1"/>
  <c r="I137" i="1"/>
  <c r="I90" i="1"/>
  <c r="I444" i="1"/>
  <c r="I101" i="1"/>
  <c r="I18" i="1"/>
  <c r="I748" i="1"/>
  <c r="I266" i="1"/>
  <c r="I449" i="1"/>
  <c r="I395" i="1"/>
  <c r="I544" i="1"/>
  <c r="I182" i="1"/>
  <c r="I633" i="1"/>
  <c r="I837" i="1"/>
  <c r="I445" i="1"/>
  <c r="I338" i="1"/>
  <c r="I175" i="1"/>
  <c r="I542" i="1"/>
  <c r="I436" i="1"/>
  <c r="I856" i="1"/>
  <c r="I513" i="1"/>
  <c r="I81" i="1"/>
  <c r="I369" i="1"/>
  <c r="I271" i="1"/>
  <c r="I309" i="1"/>
  <c r="I298" i="1"/>
  <c r="I802" i="1"/>
  <c r="I34" i="1"/>
  <c r="I846" i="1"/>
  <c r="I215" i="1"/>
  <c r="I315" i="1"/>
  <c r="I735" i="1"/>
  <c r="I295" i="1"/>
  <c r="I509" i="1"/>
  <c r="I481" i="1"/>
  <c r="I755" i="1"/>
  <c r="I296" i="1"/>
  <c r="I397" i="1"/>
  <c r="I531" i="1"/>
  <c r="I424" i="1"/>
  <c r="I380" i="1"/>
  <c r="I470" i="1"/>
  <c r="I310" i="1"/>
  <c r="I532" i="1"/>
  <c r="I452" i="1"/>
  <c r="I265" i="1"/>
  <c r="I472" i="1"/>
  <c r="I625" i="1"/>
  <c r="I520" i="1"/>
  <c r="I391" i="1"/>
  <c r="I102" i="1"/>
  <c r="I311" i="1"/>
  <c r="I518" i="1"/>
  <c r="I350" i="1"/>
  <c r="I659" i="1"/>
  <c r="I171" i="1"/>
  <c r="I26" i="1"/>
  <c r="I22" i="1"/>
  <c r="I584" i="1"/>
  <c r="I627" i="1"/>
  <c r="I704" i="1"/>
  <c r="I96" i="1"/>
  <c r="I340" i="1"/>
  <c r="I529" i="1"/>
  <c r="I78" i="1"/>
  <c r="I160" i="1"/>
  <c r="I442" i="1"/>
  <c r="I493" i="1"/>
  <c r="I454" i="1"/>
  <c r="I277" i="1"/>
  <c r="I504" i="1"/>
  <c r="I270" i="1"/>
  <c r="I560" i="1"/>
  <c r="I433" i="1"/>
  <c r="I585" i="1"/>
  <c r="I203" i="1"/>
  <c r="I10" i="1"/>
  <c r="I555" i="1"/>
  <c r="I414" i="1"/>
  <c r="I561" i="1"/>
  <c r="I318" i="1"/>
  <c r="I407" i="1"/>
  <c r="I753" i="1"/>
  <c r="I347" i="1"/>
  <c r="I548" i="1"/>
  <c r="I571" i="1"/>
  <c r="I198" i="1"/>
  <c r="I511" i="1"/>
  <c r="I273" i="1"/>
  <c r="I346" i="1"/>
  <c r="I582" i="1"/>
  <c r="I706" i="1"/>
  <c r="I6" i="1"/>
  <c r="I320" i="1"/>
  <c r="I109" i="1"/>
  <c r="I562" i="1"/>
  <c r="I120" i="1"/>
  <c r="I307" i="1"/>
  <c r="I725" i="1"/>
  <c r="I634" i="1"/>
  <c r="I161" i="1"/>
  <c r="I759" i="1"/>
  <c r="I405" i="1"/>
  <c r="I499" i="1"/>
  <c r="I58" i="1"/>
  <c r="I479" i="1"/>
  <c r="I110" i="1"/>
  <c r="I494" i="1"/>
  <c r="I73" i="1"/>
  <c r="I289" i="1"/>
  <c r="I210" i="1"/>
  <c r="I5" i="1"/>
  <c r="I619" i="1"/>
  <c r="I249" i="1"/>
  <c r="I388" i="1"/>
  <c r="I4" i="1"/>
  <c r="I170" i="1"/>
  <c r="I621" i="1"/>
  <c r="I208" i="1"/>
  <c r="I857" i="1"/>
  <c r="I227" i="1"/>
  <c r="I372" i="1"/>
  <c r="I329" i="1"/>
  <c r="I398" i="1"/>
  <c r="I447" i="1"/>
  <c r="I82" i="1"/>
  <c r="I546" i="1"/>
  <c r="I577" i="1"/>
  <c r="I686" i="1"/>
  <c r="I608" i="1"/>
  <c r="I787" i="1"/>
  <c r="I276" i="1"/>
  <c r="I492" i="1"/>
  <c r="I722" i="1"/>
  <c r="I314" i="1"/>
  <c r="I763" i="1"/>
  <c r="I597" i="1"/>
  <c r="I113" i="1"/>
  <c r="I427" i="1"/>
  <c r="I610" i="1"/>
  <c r="I394" i="1"/>
  <c r="I174" i="1"/>
  <c r="I72" i="1"/>
  <c r="I107" i="1"/>
  <c r="I226" i="1"/>
  <c r="I638" i="1"/>
  <c r="I251" i="1"/>
  <c r="I553" i="1"/>
  <c r="I45" i="1"/>
  <c r="I304" i="1"/>
  <c r="I211" i="1"/>
  <c r="I334" i="1"/>
  <c r="I308" i="1"/>
  <c r="I491" i="1"/>
  <c r="I165" i="1"/>
  <c r="I463" i="1"/>
  <c r="I434" i="1"/>
  <c r="I403" i="1"/>
  <c r="I326" i="1"/>
  <c r="I655" i="1"/>
  <c r="I410" i="1"/>
  <c r="I14" i="1"/>
  <c r="I536" i="1"/>
  <c r="I530" i="1"/>
  <c r="I188" i="1"/>
  <c r="I387" i="1"/>
  <c r="I379" i="1"/>
  <c r="I624" i="1"/>
  <c r="I630" i="1"/>
  <c r="I129" i="1"/>
  <c r="I47" i="1"/>
  <c r="I76" i="1"/>
  <c r="I496" i="1"/>
  <c r="I85" i="1"/>
  <c r="I583" i="1"/>
  <c r="I341" i="1"/>
  <c r="I92" i="1"/>
  <c r="I141" i="1"/>
  <c r="I99" i="1"/>
  <c r="I229" i="1"/>
  <c r="I83" i="1"/>
  <c r="I355" i="1"/>
  <c r="I59" i="1"/>
  <c r="I157" i="1"/>
  <c r="I415" i="1"/>
  <c r="I202" i="1"/>
  <c r="I17" i="1"/>
  <c r="I841" i="1"/>
  <c r="I263" i="1"/>
  <c r="I650" i="1"/>
  <c r="I8" i="1"/>
  <c r="I44" i="1"/>
  <c r="I383" i="1"/>
  <c r="I450" i="1"/>
  <c r="I549" i="1"/>
  <c r="I508" i="1"/>
  <c r="I476" i="1"/>
  <c r="I598" i="1"/>
  <c r="I411" i="1"/>
  <c r="I617" i="1"/>
  <c r="I293" i="1"/>
  <c r="I500" i="1"/>
  <c r="I143" i="1"/>
  <c r="I40" i="1"/>
  <c r="I43" i="1"/>
  <c r="I497" i="1"/>
  <c r="I477" i="1"/>
  <c r="I257" i="1"/>
  <c r="I429" i="1"/>
  <c r="I623" i="1"/>
  <c r="I133" i="1"/>
  <c r="I192" i="1"/>
  <c r="I430" i="1"/>
  <c r="I131" i="1"/>
  <c r="I749" i="1"/>
  <c r="I323" i="1"/>
  <c r="I231" i="1"/>
  <c r="I184" i="1"/>
  <c r="I299" i="1"/>
  <c r="I337" i="1"/>
  <c r="I23" i="1"/>
  <c r="I62" i="1"/>
  <c r="I637" i="1"/>
  <c r="I179" i="1"/>
  <c r="I817" i="1"/>
  <c r="I60" i="1"/>
  <c r="I190" i="1"/>
  <c r="I67" i="1"/>
  <c r="I328" i="1"/>
  <c r="I378" i="1"/>
  <c r="I400" i="1"/>
  <c r="I56" i="1"/>
  <c r="I588" i="1"/>
  <c r="I446" i="1"/>
  <c r="I16" i="1"/>
  <c r="I303" i="1"/>
  <c r="I348" i="1"/>
  <c r="I375" i="1"/>
  <c r="I390" i="1"/>
  <c r="I201" i="1"/>
  <c r="I84" i="1"/>
  <c r="I245" i="1"/>
  <c r="I49" i="1"/>
  <c r="I46" i="1"/>
  <c r="I279" i="1"/>
  <c r="I594" i="1"/>
  <c r="I474" i="1"/>
  <c r="I31" i="1"/>
  <c r="I422" i="1"/>
  <c r="I377" i="1"/>
  <c r="I708" i="1"/>
  <c r="I507" i="1"/>
  <c r="I605" i="1"/>
  <c r="I482" i="1"/>
  <c r="I80" i="1"/>
  <c r="I393" i="1"/>
  <c r="I33" i="1"/>
  <c r="I24" i="1"/>
  <c r="I365" i="1"/>
  <c r="I371" i="1"/>
  <c r="I629" i="1"/>
  <c r="I183" i="1"/>
  <c r="I351" i="1"/>
  <c r="I628" i="1"/>
  <c r="I343" i="1"/>
  <c r="I612" i="1"/>
  <c r="I364" i="1"/>
  <c r="I48" i="1"/>
  <c r="I158" i="1"/>
  <c r="I167" i="1"/>
  <c r="I186" i="1"/>
  <c r="I412" i="1"/>
  <c r="I762" i="1"/>
  <c r="I124" i="1"/>
  <c r="I39" i="1"/>
  <c r="I622" i="1"/>
  <c r="I575" i="1"/>
  <c r="I489" i="1"/>
  <c r="I153" i="1"/>
  <c r="I2" i="1"/>
  <c r="I11" i="1"/>
  <c r="I609" i="1"/>
  <c r="I399" i="1"/>
  <c r="I30" i="1"/>
  <c r="I374" i="1"/>
  <c r="I312" i="1"/>
  <c r="I291" i="1"/>
  <c r="I111" i="1"/>
  <c r="I300" i="1"/>
  <c r="I199" i="1"/>
  <c r="I321" i="1"/>
  <c r="I125" i="1"/>
  <c r="I154" i="1"/>
  <c r="I406" i="1"/>
  <c r="I357" i="1"/>
  <c r="I282" i="1"/>
  <c r="I28" i="1"/>
  <c r="I428" i="1"/>
  <c r="I437" i="1"/>
  <c r="I601" i="1"/>
  <c r="I221" i="1"/>
  <c r="I515" i="1"/>
  <c r="I501" i="1"/>
  <c r="I55" i="1"/>
  <c r="I185" i="1"/>
  <c r="I259" i="1"/>
  <c r="I115" i="1"/>
  <c r="I162" i="1"/>
  <c r="I172" i="1"/>
  <c r="I281" i="1"/>
  <c r="I13" i="1"/>
  <c r="I386" i="1"/>
  <c r="I345" i="1"/>
  <c r="I537" i="1"/>
  <c r="I168" i="1"/>
  <c r="I349" i="1"/>
  <c r="I632" i="1"/>
  <c r="I52" i="1"/>
  <c r="I261" i="1"/>
  <c r="I317" i="1"/>
  <c r="I139" i="1"/>
  <c r="I602" i="1"/>
  <c r="I435" i="1"/>
  <c r="I539" i="1"/>
  <c r="I187" i="1"/>
  <c r="I69" i="1"/>
  <c r="I200" i="1"/>
  <c r="I239" i="1"/>
  <c r="I707" i="1"/>
  <c r="I234" i="1"/>
  <c r="I404" i="1"/>
  <c r="I545" i="1"/>
  <c r="I478" i="1"/>
  <c r="I173" i="1"/>
  <c r="I142" i="1"/>
  <c r="I66" i="1"/>
  <c r="I275" i="1"/>
  <c r="I750" i="1"/>
  <c r="I228" i="1"/>
  <c r="I116" i="1"/>
  <c r="I256" i="1"/>
  <c r="I235" i="1"/>
  <c r="I252" i="1"/>
  <c r="I57" i="1"/>
  <c r="I327" i="1"/>
  <c r="I255" i="1"/>
  <c r="I331" i="1"/>
  <c r="I664" i="1"/>
  <c r="I356" i="1"/>
  <c r="I535" i="1"/>
  <c r="I475" i="1"/>
  <c r="I443" i="1"/>
  <c r="I576" i="1"/>
  <c r="I267" i="1"/>
  <c r="I487" i="1"/>
  <c r="I36" i="1"/>
  <c r="I316" i="1"/>
  <c r="I38" i="1"/>
  <c r="I278" i="1"/>
  <c r="I438" i="1"/>
  <c r="I480" i="1"/>
  <c r="I37" i="1"/>
  <c r="I517" i="1"/>
  <c r="I392" i="1"/>
  <c r="I599" i="1"/>
  <c r="I290" i="1"/>
  <c r="I268" i="1"/>
  <c r="I50" i="1"/>
  <c r="I177" i="1"/>
  <c r="I147" i="1"/>
  <c r="I196" i="1"/>
  <c r="I286" i="1"/>
  <c r="I164" i="1"/>
  <c r="I27" i="1"/>
  <c r="I163" i="1"/>
  <c r="I519" i="1"/>
  <c r="I409" i="1"/>
  <c r="I127" i="1"/>
  <c r="I360" i="1"/>
  <c r="I626" i="1"/>
  <c r="I600" i="1"/>
  <c r="I204" i="1"/>
  <c r="I264" i="1"/>
  <c r="I121" i="1"/>
  <c r="I381" i="1"/>
  <c r="I448" i="1"/>
  <c r="I439" i="1"/>
  <c r="I325" i="1"/>
  <c r="I243" i="1"/>
  <c r="I353" i="1"/>
</calcChain>
</file>

<file path=xl/sharedStrings.xml><?xml version="1.0" encoding="utf-8"?>
<sst xmlns="http://schemas.openxmlformats.org/spreadsheetml/2006/main" count="7488" uniqueCount="4022">
  <si>
    <t>Publication Type</t>
  </si>
  <si>
    <t>Authors</t>
  </si>
  <si>
    <t>Article Title</t>
  </si>
  <si>
    <t>Source Title</t>
  </si>
  <si>
    <t>Abstract</t>
  </si>
  <si>
    <t>Publication Date</t>
  </si>
  <si>
    <t>Publication Year</t>
  </si>
  <si>
    <t>DOI</t>
  </si>
  <si>
    <t>DOI Link</t>
  </si>
  <si>
    <t>J</t>
  </si>
  <si>
    <t>Vieira, GC; D'Avila, MF; Zanini, R; Depra, M; Valente, VLD</t>
  </si>
  <si>
    <t/>
  </si>
  <si>
    <t>Evolution of DNMT2 in drosophilids: Evidence for positive and purifying selection and insights into new protein (pathways) interactions</t>
  </si>
  <si>
    <t>GENETICS AND MOLECULAR BIOLOGY</t>
  </si>
  <si>
    <t>The DNA methyltransferase 2 (DNMT2) protein is the most conserved member of the DNA methyltransferase family. Nevertheless, its substrate specificity is still controversial and elusive. The genomic role and determinants of DNA methylation are poorly understood in invertebrates, and several mechanisms and associations are suggested. In Drosophila, the only known DNMT gene is Dnmt2. Here we present our findings from a wide search for Dnmt2 homologs in 68 species of Drosophilidae. We investigated its molecular evolution, and in our phylogenetic analyses the main clades of Drosophilidae species were recovered. We tested whether the Dnmt2 has evolved neutrally or under positive selection along the subgenera Drosophila and Sophophora and investigated positive selection in relation to several physicochemical properties. Despite of a major selective constraint on Dnmt2, we detected six sites under positive selection. Regarding the DNMT2 protein, 12 sites under positive-destabilizing selection were found, which suggests a selection that favors structural and functional shifts in the protein. The search for new potential protein partners with DNMT2 revealed 15 proteins with high evolutionary rate covariation (ERC), indicating a plurality of DNMT2 functions in different pathways. These events might represent signs of molecular adaptation, with molecular peculiarities arising from the diversity of evolutionary histories experienced by drosophilids.</t>
  </si>
  <si>
    <t>S</t>
  </si>
  <si>
    <t>10.1590/1678-4685-GMB-2017-0056</t>
  </si>
  <si>
    <t>Yang, QZ; Antonov, I; Castillejos, D; Nagaraj, A; Bostwick, C; Kohn, A; Moroz, L; Hawkins, RD</t>
  </si>
  <si>
    <t>Intermediate-term memory in Aplysia involves neurotrophin signaling, transcription, and DNA methylation</t>
  </si>
  <si>
    <t>LEARNING &amp; MEMORY</t>
  </si>
  <si>
    <t>Long-term but not short-term memory and synaptic plasticity in many brain areas require neurotrophin signaling, transcription, and epigenetic mechanisms including DNA methylation. However, it has been difficult to relate these cellular mechanisms directly to behavior because of the immense complexity of the mammalian brain. To address that problem, we and others have examined numerically simpler systems such as the hermaphroditic marine mollusk Aplysia californica. As a further simplification, we have used a semi-intact preparation of the Aplysia siphon withdrawal reflex in which it is possible to relate cellular plasticity directly to behavioral learning. We find that inhibitors of neurotrophin signaling, transcription, and DNA methylation block sensitization and classical conditioning beginning similar to 1 h after the start of training, which is in the time range of an intermediate-term stage of plasticity that combines elements of short- and long-term plasticity and may form a bridge between them. Injection of decitabine (an inhibitor of DNA methylation that may have other actions in these experiments) into an LE sensory neuron blocks the neural correlates of conditioning in the same time range. In addition, we found that both DNA and RNA methylation in the abdominal ganglion are correlated with learning in the same preparations. These results begin to suggest the functions and integration of these different molecular mechanisms during behavioral learning.</t>
  </si>
  <si>
    <t>DEC</t>
  </si>
  <si>
    <t>10.1101/lm.047977.118</t>
  </si>
  <si>
    <t>Perez, M; Aroh, O; Sun, YA; Lan, Y; Juniper, SK; Young, CR; Angers, B; Qian, PY</t>
  </si>
  <si>
    <t>Third-Generation Sequencing Reveals the Adaptive Role of the Epigenome in Three Deep-Sea Polychaetes</t>
  </si>
  <si>
    <t>MOLECULAR BIOLOGY AND EVOLUTION</t>
  </si>
  <si>
    <t>The roles of DNA methylation in invertebrates are poorly characterized, and critical data are missing for the phylum Annelida. We fill this knowledge gap by conducting the first genome-wide survey of DNA methylation in the deep-sea polychaetes dominant in deep-sea vents and seeps: Paraescarpia echinospica, Ridgeia piscesae, and Paralvinella palmiformis. DNA methylation calls were inferred from Oxford Nanopore sequencing after assembling high-quality genomes of these animals. The genomes of these worms encode all the key enzymes of the DNA methylation metabolism and possess a mosaic methylome similar to that of other invertebrates. Transcriptomic data of these polychaetes support the hypotheses that gene body methylation strengthens the expression of housekeeping genes and that promoter methylation acts as a silencing mechanism but not the hypothesis that DNA methylation suppresses the activity of transposable elements. The conserved epigenetic profiles of genes responsible for maintaining homeostasis under extreme hydrostatic pressure suggest DNA methylation plays an important adaptive role in these worms.</t>
  </si>
  <si>
    <t>AUG 3</t>
  </si>
  <si>
    <t>10.1093/molbev/msad172</t>
  </si>
  <si>
    <t>Wang, XX; Cong, RH; Li, A; Wang, W; Zhang, GF; Li, L</t>
  </si>
  <si>
    <t>Experimental DNA Demethylation Reduces Expression Plasticity and Thermal Tolerance in Pacific Oysters</t>
  </si>
  <si>
    <t>MARINE BIOTECHNOLOGY</t>
  </si>
  <si>
    <t>Increasing seawater temperatures pose a great threat to marine organisms, especially those settled in fluctuating intertidal areas. DNA methylation, which can be induced by environmental variation, can influence gene expression and mediate phenotypic plasticity. However, the regulatory mechanisms of DNA methylation in gene expression-mediated adaptation to environmental stress have rarely been elucidated. In this study, DNA demethylation experiments were conducted on a typical intertidal species, the Pacific oyster (Crassostrea gigas), to determine the direct role of DNA methylation in regulating gene expression and adaptability under thermal stress. The global methylation level and the expression level of DNA methyltransferases (DNMT1, DNMT3a) showed an accordant variation trend under high temperatures, supporting that the genomic methylation status was catalyzed by DNMTs. DNA methylation inhibitor 5-Azacytidine (5-Aza) effectively inhibited DNA methylation level and decreased methylation plasticity at the 6th hour in thermal conditions. In total, 88 genes were identified as candidate DNA methylation-regulated thermal response genes; they exhibited reduced expression plasticity in response to heat stress, possibly caused by the decreased methylation plasticity. Post-heat shock, the thermal tolerance indicated by the survival curve was reduced when oysters were pretreated with 5-Aza, meaning that DNA demethylation negatively affected thermal adaptation in oysters. This study provides direct evidence for the crucial role of DNA methylation in mediating stress adaptation in marine invertebrates and contributes to the theoretical foundations underlying marine resource conservation and aquaculture.</t>
  </si>
  <si>
    <t>JUN</t>
  </si>
  <si>
    <t>10.1007/s10126-023-10208-5</t>
  </si>
  <si>
    <t>Mokarat, M; Lomthaisong, K; Robson, MG; Keithmaleesatti, S</t>
  </si>
  <si>
    <t>Effects of blood mercury accumulation on DNA methylation levels in the Khorat snail-eating turtle (Malayemys khoratensis)</t>
  </si>
  <si>
    <t>ECOTOXICOLOGY AND ENVIRONMENTAL SAFETY</t>
  </si>
  <si>
    <t>Mercury (Hg) has adverse effects on humans and wildlife. Hg exposure can cause significant alterations in DNA methylation, an epigenetic modification that causes various illnesses. Hg accumulation in the blood of the Khorat snail-eating turtle (Malayemys khoratensis) from northeastern Thailand was previously reported. Thus, this study aimed to assess total mercury (THg) levels in M. khoratensis blood and to examine the impact of these concentrations on DNA methylation (5-methylcytosine, 5-mC) levels. We divided turtles based on morphological characteristics into two groups, normal and deformed, and then the levels of each variable in both groups were assessed. The deformed group presented higher mean THg concentration and DNA methylation levels compared to the normal group; however, the differences were not significant. Additionally, we found no correlation between DNA methylation levels and THg concentrations in both groups. This study is the first attempt to investigate the relationship between mercury accumulation and DNA methylation in the blood of deformed freshwater turtles.</t>
  </si>
  <si>
    <t>JAN 1</t>
  </si>
  <si>
    <t>10.1016/j.ecoenv.2023.115770</t>
  </si>
  <si>
    <t>Liew, YJ; Zoccola, D; Li, Y; Tambutté, E; Venn, AA; Michell, CT; Cui, GX; Deutekom, ES; Kaandorp, JA; Voolstra, CR; Forêt, S; Allemand, D; Tambutté, S; Aranda, M</t>
  </si>
  <si>
    <t>Epigenome-associated phenotypic acclimatization to ocean acidification in a reef-building coral</t>
  </si>
  <si>
    <t>SCIENCE ADVANCES</t>
  </si>
  <si>
    <t>There are increasing concerns that the current rate of climate change might outpace the ability of reef-building corals to adapt to future conditions. Work on model systems has shown that environmentally induced alterations in DNA methylation can lead to phenotypic acclimatization. While DNA methylation has been reported in corals and is thought to associate with phenotypic plasticity, potential mechanisms linked to changes in whole-genome methylation have yet to be elucidated. We show that DNA methylation significantly reduces spurious transcription in the coral Stylophora pistillata. Furthermore, we find that DNA methylation also reduces transcriptional noise by fine-tuning the expression of highly expressed genes. Analysis of DNA methylation patterns of corals subjected to long-term pH stress showed widespread changes in pathways regulating cell cycle and body size. Correspondingly, we found significant increases in cell and polyp sizes that resulted in more porous skeletons, supporting the hypothesis that linear extension rates are maintained under conditions of reduced calcification. These findings suggest an epigenetic component in phenotypic acclimatization that provides corals with an additional mechanism to cope with environmental change.</t>
  </si>
  <si>
    <t>10.1126/sciadv.aar8028</t>
  </si>
  <si>
    <t>Wang, XT; Li, QY; Lian, JM; Li, L; Jin, LJ; Cai, HM; Xu, F; Qi, HG; Zhang, LL; Wu, FC; Meng, J; Que, HY; Fang, XD; Guo, XM; Zhang, GF</t>
  </si>
  <si>
    <t>Genome-wide and single-base resolution DNA methylomes of the Pacific oyster Crassostrea gigas provide insight into the evolution of invertebrate CpG methylation</t>
  </si>
  <si>
    <t>BMC GENOMICS</t>
  </si>
  <si>
    <t>Background: Studies of DNA methylomes in a wide range of eukaryotes have revealed both conserved and divergent characteristics of DNA methylation among phylogenetic groups. However, data on invertebrates particularly molluscs are limited, which hinders our understanding of the evolution of DNA methylation in metazoa. The sequencing of the Pacific oyster Crassostrea gigas genome provides an opportunity for genome-wide profiling of DNA methylation in this model mollusc. Results: Homologous searches against the C. gigas genome identified functional orthologs for key genes involved in DNA methylation: DNMT1, DNMT2, DNMT3, MBD2/3 and UHRF1. Whole-genome bisulfite sequencing (BS-seq) of the oyster's mantle tissues revealed that more than 99% methylation modification was restricted to cytosines in CpG context and methylated CpGs accumulated in the bodies of genes that were moderately expressed. Young repeat elements were another major targets of CpG methylation in oysters. Comparison with other invertebrate methylomes suggested that the 5'-end bias of gene body methylation and the negative correlation between gene body methylation and gene length were the derived features probably limited to the insect lineage. Interestingly, phylostratigraphic analysis showed that CpG methylation preferentially targeted genes originating in the common ancestor of eukaryotes rather than the oldest genes originating in the common ancestor of cellular organisms. Conclusions: Comparative analysis of the oyster DNA methylomes and that of other animal species revealed that the characteristics of DNA methylation were generally conserved during invertebrate evolution, while some unique features were derived in the insect lineage. The preference of methylation modification on genes originating in the eukaryotic ancestor rather than the oldest genes is unexpected, probably implying that the emergence of methylation regulation in these 'relatively young' genes was critical for the origin and radiation of eukaryotes.</t>
  </si>
  <si>
    <t>DEC 16</t>
  </si>
  <si>
    <t>10.1186/1471-2164-15-1119</t>
  </si>
  <si>
    <t>Hackerott, S; Virdis, F; Flood, PJ; Souto, DG; Paez, W; Eirin-Lopez, JM</t>
  </si>
  <si>
    <t>Relationships between phenotypic plasticity and epigenetic variation in two Caribbean Acropora corals</t>
  </si>
  <si>
    <t>MOLECULAR ECOLOGY</t>
  </si>
  <si>
    <t>The plastic ability for a range of phenotypes to be exhibited by the same genotype allows organisms to respond to environmental variation and may modulate fitness in novel environments. Differing capacities for phenotypic plasticity within a population, apparent as genotype by environment interactions (GxE), can therefore have both ecological and evolutionary implications. Epigenetic gene regulation alters gene function in response to environmental cues without changes to the underlying genetic sequence and likely mediates phenotypic variation. DNA methylation is currently the most well described epigenetic mechanism and is related to transcriptional homeostasis in invertebrates. However, evidence quantitatively linking variation in DNA methylation with that of phenotype is lacking in some taxa, including reef-building corals. In this study, spatial and seasonal environmental variation in Bonaire, Caribbean Netherlands was utilized to assess relationships between physiology and DNA methylation profiles within genetic clones across different genotypes of Acropora cervicornis and A. palmata corals. The physiology of both species was highly influenced by environmental variation compared to the effect of genotype. GxE effects on phenotype were only apparent in A. cervicornis. DNA methylation in both species differed between genotypes and seasons and epigenetic variation was significantly related to coral physiological metrics. Furthermore, plastic shifts in physiology across seasons were significantly positively correlated with shifts in DNA methylation profiles in both species. These results highlight the dynamic influence of environmental conditions and genetic constraints on the physiology of two important Caribbean coral species. Additionally, this study provides quantitative support for the role of epigenetic DNA methylation in mediating phenotypic plasticity in invertebrates.</t>
  </si>
  <si>
    <t>SEP</t>
  </si>
  <si>
    <t>10.1111/mec.17072</t>
  </si>
  <si>
    <t>Johnson, KM; Kelly, MW</t>
  </si>
  <si>
    <t>Population epigenetic divergence exceeds genetic divergence in the Eastern oyster Crassostrea virginica in the Northern Gulf of Mexico</t>
  </si>
  <si>
    <t>EVOLUTIONARY APPLICATIONS</t>
  </si>
  <si>
    <t>Populations may respond to environmental heterogeneity via evolutionary divergence or phenotypic plasticity. While evolutionary divergence occurs through DNA sequence differences among populations, plastic divergence among populations may be generated by changes in the epigenome. Here, we present the results of a genome-wide comparison of DNA methylation patterns and genetic structure among four populations of Eastern oyster (Crassostrea virginica) in the northern Gulf of Mexico. We used a combination of restriction site-associated DNA sequencing (RADseq) and reduced representation bisulfite sequencing (RRBS) to explore population structure, gene-wide averages of F-ST, and DNA methylation differences between oysters inhabiting four estuaries with unique salinity profiles. This approach identified significant population structure despite a moderately low F-ST (0.02) across the freshwater boundary of the Mississippi river, a finding that may reflect recent efforts to restore oyster stock populations. Divergence between populations in CpG methylation was greater than for divergence in F-ST, likely reflecting environmental effects on DNA methylation patterns. Assessment of CpG methylation patterns across all populations identified that only 26% of methylated DNA was intergenic; and, only 17% of all differentially methylated regions (DMRs) were within these same regions. DMRs within gene bodies between sites were associated with genes known to be involved in DNA damage repair, ion transport, and reproductive timing. Finally, when assessing the correlation between genomic variation and DNA methylation between these populations, we observed population-specific DNA methylation profiles that were not directly associated with single nucleotide polymorphisms or broader gene-body mean F-ST trends. Our results suggest that C. virginica may use DNA methylation to generate environmentally responsive plastic phenotypes and that there is more divergence in methylation than divergence in allele frequencies.</t>
  </si>
  <si>
    <t>MAY</t>
  </si>
  <si>
    <t>10.1111/eva.12912</t>
  </si>
  <si>
    <t>Shorning, BY; Vanyushin, BF</t>
  </si>
  <si>
    <t>Putative DNA-(amino)methyltransferases in eucaryotes</t>
  </si>
  <si>
    <t>BIOCHEMISTRY-MOSCOW</t>
  </si>
  <si>
    <t>By computer analysis of the known data bases, we have established that the open reading frames (ORF) coding for proteins that possess high degree of homology with procaryotic DNA-(amino)methyltransferases are present in the genomes of Leishmania major, Saccharomyces cerevisiae, Schizosaccharomyces pombe, Arabidopsis thaliana, Drosophila melanogaster, Caenorhabditis elegans, and Homo sapiens. Conservative motifs typical for bacterial DNA-(amino)methyltransferases are detected in the amino acid sequences of these putative proteins. The ORF of all putative eucaryotic DNA-(amino)methyltransferases found are encoded in nuclear DNA. In mitochondrial genomes including a few fully sequenced higher plant mtDNA, nucleotide sequences significantly homologous to genes of procaryotic DNA-(amino)methyltransferases are not found. Thus, ORF homologous to bacterial adenine DNA- methyltransferases are present in nuclei of protozoa, yeasts, insects, nematodes, vertebrates, higher plants, and other eucaryotes. A special search for corresponding proteins and, in particular, adenine DNA-methyltransferases in these organisms and a study of their functions are quite promising.</t>
  </si>
  <si>
    <t>JUL</t>
  </si>
  <si>
    <t>10.1023/A:1010260612109</t>
  </si>
  <si>
    <t>Hawes, NA; Tremblay, LA; Pochon, X; Dunphy, B; Fidler, AE; Smith, KF</t>
  </si>
  <si>
    <t>Effects of temperature and salinity stress on DNA methylation in a highly invasive marine invertebrate, the colonial ascidian Didemnum vexillum</t>
  </si>
  <si>
    <t>PEERJ</t>
  </si>
  <si>
    <t>Environmentally induced epigenetic changes may contribute to phenotypic plasticity, increase adaptive potential in changing environments, and play a key role in the establishment and spread of invasive species in new habitats. In this study, we used methylation-sensitive amplified polymorphism (MSAP) to assess environmentally induced DNA methylation changes in a globally invasive clonal ascidian, Didemnum vexillum. We tested the effect of increasing temperature (19, 25 and 27 degrees C) and decreasing salinity (34, 32, 30, 28 and 26 practical salinity units (PSU)) on global DNA methylation, growth and survival rates. Exposure to 27 degrees C resulted in significant changes in DNA methylation over time. Growth also decreased in colonies exposed to high temperatures, suggesting they were under thermal stress. In contrast, no differences in growth nor DNA methylation patterns were observed in colonies exposed to a decreasing salinity gradient, potentially due to prior adaptation. The results of this study show that environmental stress can induce significant global DNA methylation changes in an invasive marine invertebrate on very rapid timescales, and that this response varies depending on the type, magnitude, and duration of the stressor. Changes in genomic DNA methylation and the rate of growth may act to 'buy survival time' under stressful conditions, expanding the distribution limits of this globally invasive species.</t>
  </si>
  <si>
    <t>JUN 25</t>
  </si>
  <si>
    <t>10.7717/peerj.5003</t>
  </si>
  <si>
    <t>Rodríguez-Casariego, JA; Mercado-Molina, AE; Garcia-Souto, D; Ortiz-Rivera, IM; Lopes, C; Baums, IB; Sabat, AM; Eirin-Lopez, JM</t>
  </si>
  <si>
    <t>Genome-Wide DNA Methylation Analysis Reveals a Conserved Epigenetic Response to Seasonal Environmental Variation in the Staghorn Coral Acropora cervicornis</t>
  </si>
  <si>
    <t>FRONTIERS IN MARINE SCIENCE</t>
  </si>
  <si>
    <t>Epigenetic modifications such as DNA methylation have been shown to participate in plastic responses to environmental change in a wide range of organisms, including scleractinian corals. Unfortunately, the current understanding of the links between environmental signals, epigenetic modifications, and the subsequent consequences for acclimatory phenotypic changes remain obscure. Such a knowledge gap extends also to the dynamic nature of epigenetic changes, hampering our ability to ascertain the magnitude and extent of these responses under natural conditions. The present work aims to shed light on these subjects by examining temporal changes in genome-wide patterns of DNA methylation in the staghorn coral Acropora cervicornis in the island of Culebra, PR. During a 17-month period, a total of 162 polymorphic loci were identified using Methylation-Sensitive Amplified Polymorphism (MSAP). Among them, 83 of these restriction fragments displayed changes in DNA methylation that were significantly correlated to seasonal variation as determined mostly by changes in sea water temperature. Remarkably, the observed time-dependent variation in DNA methylation patterns is consistent across coral genets, coral source sites and site-specific conditions studied. Overall, these results are consistent with a conserved epigenetic response to seasonal environmental variation. These findings highlight the importance of including seasonal variability into experimental designs investigating the role of epigenetic mechanisms such as DNA methylation in responses to stress.</t>
  </si>
  <si>
    <t>SEP 30</t>
  </si>
  <si>
    <t>10.3389/fmars.2020.560424</t>
  </si>
  <si>
    <t>Silliman, K; Spencer, LH; White, SJ; Roberts, SB</t>
  </si>
  <si>
    <t>Epigenetic and Genetic Population Structure is Coupled in a Marine Invertebrate</t>
  </si>
  <si>
    <t>GENOME BIOLOGY AND EVOLUTION</t>
  </si>
  <si>
    <t>Delineating the relative influence of genotype and the environment on DNA methylation is critical for characterizing the spectrum of organism fitness as driven by adaptation and phenotypic plasticity. In this study, we integrated genomic and DNA methylation data for two distinct Olympia oyster (Ostrea lurida) populations while controlling for within-generation environmental influences. In addition to providing the first characterization of genome-wide DNA methylation patterns in the oyster genus Ostrea, we identified 3,963 differentially methylated loci between populations. Our results show a clear coupling between genetic and epigenetic patterns of variation, with 27% of variation in interindividual methylation differences explained by genotype. Underlying this association are both direct genetic changes in CpGs (CpG-SNPs) and genetic variation with indirect influence on methylation (mQTLs). When comparing measures of genetic and epigenetic population divergence at specific genomic regions this relationship surprisingly breaks down, which has implications for the methods commonly used to study epigenetic and genetic coupling in marine invertebrates.</t>
  </si>
  <si>
    <t>FEB 3</t>
  </si>
  <si>
    <t>10.1093/gbe/evad013</t>
  </si>
  <si>
    <t>Lei, YG; Lin, HL; Chen, YH; Wan, BQ; Ao, CM; Liu, JY; Wang, W</t>
  </si>
  <si>
    <t>Epigenetic regulation of physiological resilience to ammonia nitrogen stress in the Pacific whiteleg shrimp Penaeus vannamei: Evidence from genome-wide DNA methylation dynamics</t>
  </si>
  <si>
    <t>COMPARATIVE BIOCHEMISTRY AND PHYSIOLOGY D-GENOMICS &amp; PROTEOMICS</t>
  </si>
  <si>
    <t>Although DNA methylation has emerged as an essential epigenetic mechanism modulating organismal responses to abiotic stresses, its involvement in the physiological resilience of marine invertebrates like shrimp to ammonia nitrogen toxicity remains enigmatic. Here, we performed the first comprehensive dissection of genome-wide DNA methylation dynamics in the Pacific whiteleg shrimp Penaeus vannamei exposed to ammonia nitrogen, based on whole-genome bisulfite sequencing and transcriptome analyses. In the genome of P. vannamei, three DNA methyltransferases (DNMT1, DNMT2 and DNMT3a), one DNA demethylase (TET2) and four methyl-CpG binding proteins (MBD2, MBD4, Kaiso, and UHRF1) were present. About 1.68-1.87 % of cytosine nucleotides were methylated, and higher percentages of cytosines in the CpG context (5.23 %-6.34 %) was methylated compared with the CHG and CHH contexts. Methylated cytosines were mostly enriched in the coding DNA sequence, and methylation peaks occurred near the transcription end sites. Following ammonia exposure, 4203 differentially expressed genes (DEGs) and 1100 differentially methylated genes (DMGs) were identified. The DMGs accounted for 4.4 % of the total gene reservoir in P. vannamei genome, and 212 shared genes were found between the DEGs and DMGs. Genes exhibiting significant methylation and expression changes were enriched in various pathways including the FoxO signaling pathway, autophagy and endocytosis. Among them was a group of genes related to energy metabolism, antioxidation response and detoxification metabolism, highlighting involvement of DNA methylation in fine-tuning these crucial physiological processes. These findings provide new insights into the regulatory roles of DNA methylation in the physiological resilience of marine invertebrates to aquatic stressors.</t>
  </si>
  <si>
    <t>10.1016/j.cbd.2025.101510</t>
  </si>
  <si>
    <t>Putnam, HM; Davidson, JM; Gates, RD</t>
  </si>
  <si>
    <t>Ocean acidification influences host DNA methylation and phenotypic plasticity in environmentally susceptible corals</t>
  </si>
  <si>
    <t>As climate change challenges organismal fitness by creating a phenotype-environment mismatch, phenotypic plasticity generated by epigenetic mechanisms (e.g., DNA methylation) can provide a temporal buffer for genetic adaptation. Epigenetic mechanisms may be crucial for sessile benthic marine organisms, such as reef-building corals, where ocean acidification (OA) and warming reflect in strong negative responses. We tested the potential for scleractinian corals to exhibit phenotypic plasticity associated with a change in DNA methylation in response to OA. Clonal coral fragments of the environmentally sensitive Pocillopora damicornis and more environmentally robust Montipora capitata were exposed to fluctuating ambient pH (7.9-7.65) and low pH (7.6-7.35) conditions in common garden tanks for similar to 6 weeks. M. capitata responded weakly, or acclimated more quickly, to OA, with no difference in calcification, minimal separation of metabolomic profiles, and no change in DNA methylation between treatments. Conversely, P. damicornis exhibited diminished calcification at low pH, stronger separation in metabolomic profiles, and responsiveness of DNA methylation to treatment. Our data suggest corals differ in their temporal dynamics and sensitivity for environmentally triggered real-time epigenetic reprogramming. The generation of potentially heritable plasticity via environmental induction of DNA methylation provides an avenue for assisted evolution applications in corals under rapid climate change.</t>
  </si>
  <si>
    <t>OCT</t>
  </si>
  <si>
    <t>10.1111/eva.12408</t>
  </si>
  <si>
    <t>Wang, XX; Li, A; Wang, W; Zhang, GF; Li, L</t>
  </si>
  <si>
    <t>Direct and heritable effects of natural tidal environments on DNA methylation in Pacific oysters (Crassostrea gigas)</t>
  </si>
  <si>
    <t>ENVIRONMENTAL RESEARCH</t>
  </si>
  <si>
    <t>Rapid climate change threatens the survival of animals, especially in vulnerable coastal ecosystems. Recent studies have shown that DNA methylation is a mechanism by which organisms can modulate current and future generations to cope with rapid environmental changes. Here, an investigation in a real-world context was conducted to determine the epigenetic mechanisms that are triggered by environmental changes in a typical intertidal species, the Pacific oyster (Crassostrea gigas). Oysters inhabiting intertidal and subtidal regions were collected, and their offspring were produced and subjected to common environment. The divergence of phenotypes and whole genome DNA methylation were assayed between the intertidal and subtidal oysters. The undifferentiated genetic structures implied that the phenotypic and epigenetic variations were mainly induced by the environment. Approximately 41% of genes modified by DNA methylation, which play a role in responses to the variable intertidal environment, could be transmitted to the next generation and had largely consistent tendency of regulation. The cross-generational genes were involved in the regulation of GTPase activity, primary metabolic activity, autophagosomes, and apoptosis, which may mediate the inheritable phenotypic divergence related to heat stress resistance between intertidal and subtidal oysters. The extent to which environmentally induced DNA methylation is inherited was evaluated here for the first time in oysters. This study provides new insights into the epigenetic mechanisms underlying biological adaptations to rapid climate change in coastal organisms.</t>
  </si>
  <si>
    <t>10.1016/j.envres.2021.111058</t>
  </si>
  <si>
    <t>Dimond, JL; Roberts, SB</t>
  </si>
  <si>
    <t>Germline DNA methylation in reef corals: patterns and potential roles in response to environmental change</t>
  </si>
  <si>
    <t>DNA methylation is an epigenetic mark that plays an inadequately understood role in gene regulation, particularly in nonmodel species. Because it can be influenced by the environment, DNA methylation may contribute to the ability of organisms to acclimatize and adapt to environmental change. We evaluated the distribution of gene body methylation in reef-building corals, a group of organisms facing significant environmental threats. Gene body methylation in six species of corals was inferred from in silico transcriptome analysis of CpG O/E, an estimate of germline DNA methylation that is highly correlated with patterns of methylation enrichment. Consistent with what has been documented in most other invertebrates, all corals exhibited bimodal distributions of germline methylation suggestive of distinct fractions of genes with high and low levels of methylation. The hypermethylated fractions were enriched with genes with housekeeping functions, while genes with inducible functions were highly represented in the hypomethylated fractions. High transcript abundance was associated with intermediate levels of methylation. In three of the coral species, we found that genes differentially expressed in response to thermal stress and ocean acidification exhibited significantly lower levels of methylation. These results support a link between gene body hypomethylation and transcriptional plasticity that may point to a role of DNA methylation in the response of corals to environmental change.</t>
  </si>
  <si>
    <t>APR</t>
  </si>
  <si>
    <t>10.1111/mec.13414</t>
  </si>
  <si>
    <t>Sussarellu, R; Lebreton, M; Rouxel, J; Akcha, F; Rivière, G</t>
  </si>
  <si>
    <t>Copper induces expression and methylation changes of early development genes in Crassostrea gigas embryos</t>
  </si>
  <si>
    <t>AQUATIC TOXICOLOGY</t>
  </si>
  <si>
    <t>Copper contamination is widespread along coastal areas and exerts adverse effects on marine organisms such as mollusks. In the Pacific oyster, copper induces severe developmental abnormalities during early life stages; however, the underlying molecular mechanisms are largely unknown. This study aims to better understand whether the embryotoxic effects of copper in Crassostrea gigas could be mediated by alterations in gene expression, and the putative role of DNA methylation, which is known to contribute to gene regulation in early embryo development. For that purpose, oyster embryos were exposed to 4 nominal copper concentrations (0.1, 1, 10 and 20 mu g L-1 Cu2+) during early development assays. Embryotoxicity was monitored through the oyster embryo-larval bioassay at the D-larva stage 24 h post fertilization (hpf) and genotoxicity at gastrulation 7 hpf. In parallel, the relative expression of 15 genes encoding putative homeotic, biomineralization and DNA methylation proteins was measured at three developmental stages (3 hpf morula stage, 7 hpf gastrula stage, 24 hpf D-larvae stage) using RT-qPCR. Global DNA content in methylcytosine and hydroxymethylcytosine were measured by HPLC and gene-specific DNA methylation levels were monitored using MeDIP-qPCR. A significant increase in larval abnormalities was observed from copper concentrations of 10 mu g L-1, while significant genotoxic effects were detected at 1 mu g L-1 and above. All the selected genes presented a stage dependent expression pattern, which was impaired for some homeobox and DNA methylation genes (Notochord, HOXA1, HOX2, Lox5, DNMT3b and CXXC-1) after copper exposure. While global DNA methylation (5-methyl cytosine) at gastrula stage didn't show significant changes between experimental conditions, 5-hydroxymethylcytosine, its degradation product, decreased upon copper treatment. The DNA methylation of exons and the transcript levels were correlated in control samples for HOXA1 but such a correlation was diminished following copper exposure. The methylation level of some specific gene regions (HoxA 1, Hox2, Engrailed2 and Notochord) displayed changes upon copper exposure. Such changes were gene and exon-specific and no obvious global trends could be identified. Our study suggests that the embryotoxic effects of copper in oysters could involve homeotic gene expression impairment possibly by changing DNA methylation levels.</t>
  </si>
  <si>
    <t>MAR</t>
  </si>
  <si>
    <t>10.1016/j.aquatox.2018.01.001</t>
  </si>
  <si>
    <t>Smithson, M; Thorson, JLM; Sadler-Riggleman, I; Beck, D; Skinner, MK; Dybdahl, M</t>
  </si>
  <si>
    <t>Between-Generation Phenotypic and Epigenetic Stability in a Clonal Snail</t>
  </si>
  <si>
    <t>Epigenetic variation might play an important role in generating adaptive phenotypes by underpinning within-generation developmental plasticity, persistent parental effects of the environment (e.g., transgenerational plasticity), or heritable epigenetically based polymorphism. These adaptive mechanisms should be most critical in organisms where genetic sources of variation are limited. Using a clonally reproducing freshwater snail (Potamopyrgus antipodarum), we examined the stability of an adaptive phenotype (shell shape) and of DNA methylation between generations. First, we raised three generations of snails adapted to river currents in the lab without current. We showed that habitat-specific adaptive shell shape was relatively stable across three generations but shifted slightly over generations two and three toward a no-current lake phenotype. We also showed that DNA methylation specific to high-current environments was stable across one generation. This study provides the first evidence of stability of DNA methylation patterns across one generation in an asexual animal. Together, our observations are consistent with the hypothesis that adaptive shell shape variation is at least in part determined by transgenerational plasticity, and that DNA methylation provides a potential mechanism for stability of shell shape across one generation.</t>
  </si>
  <si>
    <t>10.1093/gbe/evaa181</t>
  </si>
  <si>
    <t>Strader, ME; Wong, JM; Kozal, LC; Leach, TS; Hofmann, GE</t>
  </si>
  <si>
    <t>Parental environments alter DNA methylation in offspring of the purple sea urchin, Strongylocentrotus purpuratus</t>
  </si>
  <si>
    <t>JOURNAL OF EXPERIMENTAL MARINE BIOLOGY AND ECOLOGY</t>
  </si>
  <si>
    <t>Phenotypic plasticity, within and across generations, is a strategy by which organisms can respond rapidly to environmental change. Epigenetic modifications, such as DNA methylation, have been proposed to be involved in phenotypic plasticity. We examined the potential for the environment to mediate both transgenerational and intragenerational plasticity in DNA methylation and phenotypes in early stages of the purple sea urchin, Strongylocentrotus purpuratus, an ecologically important herbivore in kelp forest ecosystems. This approach involved a controlled laboratory experiment where adult urchins were acclimated during gametogenesis to upwelling (similar to 1300 mu atm pCO(2) &amp; 13 degrees C) or non-upwelling (similar to 650 mu atm pCO(2) &amp; 17 degrees C) conditions that are representative of their kelp forest habitat. Progeny from these adults were raised in either high (similar to 1050 mu atm) or low (similar to 450 mu atm) pCO(2) treatments and sampled at three developmental stages. Differences in condition experienced by mothers were associated with differentially methylated genes in the offspring. However, differences in developmental conditions corresponded to little observable effects on gene methylation in the progeny. Variation in gene body methylation across treatments was correlated with body size of the embryos and larvae, illustrating a potential link between transgenerational phenotypic plasticity and DNA methylation. Overall, our results suggest that epigenetic factors such as DNA methylation have the potential to contribute to phenotypic plasticity in a transgenerational framework, and further, that epigenetic processes may act as a mechanism of rapid response to environmental change.</t>
  </si>
  <si>
    <t>AUG</t>
  </si>
  <si>
    <t>10.1016/j.jembe.2019.03.002</t>
  </si>
  <si>
    <t>Bogan, SN; Johnson, KM; Hofmann, GE</t>
  </si>
  <si>
    <t>Changes in Genome-Wide Methylation and Gene Expression in Response to Future pCO2 Extremes in the Antarctic Pteropod Limacina helicina antarctica</t>
  </si>
  <si>
    <t>Epigenetic processes such as variation in DNA methylation may promote phenotypic plasticity and the rapid acclimatization of species to environmental change. The extent to which an organism can mount an epigenetic response to current and future climate extremes may influence its capacity to acclimatize or adapt to global change on ecological rather than evolutionary time scales. The thecosome pteropod Limacina helicina antarctica is an abundant macrozooplankton endemic to the Southern Ocean and is considered a bellwether of ocean acidification as it is highly sensitive to variation in carbonate chemistry. In this study, we quantified variation in DNA methylation and gene expression over time across different ocean acidification regimes. We exposed L. helicina antarctica to pCO(2) levels mimicking present-day norms in the coastal Southern Ocean of 255 matm pCO(2), present-day extremes of 530 matm pCO(2), and projected extremes of 918 matm pCO(2) for up to 7 days before measuring global DNA methylation and sequencing transcriptomes in animals from each treatment across time. L. helicina antarctica significantly reduced DNA methylation by 29-56% after 1 day of exposure to 918 matm pCO(2) before DNA methylation returned to control levels after 6 days. In addition, L. helicina antarctica exposed to 918 matm pCO(2) exhibited drastically more differential expression compared to cultures replicating present-day pCO(2) extremes. Differentially expressed transcripts were predominantly downregulated. Furthermore, downregulated genes were enriched with signatures of gene body methylation. These findings support the potential role of DNA methylation in regulating transcriptomic responses by L. helicina antarctica to future ocean acidification and in situ variation in pCO(2) experienced seasonally or during vertical migration. More broadly, L. helicina antarctica was capable of mounting a substantial epigenetic response to ocean acidification despite little evidence of metabolic compensation or recovery of the cellular stress response in this species at future pCO(2) levels.</t>
  </si>
  <si>
    <t>JAN 22</t>
  </si>
  <si>
    <t>10.3389/fmars.2019.00788</t>
  </si>
  <si>
    <t>Liu, AZ; Zeng, FS; Wang, L; Zhen, H; Xia, XL; Pei, HL; Dong, CK; Zhang, YM; Ding, J</t>
  </si>
  <si>
    <t>High temperature influences DNA methylation and transcriptional profiles in sea urchins (Strongylocentrotus intermedius)</t>
  </si>
  <si>
    <t>Background DNA methylation plays an important role in life processes by affecting gene expression, but it is still unclear how DNA methylation is controlled and how it regulates gene transcription under high temperature stress conditions in Strongylocentrotus intermedius. The potential link between DNA methylation variation and gene expression changes in response to heat stress in S. intermedius was investigated by MethylRAD-seq and RNA-seq analysis. We screened DNA methylation driver genes in order to comprehensively elucidate the regulatory mechanism of its high temperature adaptation at the DNA/RNA level. Results The results revealed that high temperature stress significantly affected not only the DNA methylation and transcriptome levels of S. intermedius (P &lt; 0.05), but also growth. MethylRAD-seq analysis revealed 12,129 CG differential methylation sites and 966 CWG differential methylation sites, and identified a total of 189 differentially CG methylated genes and 148 differentially CWG methylated genes. Based on KEGG enrichment analysis, differentially expressed genes (DEGs) are mostly enriched in energy and cell division, immune, and neurological damage pathways. Further RNA-seq analysis identified a total of 1968 DEGs, of which 813 genes were upregulated and 1155 genes were downregulated. Based on the joint MethylRAD-seq and RNA-seq analysis, metabolic processes such as glycosaminoglycan degradation, oxidative phosphorylation, apoptosis, glutathione metabolism, thermogenesis, and lysosomes are regulated by DNA methylation. Conclusions High temperature affected the DNA methylation and expression levels of genes such as MOAP-1, GGT1 and RDH8, which in turn affects the metabolism of HPSE, Cox, glutathione, and retinol, thereby suppressing the immune, energy metabolism, and antioxidant functions of the organism and finally manifesting as stunted growth. In summary, the observations in the present study improve our understanding of the molecular mechanism of the response to high temperature stress in sea urchin.</t>
  </si>
  <si>
    <t>AUG 28</t>
  </si>
  <si>
    <t>10.1186/s12864-023-09616-7</t>
  </si>
  <si>
    <t>Dixon, G; Matz, M</t>
  </si>
  <si>
    <t>Benchmarking DNA methylation assays in a reef-building coral</t>
  </si>
  <si>
    <t>MOLECULAR ECOLOGY RESOURCES</t>
  </si>
  <si>
    <t>Interrogation of chromatin modifications, such as DNA methylation, has the potential to improve forecasting and conservation of marine ecosystems. The standard method for assaying DNA methylation (whole genome bisulphite sequencing), however, is currently too costly to apply at the scales required for ecological research. Here, we evaluate different methods for measuring DNA methylation for ecological epigenetics. We compare whole genome bisulphite sequencing (WGBS) with methylated CpG binding domain sequencing (MBD-seq), and a modified version of MethylRAD we term methylation-dependent restriction site-associated DNA sequencing (mdRAD). We evaluate these three assays in measuring variation in methylation across the genome, between genotypes, and between polyp types in the reef-building coral Acropora millepora. We find that all three assays measure absolute methylation levels similarly for gene bodies (gbM), as well as exons and 1 Kb windows with a minimum Pearson correlation 0.66. Differential gbM estimates were less correlated, but still concurrent across assays. We conclude that MBD-seq and mdRAD are reliable and cost-effective alternatives to WGBS. The considerably lower sequencing effort required for mdRAD to produce comparable methylation estimates makes it particularly useful for ecological epigenetics.</t>
  </si>
  <si>
    <t>FEB</t>
  </si>
  <si>
    <t>10.1111/1755-0998.13282</t>
  </si>
  <si>
    <t>Green, TJ; Benkendorff, K; Robinson, N; Raftos, D; Speck, P</t>
  </si>
  <si>
    <t>Anti-viral gene induction is absent upon secondary challenge with double-stranded RNA in the Pacific oyster, Crassostrea gigas</t>
  </si>
  <si>
    <t>FISH &amp; SHELLFISH IMMUNOLOGY</t>
  </si>
  <si>
    <t>Oyster farming is one of the most important aquaculture industries in the world. However, its productivity is increasingly limited by viral disease and we do not yet have management practices, such as protective vaccination, that can control these disease outbreaks. Hence, in the current study we investigated the expression of known anti-viral genes in oysters (Crassostrea gigas) in response to primary and secondary encounter with a virus associated molecular pattern (dsRNA), and tested whether a common form of epigenetic gene regulation (DNA methylation) was associated with the expression of these antiviral genes. Injection of dsRNA into the adductor muscle resulted in the rapid and transient expression of virus recognition receptors (TLR &amp; MDA5), whereas several anti-viral signalling (IRF &amp; SOC-1) and effector (PKR &amp; viperin) genes were still up-regulated at one week post primary challenge (p &lt; 0.05). This primary encounter with dsRNA appeared to deplete the immune system because anti-viral gene induction was absent in the gills when oysters were given a second injection of dsRNA at 1-week post-primary injection. The expression of DNA methylation genes (DNMT1, DNMT3b, TDG, TET2) and DNA methylation profiles up-stream of specific anti-viral genes (STING, SOC-1 &amp; Viperin) did not change in response to dsRNA injection (p &gt; 0.05). These results collectively suggest that C. gigas does not have an enhanced anti-viral gene response (immune-priming) to secondary dsRNA challenge and that the sustained up-regulation of anti-viral signalling and effector genes following primary challenge is unlikely to be associated with upstream DNA methylation levels. (C) 2014 Elsevier Ltd. All rights reserved.</t>
  </si>
  <si>
    <t>10.1016/j.fsi.2014.06.010</t>
  </si>
  <si>
    <t>Ying, H; Hayward, DC; Klimovich, A; Bosch, TCG; Baldassarre, L; Neeman, T; Forêt, S; Huttley, G; Reitzel, AM; Fraune, S; Ball, EE; Miller, DJ</t>
  </si>
  <si>
    <t>The Role of DNA Methylation in Genome Defense in Cnidaria and Other Invertebrates</t>
  </si>
  <si>
    <t>Considerable attention has recently been focused on the potential involvement of DNA methylation in regulating gene expression in cnidarians. Much of this work has been centered on corals, in the context of changes in methylation perhaps facilitating adaptation to higher seawater temperatures and other stressful conditions. Although first proposed more than 30 years ago, the possibility that DNA methylation systems function in protecting animal genomes against the harmful effects of transposon activity has largely been ignored since that time. Here, we show that transposons are specifically targeted by the DNA methylation system in cnidarians, and that the youngest transposons (i.e., those most likely to be active) are most highly methylated. Transposons in longer and highly active genes were preferentially methylated and, as transposons aged, methylation levels declined, reducing the potentially harmful side effects of CpG methylation. In Cnidaria and a range of other invertebrates, correlation between the overall extent of methylation and transposon content was strongly supported. Present transposon burden is the dominant factor in determining overall level of genomic methylation in a range of animals that diverged in or before the early Cambrian, suggesting that genome defense represents the ancestral role of CpG methylation.</t>
  </si>
  <si>
    <t>10.1093/molbev/msac018</t>
  </si>
  <si>
    <t>Aluru, N; Fields, DM; Shema, S; Skiftesvik, AB; Browman, HI</t>
  </si>
  <si>
    <t>Gene expression and epigenetic responses of the marine Cladoceran, Evadne nordmanni, and the copepod, Acartia clausi, to elevated CO2</t>
  </si>
  <si>
    <t>ECOLOGY AND EVOLUTION</t>
  </si>
  <si>
    <t>Characterizing the capacity of marine organisms to adapt to climate change related drivers (e.g., pCO(2) and temperature), and the possible rate of this adaptation, is required to assess their resilience (or lack thereof) to these drivers. Several studies have hypothesized that epigenetic markers such as DNA methylation, histone modifications and noncoding RNAs, act as drivers of adaptation in marine organisms, especially corals. However, this hypothesis has not been tested in zooplankton, a keystone organism in marine food webs. The objective of this study is to test the hypothesis that acute ocean acidification (OA) exposure alters DNA methylation in two zooplanktonic species-copepods (Acartia clausii) and cladocerans (Evadne nordmanii). We exposed these two species to near-future OA conditions (400 and 900 ppm pCO(2)) for 24 h and assessed transcriptional and DNA methylation patterns using RNA sequencing and Reduced Representation Bisulfite Sequencing (RRBS). OA exposure caused differential expression of genes associated with energy metabolism, cytoskeletal and extracellular matrix functions, hypoxia and one-carbon metabolism. Similarly, OA exposure also caused altered DNA methylation patterns in both species but the effect of these changes on gene expression and physiological effects remains to be determined. The results from this study form the basis for studies investigating the potential role of epigenetic mechanisms in OA induced phenotypic plasticity and/or adaptive responses in zooplanktonic organisms.</t>
  </si>
  <si>
    <t>10.1002/ece3.8309</t>
  </si>
  <si>
    <t>Baldanzi, S; Saldías, GS; Vargas, CA; Porri, F</t>
  </si>
  <si>
    <t>Long term environmental variability modulates the epigenetics of maternal traits of kelp crabs in the coast of Chile</t>
  </si>
  <si>
    <t>SCIENTIFIC REPORTS</t>
  </si>
  <si>
    <t>The methylation of DNA is an environmentally inducible epigenetic mechanism reflecting the short-term ecological and environmental background of populations. Marine invertebrate populations, which spread along a latitudinal cline, are particularly suitable for profiling DNA methylation, due to the heterogenous environmental conditions experienced. We used the MSAP (Methylation Sensitive Amplified Polymorphism) technique to investigate the natural variation in DNA methylation of different female's tissues (muscle, gonads, and gills) and early-stage eggs from five populations of the kelp crab Taliepus dentatus, distributed along a latitudinal cline in the coast of Chile. We assessed whether, (1) the distribution of DNA methylation profiles can be associated with the temporal variability of long term (18 years) climatologies (sea surface temperature, turbidity and productivity) and (2) the epigenetic diversity of eggs is related to the population-level phenotypic variability of several maternal investment traits (egg volume, egg weight, egg lipids and fecundity). The DNA methylation of eggs correlated positively and negatively with the long term variability in productivity and sea surface temperature, respectively. Furthermore, the diversity of DNA methylation of eggs correlated positively with the population-level phenotypic variability of several maternal investment traits, suggesting a key role of epigenetic mechanisms in generating phenotypic variability at population level for this species. We provide evidence of a strong link between the temporal variability of long term climatologies with the epigenetic profiles of key early ontogenetic traits associated with the maternal investment of kelp crabs. These modulating mechanisms can hence contribute early to phenotypic variability at population levels in response to local and past environmental fluctuation.</t>
  </si>
  <si>
    <t>NOV 5</t>
  </si>
  <si>
    <t>10.1038/s41598-022-23165-1</t>
  </si>
  <si>
    <t>Trigg, SA; Venkataraman, YR; Gavery, MR; Roberts, SB; Bhattacharya, D; Downey-Wall, A; Eirin-Lopez, JM; Johnson, KM; Lotterhos, KE; Puritz, JB; Putnam, HM</t>
  </si>
  <si>
    <t>Invertebrate methylomes provide insight into mechanisms of environmental tolerance and reveal methodological biases</t>
  </si>
  <si>
    <t>There is a growing focus on the role of DNA methylation in the ability of marine invertebrates to rapidly respond to changing environmental factors and anthropogenic impacts. However, genome-wide DNA methylation studies in nonmodel organisms are currently hampered by a limited understanding of methodological biases. Here, we compare three methods for quantifying DNA methylation at single base-pair resolution-whole genome bisulfite sequencing (WGBS), reduced representation bisulfite sequencing (RRBS), and methyl-CpG binding domain bisulfite sequencing (MBDBS)-using multiple individuals from two reef-building coral species with contrasting environmental sensitivity. All methods reveal substantially greater methylation in Montipora capitata (11.4%) than the more sensitive Pocillopora acuta (2.9%). The majority of CpG methylation in both species occurs in gene bodies and flanking regions. In both species, MBDBS has the greatest capacity for detecting CpGs in coding regions at our sequencing depth, but MBDBS may be influenced by intrasample methylation heterogeneity. RRBS yields robust information for specific loci albeit without enrichment of any particular genome feature and with significantly reduced genome coverage. Relative genome size strongly influences the number and location of CpGs detected by each method when sequencing depth is limited, illuminating nuances in cross-species comparisons. As genome-wide methylation differences, supported by data across bisulfite sequencing methods, may contribute to environmental sensitivity phenotypes in critical marine invertebrate taxa, these data provide a genomic resource for investigating the functional role of DNA methylation in environmental tolerance.</t>
  </si>
  <si>
    <t>10.1111/1755-0998.13542</t>
  </si>
  <si>
    <t>Kwong, SLT; Budd, AM; Hung, JYH; Villacorta-Rath, C; Uthicke, S</t>
  </si>
  <si>
    <t>Methylome Profiling of a Deuterostome Invertebrate Using Oxford Nanopore Technology (ONT)</t>
  </si>
  <si>
    <t>DNA methylation is crucial for genome regulation and provides key insights into the interaction between genetics and environmental factors, offering valuable perspectives for ecological research. However, knowledge of DNA methylation patterns in nonmodel invertebrates remains limited. The present study addresses this knowledge gap by conducting the first methylome profiling of the Pacific crown-of-thorns seastar (CoTS; Acanthaster cf. solaris), a coral-eating species that aggravates the decline of Indo-Pacific coral reefs. Using Oxford Nanopore Technology (ONT) we generated long-read sequences, covering over 90% of CpG dinucleotides in the CoTS genome. Our analysis revealed a mosaic methylation landscape with moderate genome-wide methylation levels of 37.7%. Comparative analysis highlights the intermediate methylation state observed in other deuterostome invertebrates, positioning them between the hypomethylated genomes of protostomes and the hypermethylated genomes of vertebrates. Methylation in CoTS was predominantly localised within gene bodies, especially in intronic regions, enabling modulation of gene expression and potentially supporting fitness in dynamic marine environments. Additionally, elevated methylation in repetitive elements suggests a role in genome defence. This study demonstrates the effectiveness of ONT for comprehensive methylome analysis in ecologically important nonmodel species and deepens our understanding of the epigenetic landscape in deuterostome invertebrates. We also present a detailed laboratory and bioinformatics workflow, including modified phenol-chloroform protocols that address the challenge of extracting high molecular weight DNA from marine invertebrates. Together with the methylome profiles, these resources serve as a foundation for future research, enabling investigations into DNA methylation functions, applications for CoTS outbreak management and comparative studies across diverse lineages.</t>
  </si>
  <si>
    <t>2025 AUG 5</t>
  </si>
  <si>
    <t>10.1111/1755-0998.70026</t>
  </si>
  <si>
    <t>Planques, A; Kerner, P; Ferry, L; Grunau, C; Gazave, E; Vervoort, M</t>
  </si>
  <si>
    <t>DNA methylation atlas and machinery in the developing and regenerating annelid Platynereis dumerilii</t>
  </si>
  <si>
    <t>BMC BIOLOGY</t>
  </si>
  <si>
    <t>Background Methylation of cytosines in DNA (5mC methylation) is a major epigenetic modification that modulates gene expression and constitutes the basis for mechanisms regulating multiple aspects of embryonic development and cell reprogramming in vertebrates. In mammals, 5mC methylation of promoter regions is linked to transcriptional repression. Transcription regulation by 5mC methylation notably involves the nucleosome remodeling and deacetylase complex (NuRD complex) which bridges DNA methylation and histone modifications. However, less is known about regulatory mechanisms involving 5mC methylation and their function in non-vertebrate animals. In this paper, we study 5mC methylation in the marine annelid worm Platynereis dumerilii, an emerging evolutionary and developmental biology model capable of regenerating the posterior part of its body post-amputation. Results Using in silico and experimental approaches, we show that P. dumerilii displays a high level of DNA methylation comparable to that of mammalian somatic cells. 5mC methylation in P. dumerilii is dynamic along the life cycle of the animal and markedly decreases at the transition between larval to post-larval stages. We identify a full repertoire of mainly single-copy genes encoding the machinery associated with 5mC methylation or members of the NuRD complex in P. dumerilii and show that this repertoire is close to the one inferred for the last common ancestor of bilaterians. These genes are dynamically expressed during P. dumerilii development and regeneration. Treatment with the DNA hypomethylating agent Decitabine impairs P. dumerilii larval development and regeneration and has long-term effects on post-regenerative growth. Conclusions Our data reveal high levels of 5mC methylation in the annelid P. dumerilii, highlighting that this feature is not specific to vertebrates in the bilaterian clade. Analysis of DNA methylation levels and machinery gene expression during development and regeneration, as well as the use of a chemical inhibitor of DNA methylation, suggest an involvement of 5mC methylation in P. dumerilii development and regeneration. We also present data indicating that P. dumerilii constitutes a promising model to study biological roles and mechanisms of DNA methylation in non-vertebrate bilaterians and to provide new knowledge about evolution of the functions of this key epigenetic modification in bilaterian animals.</t>
  </si>
  <si>
    <t>10.1186/s12915-021-01074-5</t>
  </si>
  <si>
    <t>Elango, N; Yi, SV</t>
  </si>
  <si>
    <t>DNA methylation and structural and functional bimodality of vertebrate promoters</t>
  </si>
  <si>
    <t>Human promoters divide into 2 classes, the low CpG (LCG) and the high CpG (HCG), based on their CpG dinucleotide content. The LCG class of promoters is hypermethylated and is associated with tissue-specific genes, whereas the HCG class is hypomethylated and associated with broadly expressed genes. By analyzing several chordate genomes separated for hundreds of millions of years, here we show that the divide between low CpG and high CpG promoters is conserved in several distantly related vertebrate taxa (including human, chicken, frog, lizard, and fish) but not in close invertebrate outgroups (sea squirts). Furthermore, LCG and HCG promoters are distinctively associated with tissue-specific and broadly expressed genes in these distantly related vertebrate taxa. Our results indicate that the function of DNA methylation on gene expression is conserved across these vertebrate taxa and suggest that the 2 classes of promoters have evolved early in vertebrate evolution, as a consequence of the advent of global DNA methylation.</t>
  </si>
  <si>
    <t>10.1093/molbev/msn110</t>
  </si>
  <si>
    <t>Luviano, N; Duval, D; Ittiprasert, W; Allienne, JF; Tavernier, G; Chaparro, C; Cosseau, C; Grunau, C</t>
  </si>
  <si>
    <t>Hit-and-Run Epigenetic Editing for Vectors of Snail-Borne Parasitic Diseases</t>
  </si>
  <si>
    <t>FRONTIERS IN CELL AND DEVELOPMENTAL BIOLOGY</t>
  </si>
  <si>
    <t>Snail-borne parasitic diseases represent an important challenge to human and animal health. Control strategies that target the intermediate snail host has proved very effective. Epigenetic mechanisms are involved in developmental processes and therefore play a fundamental role in developmental variation. DNA methylation is an important epigenetic information carrier in eukaryotes that plays a major role in the control of chromatin structure. Epigenome editing tools have been instrumental to demonstrate functional importance of this mark for gene expression in vertebrates. In invertebrates, such tools are missing, and the role of DNA methylation remains unknown. Here we demonstrate that methylome engineering can be used to modify in vivo the CpG methylation level of a target gene in the freshwater snail Biomphalaria glabrata, intermediate host of the human parasite Schistosoma mansoni. We used a dCas9-SunTag-DNMT3A complex and synthetic sgRNA to transfect B. glabrata embryos and observed an increase of CpG methylation at the target site in 50% of the hatching snails.</t>
  </si>
  <si>
    <t>FEB 28</t>
  </si>
  <si>
    <t>10.3389/fcell.2022.794650</t>
  </si>
  <si>
    <t>Tang, J; Song, AM; Pan, LQ; Miao, JJ; Li, ZY; Zhou, YY</t>
  </si>
  <si>
    <t>Study of DNA methylation of hsd17β, er and reproductive endocrine disrupting effects in female Chlamys farreri under benzo[a]pyrene stress</t>
  </si>
  <si>
    <t>ENVIRONMENTAL POLLUTION</t>
  </si>
  <si>
    <t>Benzo[a]pyrene (B[a]P) is one kind of persistent organic pollutants (POPs) in the marine environment which has multiple toxic effects. However, epigenetic studies correlated with reproductive endocrine disruption in in-vertebrates have not been explored. In our study, Chlamys farreri in the mature stage were exposed to B[a]P (0, 0.4, 2 and 10 mu g/L) for 5 and 10 d to explore the effects on reproductive endocrine and DNA methylation. The results proved that B[a]P stress significantly restrained the growth of mature oocytes, reduced the content of sex hormones, and affected the expression of genes related to ovarian development. Histological observation showed that the ovarian microstructure was damaged. The detection of SAM/SAH, dnmts, GNMT in the ovary showed that the level of global DNA methylation fluctuated. Significant hypermethylation of the hsd17 beta promoter region in the ovary was associated with a significant downregulation of its gene expression. In summary, our results suggested that exposure to B[a]P might affect DNA methylation to regulate key reproductive genes, interfere with the synthesis of sex hormones, and inhibit ovarian development. These findings provide a basis for a better understanding of how epigenetic mechanisms are involved in the response of marine invertebrates to POPs stress, opening up new avenues for incorporating environmental epigenetic approaches into marine invertebrate management and conservation plans.</t>
  </si>
  <si>
    <t>JUL 1</t>
  </si>
  <si>
    <t>10.1016/j.envpol.2023.121667</t>
  </si>
  <si>
    <t>Tyunin, AP; Ageenko, NV; Kiselev, KV</t>
  </si>
  <si>
    <t>Effects of 5-azacytidine-induced DNA demethylation on polyketide synthase gene expression in larvae of sea urchin Strongylocentrotus intermedius</t>
  </si>
  <si>
    <t>BIOTECHNOLOGY LETTERS</t>
  </si>
  <si>
    <t>To investigate the role of cytosine methylation in regulation of polyketide compounds biosynthesis in larvae of Strongylocentrotus intermedius. Treatment of S. intermedius larvae with 100 and 200 A mu M 5-azacytidine (5A) as a DNA demethylating agent significantly increased the amounts of spinochrome D and spinochrome E, as the number of pigmented cells per studied larva, in a dose-depended manner. The data on SiPks gene expression showed enhancement in 16- and 67-fold in S. intermedius larvae treated with 100 and 200 A mu M 5A, respectively, relative to untreated ones. Moreover, the activation of transcription factors SiGcm, SiGatae and SiKrl gene expression involved in regulation of SiPks was observed in S. intermedius larvae upon treatment with 5A, suggesting DNA methylation being powerful regulator of polyketide compounds biosynthesis. This is the first study to describe the role of cytosine DNA methylation in the regulation of polyketide compounds biosynthesis in sea urchins. Current study implies a negative control provided by cytosine DNA methylation machinery as a key regulator of polyketide compound biosynthesis.</t>
  </si>
  <si>
    <t>10.1007/s10529-016-2191-3</t>
  </si>
  <si>
    <t>Albalat, R</t>
  </si>
  <si>
    <t>Evolution of DNA-methylation machinery: DNA methyltransferases and methyl-DNA binding proteins in the amphioxus Branchiostoma floridae</t>
  </si>
  <si>
    <t>DEVELOPMENT GENES AND EVOLUTION</t>
  </si>
  <si>
    <t>DNA methylation is an epigenetic mark associated with gene regulation and cell memory, silencing of transposable elements, genomic imprinting, and repression of spurious transcription of duplicated sequences. These roles have varied widely during animal evolution and current functions depend on the specific methylation pattern of the species under consideration. The patterns of methylation are established, maintained, and translated into appropriate functional states by the DNA-methylation machinery, which includes three groups of methyltransferase enzymes, Dnmt1, Dnmt2 and Dnmt3, and five methyl-DNA binding proteins, Mbd1, Mbd2, Mbd3, Mbd4, and MeCP2. In this study, I have identified the members of the Dnmt and the Mbd gene families in the cephalochordate amphioxus (Branchiostoma floridae), the most basal extant chordate and one of the closest sister groups of vertebrates. Database searches, phylogenetic studies and protein domain analyses revealed the presence of the three major groups of Dnmt enzymes in the cephalochordate genome, whereas only two Mbd members, Mbd2/3 and Mbd4, were found. Analysis of the amphioxus methylation machinery suggested that the complexity and the structural organization of cephalochordate methyltransferases do not differ substantially from those of current vertebrate enzymes, while new Mbd proteins arose in vertebrates, which perhaps minimized certain collateral effects associated with the major genomic changes that occurred during the invertebrate-vertebrate transition.</t>
  </si>
  <si>
    <t>10.1007/s00427-008-0247-7</t>
  </si>
  <si>
    <t>Venkataraman, YR; Downey-Wall, AM; Ries, J; Westfield, I; White, SJ; Roberts, SB; Lotterhos, KE</t>
  </si>
  <si>
    <t>General DNA Methylation Patterns and Environmentally-Induced Differential Methylation in the Eastern Oyster (Crassostrea virginica)</t>
  </si>
  <si>
    <t>Epigenetic modification, specifically DNA methylation, is one possible mechanism for intergenerational plasticity. Before inheritance of methylation patterns can be characterized, we need a better understanding of how environmental change modifies the parental epigenome. To examine the influence of experimental ocean acidification on eastern oyster (Crassostrea virginica) gonad tissue, oysters were cultured in the laboratory under control (491 +/- 49 matm) or high (2550 +/- 211 matm) pCO(2) conditions for 4 weeks. DNA from reproductive tissue was isolated from five oysters per treatment, then subjected to bisulfite treatment and DNA sequencing. Irrespective of treatment, DNA methylation was primarily found in gene bodies with approximately 22% of CpGs (2.7% of total cytosines) in the C. virginica genome predicted to be methylated. In response to elevated pCO(2), we found 598 differentially methylated loci primarily overlapping with gene bodies. A majority of differentially methylated loci were in exons (61.5%) with less intron overlap (31.9%). While there was no evidence of a significant tendency for the genes with differentially methylated loci to be associated with distinct biological processes, the concentration of these loci in gene bodies, including genes involved in protein ubiquitination and biomineralization, suggests DNA methylation may be important for transcriptional control in response to ocean acidification. Changes in gonad methylation also indicate potential for these methylation patterns to be inherited by offspring. Understanding how experimental ocean acidification conditions modify the oyster epigenome, and if these modifications are inherited, allows for a better understanding of how ecosystems will respond to environmental change.</t>
  </si>
  <si>
    <t>APR 22</t>
  </si>
  <si>
    <t>10.3389/fmars.2020.00225</t>
  </si>
  <si>
    <t>Zhang, X; Li, Q; Kong, LF; Yu, H</t>
  </si>
  <si>
    <t>DNA methylation changes detected by methylation-sensitive amplified polymorphism in the Pacific oyster (Crassostrea gigas) in response to salinity stress</t>
  </si>
  <si>
    <t>GENES &amp; GENOMICS</t>
  </si>
  <si>
    <t>Salinity is a considerable factor to the survival and distribution for a majority of marine organisms, the drawbacks of which are becoming a serious issue of aquaculture. DNA methylation, an extensively studied epigenetic modification in eukaryotes, plays a significant role in the regulation of gene expression in responding to environmental changes and triggering evolutionary consequences. The Pacific oyster Crassostrea gigas, as a eurythermal and euryhaline species, is considered to be tolerant to salinity fluctuation. In this study, fluorescent-labeled methylation-sensitive amplified polymorphism (F-MSAP) analysis was used to investigate the frequency and variation of DNA methylation in C. gigas under different salinity and time. The results showed that total methylation level was generally on a downward trend. At lower salinity, the total methylation level decreased at the earlier process and then increased during experiment process, but continued to shrink at the rest salinity. Fully methylation tended to better reflect the dynamics of total methylation. Recovery treatment showed that the extent and pattern of DNA methylation were difficult to return to the normal level in this research. The sequencing and BLAST analysis indicated that in salt stress most of the selected bands were closely related to the metabolism of nucleic acids and proteins, tropomyosin, and cellular transport, effecting on different biological processes of C. gigas. This work provides useful data to further elucidate the molecular mechanisms of salt stress response and tolerance in invertebrates.</t>
  </si>
  <si>
    <t>NOV</t>
  </si>
  <si>
    <t>10.1007/s13258-017-0583-y</t>
  </si>
  <si>
    <t>Downey-Wall, AM; Cameron, LP; Ford, BM; McNally, EM; Venkataraman, YR; Roberts, SB; Ries, JB; Lotterhos, KE</t>
  </si>
  <si>
    <t>Ocean Acidification Induces Subtle Shifts in Gene Expression and DNA Methylation in Mantle Tissue of the Eastern Oyster (Crassostrea virginica)</t>
  </si>
  <si>
    <t>Early evidence suggests that DNA methylation can mediate phenotypic responses of marine calcifying species to ocean acidification (OA). Few studies, however, have explicitly studied DNA methylation in calcifying tissues through time. Here, we examined the phenotypic and molecular responses in the extrapallial fluid and mantle (fluid and tissue at the calcification site) in adult eastern oyster (Crassostrea virginica) exposed to experimental OA over 80 days. Oysters were reared under three experimental pCO(2) treatments (control, 580 mu atm; moderate OA, 1,000 mu atm; high OA, 2,800 mu atm) and sampled at 6 time points (24 h-80 days). We found that high OA initially induced an increase in the pH of the extrapallial fluid (pH(EPF)) relative to the external seawater that peaked at day 9, but then diminished over time. Calcification rates were significantly lower in the high OA treatment compared to the other treatments. To explore how oysters regulate their extrapallial fluid, gene expression and DNA methylation were examined in the mantle-edge tissue of oysters from days 9 and 80 in the control and high OA treatments. Mantle tissue mounted a significant global molecular response (both in the transcriptome and methylome) to OA that shifted through time. Although we did not find individual genes that were significantly differentially expressed under OA, the pH(EPF) was significantly correlated with the eigengene expression of several co-expressed gene clusters. A small number of OA-induced differentially methylated loci were discovered, which corresponded with a weak association between OA-induced changes in genome-wide gene body DNA methylation and gene expression. Gene body methylation, however, was not significantly correlated with the eigengene expression of pH(EPF)-correlated gene clusters. These results suggest that OA induces a subtle response in a large number of genes in C. virginica, but also indicate that plasticity at the molecular level may be limited. Our study highlights the need to reassess our understanding of tissue-specific molecular responses in marine calcifiers, as well as the role of DNA methylation and gene expression in mediating physiological and biomineralization responses to OA.</t>
  </si>
  <si>
    <t>NOV 13</t>
  </si>
  <si>
    <t>10.3389/fmars.2020.566419</t>
  </si>
  <si>
    <t>Early evidence suggests that DNA methylation can mediate phenotypic responses of marine calcifying species to ocean acidification (OA). Few studies, however, have explicitly studied DNA methylation in calcifying tissues through time. Here, we examined the phenotypic and molecular responses in the extrapallial fluid and mantle (fluid and tissue at the calcification site) in adult eastern oyster (Crassostrea virginica) exposed to experimental OA over 80 days. Oysters were reared under three experimental pCO2 treatments (control, 580 mu atm; moderate OA, 1,000 mu atm; high OA, 2,800 mu atm) and sampled at 6 time points (24 h-80 days). We found that high OA initially induced an increase in the pH of the extrapallial fluid (pHEPF) relative to the external seawater that peaked at day 9, but then diminished over time. Calcification rates were significantly lower in the high OA treatment compared to the other treatments. To explore how oysters regulate their extrapallial fluid, gene expression and DNA methylation were examined in the mantle-edge tissue of oysters from days 9 and 80 in the control and high OA treatments. Mantle tissue mounted a significant global molecular response (both in the transcriptome and methylome) to OA that shifted through time. Although we did not find individual genes that were significantly differentially expressed under OA, the pHEPF was significantly correlated with the eigengene expression of several co-expressed gene clusters. A small number of OA-induced differentially methylated loci were discovered, which corresponded with a weak association between OA-induced changes in genome-wide gene body DNA methylation and gene expression. Gene body methylation, however, was not significantly correlated with the eigengene expression of pHEPF-correlated gene clusters. These results suggest that OA induces a subtle response in a large number of genes in C. virginica, but also indicate that plasticity at the molecular level may be limited. Our study highlights the need to reassess our understanding of tissue-specific molecular responses in marine calcifiers, as well as the role of DNA methylation and gene expression in mediating physiological and biomineralization responses to OA.</t>
  </si>
  <si>
    <t>10.3389/fmars.7070.566419</t>
  </si>
  <si>
    <t>Epigenetic variation of wild populations of the Pacific oyster Crassostrea gigas determined by methylation-sensitive amplified polymorphism analysis</t>
  </si>
  <si>
    <t>FISHERIES SCIENCE</t>
  </si>
  <si>
    <t>Epigenetic variation can provide insights into ecological and evolutionary processes of eukaryote well-being, and can also be useful information for the conservation and management of wildlife. DNA methylation, a major epigenetic mechanism, plays a central role in gene regulation and phenotype variation in eukaryote genomes. However, in natural invertebrate populations, the potential role of epigenetic variation in DNA methylation polymorphisms and the association between this and genetic profiles remains largely unknown. In this work, we estimated epigenetic diversity and differentiation of the Pacific oyster Crassostrea gigas, from seven natural Chinese and Korean populations using the fluorescent-labeled methylation-sensitive amplified polymorphism (F-MSAP) technique. In total, 636 MSAP loci revealed an unambiguous genome-wide methylation status (31.32-43.23% on average) as well as extensive epigenetic polymorphism (approximately 97%) at 5'-CCGG-3' sites. The unweighted pair group method with arithmetic mean and principal coordinates analysis separated the seven C. gigas populations remarkably well, reflecting great epigenetic differentiation among populations, and in particular for the Korean population. Variation was higher in epigenetic structure than in genetic structure. Both multivariate analysis and a significantly different population molecular structure suggested that epigenetic variation might be determined by the combined effects of geographical barriers as well as current features and founder characteristics. A Mantel test showed a moderate but significant correlation between epigenetic and genetic profiles, indicating epigenetic variation coupled with genetic distribution in natural, wild C. gigas populations. This study provides some information on the role of DNA methylation in adaptive epigenetic divergence in wild marine bivalve populations.</t>
  </si>
  <si>
    <t>JAN</t>
  </si>
  <si>
    <t>10.1007/s12562-017-1154-5</t>
  </si>
  <si>
    <t>Müller, R; Charaf, S; Scherer, C; Oppold, A; Oehlmann, J; Wagner, M</t>
  </si>
  <si>
    <t>Phenotypic and epigenetic effects of vinclozolin in the gastropod Physella acuta</t>
  </si>
  <si>
    <t>JOURNAL OF MOLLUSCAN STUDIES</t>
  </si>
  <si>
    <t>Vinclozolin (VZ) is an endocrine-disrupting chemical that is able to interact with the endocrine system of mammalian models directly via receptor-binding and indirectly via the epigenetic regulation of DNA methylation. Gastropods often respond sensitively to chemicals classified as endocrine disrupting chemicals, but information on epigenetics is almost absent for this group. In order to investigate potential phenotypic and epigenetic effects of VZ in gastropods, we performed a two-generation study with the freshwater snail Physella acuta. The parental generation (F-0) of P. acuta was exposed to 0.01, 0.1, 10 and 100 mu g l(-1) VZ. VZ-exposed F-0 and nonexposed offspring of the control, 0.1 and 100 mu g l(-1) groups (F-1 and F-2) were investigated for phenotypic (reproduction, growth and embryo development) and epigenetic (5-methyl cytosine content) effects. VZ exposure of F-0 did not induce an adverse reproductive phenotype in P. acuta. However, the size of F-1 adults and the mortality of F-2 embryos significantly increased when F-0 adults were previously exposed to 100 mu g l(-1) VZ. At the level of global DNA methylation, we did not observe a VZ effect, but global DNA methylation of P. acuta decreased with increasing age. VZ affected the offspring of 100 mu g l(-1) VZ-exposed individuals, most probably due to an indirect VZ exposure of F-1 (embryonic stage) and F-2 (germline). The postulated relationship between VZ phenotype and epitype was not shown by the present study. However, our results demonstrate for the first time the presence and age-dependence of DNA methylation in P. acuta.</t>
  </si>
  <si>
    <t>10.1093/mollus/eyv069</t>
  </si>
  <si>
    <t>Jiang, Q; Li, Q; Yu, H; Kong, LF</t>
  </si>
  <si>
    <t>Expression and DNA methylation pattern of reproduction-related genes in partially fertile triploid Pacific oysters Crassostrea gigas</t>
  </si>
  <si>
    <t>Partial or complete sterility is an obvious feature in triploid Pacific oyster (Crassostrea gigas) which contributes to improving rearing performances. Despite the significance of sterility, the molecular mechanism behind it remains elusive and related research was limited. This study focused on six reproduction-related genes and compared their different behavior in gene expression and DNA methylation pattern between triploid and diploid oysters in order to provide more molecular information. The gonadal development of triploid oyster was examined by histology before molecular analysis. Gametogenesis disturbance was observed in triploid oysters at different development stages (stage II and III) with more serious impairment in females. QPCR showed significant gene expression difference between diploid and triploid in two genes: putative Vg and cgER. Gene expression of putative Vg was delayed in triploids while for cgER triploid oyster showed higher expression and the difference was significant at stage III. DNA methylation pattern of these two genes were further investigated by bisulfite sequencing. Between diploid and triploid oysters, no difference was observed in total methylation level but some individual loci showed different patterns: significantly high methylation rate of loci 2284 in cgER was observed in triploid oyster which has a higher expression of this gene. This study indicated that putative Vg and cgER might play a role in partial sterile in triploid C. gigas. Gene expression could be regulated by the methylation pattern at specific individual locus, which deserves equivalent attention as well as total DNA methylation level.</t>
  </si>
  <si>
    <t>10.1007/s13258-017-0563-2</t>
  </si>
  <si>
    <t>Rahman, S; Billah, MM; Rangel, V; Cantu, E</t>
  </si>
  <si>
    <t>Elevated temperature triggers increase in global DNA methylation, 5-methylcytosine expression levels, apoptosis and NOx levels in the gonads of Atlantic sea urchin</t>
  </si>
  <si>
    <t>COMPARATIVE BIOCHEMISTRY AND PHYSIOLOGY B-BIOCHEMISTRY &amp; MOLECULAR BIOLOGY</t>
  </si>
  <si>
    <t>Global warming is one of the greatest threats to living organisms. Among them, marine invertebrates are severely impacted on reproductive fitness by rising seawater surface temperatures due to climate change (e.g., massive heat waves). In this study, we used highly sensitive radioimmunoassay, immunohistochemistry, enzyme-linked immunosorbent assay (ELISA), in situ TUNEL assay, luminescence assay, and colorimetric assay techniques to investigate the impacts of high temperatures on global DNA methylation, cellular apoptosis, and nitrative stress in gonads of Atlantic sea urchin (Arbacia punctulata, a commercially important species). Young adult sea urchins were exposed to 24, 28, and 32 C-degrees for one week in a controlled laboratory setting. High temperatures (28 and 32 C-degrees) markedly increased global DNA methylation (around 1.1-1.5-fold in testes and similar to 1.7-fold in ovaries) and 5-methylcytosine (5-mC) levels in gonads (around 2.7-to-5.1-fold in ovaries and similar to 3.5-to similar to 6.2-fold in testes) compared with controls (24 C-degrees). The number of apoptotic nuclei in gonads was much higher in high-temperature groups. The caspase activity also increased significantly (P &lt; 0.05) in gonads in high-temperature groups. Ni-trate/nitrites (NOx, a biomarker of reactive nitrogen species) levels were increased around 2.6-to similar to 5.2-fold in testes and similar to 1.9- to similar to 3.8-fold in ovaries in high-temperature groups. Collectively, these outcomes indicate that high temperatures drastically induce global DNA methylation, 5-mC expression levels, cellular apoptosis, and NOx levels in the gonads of Atlantic sea urchin.</t>
  </si>
  <si>
    <t>10.1016/j.cbpb.2023.110899</t>
  </si>
  <si>
    <t>Guo, BY; Feng, D; Xu, ZT; Qi, PZ; Yan, XJ</t>
  </si>
  <si>
    <t>Acute benzo[a]pyrene exposure induced oxidative stress, neurotoxicity and epigenetic change in blood clam Tegillarca granosa</t>
  </si>
  <si>
    <t>The blood clam (Tegillarca granosa) is being developed into a model bivalve mollusc for assessing and monitoring marine pollution on the offshore seabed. However, the information on the response of blood clam to PAHs, an organic pollutant usually deposited in submarine sediment, remains limited. Herein, we employed multiple biomarkers, including histological changes, oxidative stress, neurotoxicity and global DNA methylation, to investigate the effects of 10 and 100 mu g/L Bap exposure on the blood clams under laboratory conditions, as well as the potential mechanisms. Acute Bap exposure can induce significant morphological abnormalities in gills as shown through hematoxylin-eosin (H.E) staining, providing an intuitive understanding on the effects of Bap on the structural organization of the blood clams. Meanwhile, the oxidative stress was significantly elevated as manifested by the increase of antioxidants activities of superoxide dismutase (SOD), catalase (CAT), peroxidase (POD) and glutathione-s-transferase (GST), lipid peroxidation (LPO) level and 8-hydroxy-2 '-deoxyguanosine (8-OHdG) content. The neurotoxicity was also strengthened by Bap toxicity manifested as inhibited acetylcholinesterase (AChE) and choline acetyltransferase (ChAT) activities. In addition, the global DNA methylation level was investigated, and a significant DNA hypomethylation was observed in Bap exposed the blood clam. The correlation analysis showed that the global DNA methylation was negatively correlated with antioxidants (SOD, CAT and POD) activities, but positively correlated choline enzymes (AChE and ChAT) activities. These results collectively suggested that acute Bap exposure can cause damage in gills structures in the blood clam possibly by generating oxidative stress and neurotoxicity, and the global DNA methylation was inhibited to increase the transcriptional expression level of antioxidants genes and consequently elevate antioxidants activities against Bap toxicity. These results are hoped to shed some new light on the study of ecotoxicology effect of PAHs on marine bivalves.</t>
  </si>
  <si>
    <t>SEP 21</t>
  </si>
  <si>
    <t>10.1038/s41598-021-98354-5</t>
  </si>
  <si>
    <t>Akcha, F; Barranger, A; Bachère, E</t>
  </si>
  <si>
    <t>Genotoxic and epigenetic effects of diuron in the Pacific oyster: in vitro evidence of interaction between DNA damage and DNA methylation</t>
  </si>
  <si>
    <t>ENVIRONMENTAL SCIENCE AND POLLUTION RESEARCH</t>
  </si>
  <si>
    <t>Recently, research has contributed to better knowledge on the occurrence of pesticides in coastal water by identifying frequently detected substances, their concentration range and their acute and chronic toxicity for organisms. Pesticide pollution is of particular concern in France due to important agricultural activities and presence of several exoreic catchment areas that vehicle pesticides up to coastal waters, impacting non-target marine species. Several ecotoxicology questions remain to be addressed concerning the long-term effects of chronic pesticide exposure and the mechanisms involved in adaptation to chemical stress. In the present study, we brought new insights on the genetic and epigenetic effects of the herbicide diuron in oyster genitors. During gametogenesis, we exposedCrassostrea gigasto environmentally realistic herbicide concentrations (0.2-0.3 mu g L(-1)during two 7-day periods at half-course and end of gametogenesis). Diuron exposure was shown to decrease global DNA methylation and total methyltransferase activity in whole oyster tissue; this is consistent with the previous observation of a significant decrease in DNMT1 gene expression. Diuron effect seemed to be tissue-specific; hypermethylation was detected in the digestive gland, whereas diuron exposure had no effect on gill and gonad tissue. The genotoxicity of diuron was confirmed by the detection of one adduct in gonad DNA. By using in vitro approaches and human DNMT1 (DNMT1 has not been purified yet in bivalves), the presence of DNA lesions (adduct, 8-oxodGuo) was shown to interfere with DNMT1 activity, indicating a complex interaction between DNA damage and DNA methylation. Based on our results, we propose mechanisms to explain the effect of diuron exposure on DNA methylation, a widespread epigenetic mark.</t>
  </si>
  <si>
    <t>10.1007/s11356-020-11021-6</t>
  </si>
  <si>
    <t>Conn, T; Ashey, J; Cunning, R; Putnam, HM</t>
  </si>
  <si>
    <t>Genome assembly and annotation of Acropora pulchra from Mo'orea French Polynesia</t>
  </si>
  <si>
    <t>GIGABYTE</t>
  </si>
  <si>
    <t>Reef-building corals are integral ecosystem engineers of tropical reefs but face threats from climate change. Investigating genetic, epigenetic, and environmental factors influencing their adaptation is critical. Genomic resources are essential for understanding coral biology and guiding conservation efforts. However, genomes of the coral genus Acropora are limited to highly-studied species. Here, we present the assembly and annotation of the genome and DNA methylome of Acropora pulchra from Mo'orea, French Polynesia. Using long-read PacBio HiFi and Illumina RNASeq, we generated the most complete Acropora genome to date (BUSCO completeness of 96.7% metazoan genes). The assembly size is 518 Mbp, with 174 scaffolds, and a scaffold N50 of 17 Mbp. We predicted 40,518 protein-coding genes and 16.74% of the genome in repeats. DNA methylation in the CpG context is 14.6%. This assembly of the A. pulchra genome and DNA methylome will support studies of coastal corals in French Polynesia, aiding conservation and comparative studies of Acropora and cnidarians.</t>
  </si>
  <si>
    <t>APR 10</t>
  </si>
  <si>
    <t>10.1101/2025.03.27.645822</t>
  </si>
  <si>
    <t>Bisanti, L; La Corte, C; Dara, M; Bertini, F; Rizzuto, G; Valenti, R; Naselli, F; Parrinello, D; Parisi, MG; Tomasello, A; Caradonna, F; Chemello, R; Cammarata, M</t>
  </si>
  <si>
    <t>Stress memory and epigenome variations: insights into the thermal tolerance potential of Cladocora caespitosa (Linnaeus, 1767), a Mediterranean hermatypic coral</t>
  </si>
  <si>
    <t>Stress memory is a key ecological and evolutionary response for sessile organisms under changing environmental conditions, but the ubiquity of this phenomenon among coral species and habitat is unknown. We exposed colonies of the Mediterranean coral Cladocora caespitosa to two short-term thermal profiles (constant high and pulse) and quantified the genome-wide DNA methylation level before stress testing 75 days later. Here we show that a protective effect could be induced using short-term thermal profiles, which significantly improved immune tolerance and bleaching resistance. We found a significant relationship between genomic methylation levels and accumulated thermal stress by corals, preliminarily suggesting an epigenetic regulation dynamic of temperate coral tolerance in response to climate change. Our results represent new mechanistic insights into the stress memory of Mediterranean corals, supporting a role for DNA methylation in crucial cryptic complexity of plasticity avenues.</t>
  </si>
  <si>
    <t>MAY 9</t>
  </si>
  <si>
    <t>10.3389/fmars.2025.1579913</t>
  </si>
  <si>
    <t>Wang, YX; Wang, XM; Wang, YL; Chen, MY</t>
  </si>
  <si>
    <t>Genome-wide DNA methylation profiling reveals epigenetic regulation of sex differentiation and gonadal development in Apostichopus japonicus</t>
  </si>
  <si>
    <t>AQUACULTURE</t>
  </si>
  <si>
    <t>The sea cucumber (Apostichopus japonicus) is an economically important marine benthic echinoderm. Understanding the molecular mechanisms of sex determination and differentiation is critical for improving sexcontrolled breeding strategies. Epigenetic modifications serve as a crucial link between an organism's genetic information and environmental cues, playing a fundamental role in determining sex fate and conferring sexual plasticity across various species. The echinoderms exhibit an extremely diverse reproductive strategies, including both sexual reproduction and asexual reproduction. However, the molecular mechanisms governing epigenetic regulation in the sex differentiation process within echinoderms remain elusive. Here, we integrated genomewide DNA methylation profiling and transcriptomic analysis of mature male and female gonads to investigate epigenetic regulation during sex differentiation. We identified 12,605 differentially methylated regions (DMRs) and 2764 differentially methylated genes (DMGs). By comparing the methylation levels of genes with different expression patterns, non-specific, or housekeeping genes, show high methylation in gene body region, while specifically expressed genes have lower methylation, which suggested that CpG methylation targeting housekeeping genes preferentially. Protein-protein interaction networks and functional enrichment analysis of differentially expressed methylated genes (DEMGs) revealed significant associations with sex-related processes, including steroid metabolism (hsd17 beta 4, cyp17a1), meiosis (dmc1, mei4, msh4), spermatogenesis (cfap, kif families), and oogenesis (fmn2, igf2bp3). Our findings demonstrate that DNA methylation dynamically regulates transcriptional programs governing sex differentiation in A. japonicus, providing a molecular basis for enhancing reproductive management in sea cucumber aquaculture.</t>
  </si>
  <si>
    <t>JAN 15</t>
  </si>
  <si>
    <t>10.1016/j.aquaculture.2025.743153</t>
  </si>
  <si>
    <t>Strader, ME; Kozal, LC; Leach, TS; Wong, JM; Chamorro, JD; Housh, MJ; Hofmann, GE</t>
  </si>
  <si>
    <t>Examining the Role of DNA Methylation in Transcriptomic Plasticity of Early Stage Sea Urchins: Developmental and Maternal Effects in a Kelp Forest Herbivore</t>
  </si>
  <si>
    <t>Gene expression plasticity can confer physiological plasticity in response to the environment. However, whether epigenetic marks contribute to the dynamics of gene expression is still not well described in most marine invertebrates. Here, we explored the extent and molecular basis of intra- and intergenerational plasticity in the purple sea urchin, Strongylocentrotus purpuratus, by examining relationships between changes in DNA methylation, transcription, and embryo spicule length. Adult urchins were conditioned in the lab for 4 months to treatments that represent upwelling (similar to 1200 mu atm rho CO2, 13 degrees C) and non-upwelling conditions (similar to 500 mu atm rho CO2, 17 degrees C). Embryos spawned from conditioned adults were reared in either the same adult treatment or the reciprocal condition. Maternal conditioning resulted in significantly differentially methylated CpG sites and differential gene expression in embryos, despite no evidence of maternal effects on embryo spicule length. In contrast, conditions experienced during development resulted in significant differences in embryo spicule length. Intragenerational plasticity in spicule length was strongly correlated to transcriptomic plasticity, despite low levels of intragenerational plasticity in CpG methylation. We find plasticity in DNA methylation and gene expression in response to different maternal environments and these changes have similarities across broad functional groups of genes; yet exhibit little overlap on a gene-by-gene basis. Our results suggest that different forms of environmentally induced plasticity are observable across different time scales and that DNA methylation dynamics may be uncoupled from fast transcriptional responses to the environment and whole organism traits. Overall, this study illuminates the extent to which environmental differences can induce both intra-and intergenerational phenotypic plasticity in a common kelp forest herbivore.</t>
  </si>
  <si>
    <t>APR 21</t>
  </si>
  <si>
    <t>10.3389/fmars.2020.00205</t>
  </si>
  <si>
    <t>Rajan, KC; Meng, Y; Yu, ZN; Roberts, SB; Vengatesen, T</t>
  </si>
  <si>
    <t>Oyster biomineralization under ocean acidification: From genes to shell</t>
  </si>
  <si>
    <t>GLOBAL CHANGE BIOLOGY</t>
  </si>
  <si>
    <t>Biomineralization is one of the key processes that is notably affected in marine calcifiers such as oysters under ocean acidification (OA). Understanding molecular changes in the biomineralization process under OA and its heritability, therefore, is key to developing conservation strategies for protecting ecologically and economically important oyster species. To do this, in this study, we have explicitly chosen the tissue involved in biomineralization (mantle) of an estuarine commercial oyster species, Crassostrea hongkongensis. The primary aim of this study is to understand the influence of DNA methylation over gene expression of mantle tissue under decreased similar to pH 7.4, a proxy of OA, and to extrapolate if these molecular changes can be observed in the product of biomineralization-the shell. We grew early juvenile C. hongkongensis, under decreased similar to pH 7.4 and control similar to pH 8.0 over 4.5 months and studied OA-induced DNA methylation and gene expression patterns along with shell properties such as microstructure, crystal orientation and hardness. The population of oysters used in this study was found to be moderately resilient to OA at the end of the experiment. The expression of key biomineralization-related genes such as carbonic anhydrase and alkaline phosphatase remained unaffected; thus, the mechanical properties of the shell (shell growth rate, hardness and crystal orientation) were also maintained without any significant difference between control and OA conditions with signs of severe dissolution. In addition, this study makes three major conclusions: (1) higher expression of Ca2+ binding/signalling-related genes in the mantle plays a key role in maintaining biomineralization under OA; (2) DNA methylation changes occur in response to OA; however, these methylation changes do not directly control gene expression; and (3) OA would be more of a 'dissolution problem' rather than a 'biomineralization problem' for resilient species that maintain calcification rate with normal shell growth and mechanical properties.</t>
  </si>
  <si>
    <t>10.1111/gcb.15675</t>
  </si>
  <si>
    <t>Kong, N; Liu, X; Li, JY; Mu, WD; Lian, JW; Xue, YJ; Li, Q</t>
  </si>
  <si>
    <t>Effects of temperature and salinity on survival, growth and DNA methylation of juvenile Pacific abalone, Haliotis discus hannai Ino</t>
  </si>
  <si>
    <t>CHINESE JOURNAL OF OCEANOLOGY AND LIMNOLOGY</t>
  </si>
  <si>
    <t>Temperature and salinity are two of the most potent abiotic factors influencing marine mollusks. In this study, we investigated the individual and combined effects of temperature and salinity on the survival and growth of juvenile Pacific abalone, Haliotis discus hannai Ino, and also examined the DNA methylation alteration that may underpin the phenotypic variation of abalone exposed to different rearing conditions. The single-factor data showed that the suitable ranges of temperature and salinity were 16-28A degrees C at a constant salinity of 32, and 24-40 at a constant temperature of 20A degrees C, respectively. The two-factor data indicated that both survival and growth were significantly affected by temperature, salinity and their interaction. The optimal temperature-salinity combination for juveniles was 23-25A degrees C and 30-36. To explore environment-induced DNA methylation alteration, the methylation-sensitive amplified polymorphism (MSAP) technique was used to analyze the genomic methylation profiles of abalone reared in optimal and adverse conditions. Neither temperature nor salinity induced evident changes in the global methylation level, but 67 and 63 differentially methylated loci were identified in temperature and salinity treatments, respectively. The between-group eigen analysis also showed that both temperature and salinity could induce epigenetic differentiation in H. discus hannai Ino. The results of our study provide optimal rearing conditions for juvenile H. discus hannai Ino, and represent the first step toward revealing the epigenetic regulatory mechanism of abalone in response to thermal and salt stresses.</t>
  </si>
  <si>
    <t>10.1007/s00343-016-5185-z</t>
  </si>
  <si>
    <t>Ding, GH; Wang, LY; Zhang, J; Wei, YY; Wei, L; Li, Y; Shao, MH; Xiong, DQ</t>
  </si>
  <si>
    <t>Toxicity and DNA methylation changes induced by perfluorooctane sulfonate (PFOS) in sea urchin Glyptocidaris crenularis</t>
  </si>
  <si>
    <t>CHEMOSPHERE</t>
  </si>
  <si>
    <t>Perfluorooctane sulfonate (PFOS) is an ubiquitous persistent organic pollutant, which can be bioaccumulated and cause adverse effects on organisms. However, there is very limited information about the toxic effects of PFOS to marine organisms and its mechanisms. Therefore, in the present study, adult sea urchins Glyptocidaris crenularis were exposed to PFOS for 21 d, followed by a 7-d depuration period, in order to investigate the toxicity of PFOS to sea urchin and its potential epigenetic mechanisms. Sea urchins dropped spines, and lowered down the motor ability and feeding ability after the PFOS exposure. Superoxide dismutase activities in supernatant of coelomic fluid of sea urchin increased firstly and then dropped down, while the change of the catalase activity took an opposite trend during the exposure period. They both approached to the corresponding activity of the control after the depuration period. The DNA methylation polymorphism, methylation rate and demethylation rate in sea urchin gonad all increased following the prolonged exposure time, and then decreased after the depuration period. The demethylation rates were lower than the corresponding methylation rates, therefore methylation events were dominant during the whole experimental period. This might suggest that sea urchin have strong self-protection mechanisms and can survive from the PFOS exposure presented in this study. Further efforts are needed to more precisely investigate the DNA methylation effects of PFOS and the self-protection mechanism of sea urchin. (C) 2015 Elsevier Ltd. All rights reserved.</t>
  </si>
  <si>
    <t>10.1016/j.chemosphere.2015.01.045</t>
  </si>
  <si>
    <t>Li, LP; Yu, JY; Xia, ZL; Gao, QX; Tang, QY; Yi, SK</t>
  </si>
  <si>
    <t>Unveiling the epigenetic signatures: DNA methylation patterns in the social hierarchies of male giant freshwater prawns (Macrobrachium rosenbergii)</t>
  </si>
  <si>
    <t>DNA methylation is a cornerstone of epigenetic regulation, yet its role in shaping social hierarchies within crustacean species remains poorly characterized. This study investigated the giant freshwater prawn (Macrobrachium rosenbergii, GFP), which exhibits distinct male morphotypes (blue claws [BC], orange claws [OC], and small males [SM]) and offers a compelling model for studying epigenetic regulation of phenotypic plasticity. Our population analysis revealed a morphotype distribution of 21.37 % BC, 63.36 % OC, and 15.27 % SM. Through comprehensive whole-genome bisulfite sequencing (WGBS) analysis, we identified 211 differentially methylated regions (DMRs) across morphotype comparisons (BC vs. OC, BC vs. SM, OC vs. SM), comprising 77 hypermethylated and 136 hypomethylated regions. These DMRs were functionally associated with 150 differentially methylated genes (DMGs), including 60 hypermethylated and 99 hypomethylated. Notably, hypomethylation of the vg (vitellogenin) 5 ' untranslated region in OC individuals enhanced reproductive responsiveness. Additionally, the hypomethylated DMG hspg2 (heparan sulfate proteoglycan 2) exhibited significant upregulation in BC group, potentially conferring a selective advantage in limb regeneration-thereby reinforcing social dominance behaviors. Moreover, hypomethylation and concurrent upregulation of the mitochondrial idh2 ([NADP]dependent isocitrate dehydrogenase 2) in SM individuals may underpin a specialized reproductive strategy by optimizing energy metabolism. This study provides insights into the intricate interplay between epigenetic modifications-particularly DNA methylation-and male GFP morphotype diversification. These findings also advance our understanding of epigenetic contributions to phenotypic variation in non-model arthropods and establish a foundation for future research on transgenerational epigenetics in aquatic species.</t>
  </si>
  <si>
    <t>OCT 15</t>
  </si>
  <si>
    <t>10.1016/j.aquaculture.2025.742838</t>
  </si>
  <si>
    <t>Mayasich, SA; Bemis, LT; Clarke, BL</t>
  </si>
  <si>
    <t>DNA methylation in a sea lamprey vasotocin receptor gene promoter correlates with tissue- and life-stage-specific mRNA expression</t>
  </si>
  <si>
    <t>The jawless vertebrate sea lamprey (Petromyzon marinus) genome has a different structure from both invertebrates and jawed vertebrates featuring high guanine-cytosine (GC) content. This raises the question of whether DNA methylation of cytosine-guanine (CpG) dinucleotides could function to regulate lamprey gene transcription. We previously characterized a lamprey arginine vasotocin (AVT) receptor gene (Pm807) possessing characteristics of both arginine vasopressin (AVP) VIA and oxytocin (OXT) receptor genes of jawed vertebrates. Lamprey Pm807 mRNA is highly expressed in adult heart and larval liver but not expressed in adult liver. Using high-resolution melt (HRM) PCR on bisulfite-converted DNA, we pinpointed a region with tissue specific differences in DNA melt characteristics, indicating differences in methylation level. Sequencing revealed a pattern of methylation at specific CpGs at consistently higher levels in adult heart and larval liver than adult liver. These CpGs are associated with putative transcription factor binding sequences organized similarly to functional OXTR promoters in mammals, suggesting functional similarity in lamprey gene transcription regulation. (C) 2016 Elsevier Inc. All rights reserved.</t>
  </si>
  <si>
    <t>10.1016/j.cbpb.2016.07.007</t>
  </si>
  <si>
    <t>Wang, YT; Huang, YR; Cheng, CL; Xue, QY; Chang, J; Wang, X; Duan, QJ; Miao, CG</t>
  </si>
  <si>
    <t>Dysregulation of circRNAs in rheumatoid arthritis, with special emphasis on circRNAs secreted by exosomes and the crosstalk between circRNAs and RNA methylations</t>
  </si>
  <si>
    <t>INTERNATIONAL IMMUNOPHARMACOLOGY</t>
  </si>
  <si>
    <t>Background: Rheumatoid arthritis (RA) is an autoimmune disease caused by a variety of unknown factors. It mainly occurs in the small joints of hands and feet, leading to cartilage destruction and bone erosion. Various pathologic mechanisms such as exosomes and RNA methylations are involved in the pathogenesis of RA.Methods: This work searches PubMed, Web of Science (SCIE) and Science Direct Online (SDOL) databases, it role of abnormally expressed circulating RNAs (circRNAs) in the pathogenesis of RA was summarized. And the relationship between circRNAs and exosomes and methylations.Results: Both the abnormal expression of circRNAs and the sponge effect of circRNAs on microRNAs (miRNAs) affect the pathogenesis of RA by regulating target genes. CircRNAs affect the proliferation, migration and in-flammatory reaction of RA-fibroblast-like synovial cells (FLSs), circRNAs in peripheral blood mononuclear cells (PBMCs) and macrophages also participate in the pathological mechanism of RA (Fig. 1). CircRNAs in exosomes are closely related to the pathogenesis of RA. In addition, exosomal circRNAs and the relationship between circRNAs and RNA methylations are closely related to the pathogenesis of RA.Conclusion: CircRNAs play an important role in the pathogenesis of RA and have the potential to be a new target for the diagnosis and treatment of RA. However, the development of mature circRNAs for clinical application is not a small challenge.</t>
  </si>
  <si>
    <t>10.1016/j.intimp.2023.110549</t>
  </si>
  <si>
    <t>Gouin, N; Notte, AM; Kolok, AS; Bertin, A</t>
  </si>
  <si>
    <t>Pesticide exposure affects DNA methylation patterns in natural populations of a mayfly</t>
  </si>
  <si>
    <t>SCIENCE OF THE TOTAL ENVIRONMENT</t>
  </si>
  <si>
    <t>Chemical pollutants derived from agricultural activities represent a major threat to freshwater biota. Despite growing evidence involving epigenetic processes, such as DNA methylation, in response to pesticide contamination in agroecosystems, research on wild populations of non-model species remains scarce, particularly for endemic freshwa-ter arthropods. Using the MethylRAD method, this study investigates whether exposure to pesticide contamination in natural populations of the endemic mayfly A. torrens produces genome wide changes in levels of DNA methylation. From a total of 1,377,147 MethylRAD markers produced from 285 specimens collected at 30 different study sites along the Limari watershed of north-central Chile, six showed significant differential methylation between populations exposed and unexposed to pesticides. In all cases the effect of pesticides was positive, independent and stronger than the effects detected for other spatial and environmental factors. Only one candidate marker appeared correlated signif-icantly with additional variables, nitrate and calcium levels, which also reflects the impact of agrichemicals and could additionally suggest, to a lower extent, antagonistic effects of mineral salts concentration for this specific marker. These results suggest that the effect of pesticide exposure on methylation levels is apparent at these six MethylRAD markers in A. torrens populations. Such data is challenging to obtain in natural populations and is, for the most part, lacking in ecotoxicological studies. Our study shows that DNA methylation processes are involved in the response to pesticide contamination in populations of the mayfly A. torrens in their natural habitat, and provides new evidence re-garding the impact of pesticide contamination and agricultural activities on the endemic fauna of lotic ecosystems.</t>
  </si>
  <si>
    <t>MAR 15</t>
  </si>
  <si>
    <t>10.1016/j.scitotenv.2022.161096</t>
  </si>
  <si>
    <t>Hong, HH; Lee, SG; Jo, J; Oh, J; Cheon, S; Lee, HG; Park, C</t>
  </si>
  <si>
    <t>Identification and sequencing of the gene encoding DNA methyltransferase 3 (DNMT3) from sea cucumber, Apostichopus japonicus</t>
  </si>
  <si>
    <t>MOLECULAR BIOLOGY REPORTS</t>
  </si>
  <si>
    <t>The sea cucumber Apostichopus japonicus is well known as a traditional tonic food and as a commercially important cultured aquatic species. This species produces saponins, and has a high potential to cope with environmental stress, such as aestivation, organ regeneration, and wound healing. Recently, several studies have shown that cellular reprogramming and the physiological responses of the sea cucumber to environmental changes, including aestivation, are potentially mediated by epigenetic DNA methylation. The DNA methyltransferase (DNMT)1 and DNMT3 genes are independent participants in the maintenance and de novo methylation of specific sequences. Sea urchin (Strongylocentrotus purpuratus) and starfish (Asterina pectinifera), which belong to the same phylum as A. japonicus, have both DNMT1 and DNMT3 genes. However, it was previously reported that DNMT1 is present, but DNMT3 is absent, in A. japonicus. In the present study, we sequenced the full-length cDNA of the A. japonicus DNMT3 gene. The newly sequenced DNMT3 gene comprises three major conserved domains (Pro-Trp-Trp-Pro (PWWP), plant homeodomain (PHD), and S-adenosylmethionine-dependent methyltransferase (AdoMet-MTase)), indicating that the DNMT3 possibly has de novo DNA methylation catalytic activity. Gene structure and phylogenetic analysis showed that sea cucumber DNMT3 is evolutionarily conserved in the Echinodermata. Next, we demonstrated the conservation of DNMT3 gene expression in sea cucumber and starfish belong to same phylum, echinoderm. Using reverse transcription-polymerase chain reaction, sea cucumber DNMT3 mRNA was detected in testis tissue, but not in other tissues tested, including the respiratory tree, muscle, tentacle, intestine, and ovary. This is inconsistent with previous reports, which showed the expression of DNMT3 in ovary, but not in testis of the starfish A. pectinifera, indicating the tissue- and species-specific expression of DNMT3 gene. Although further studies are needed to clarify the epigenetic regulatory mechanisms of DNMT3 and its application to the aquaculture industry, our findings may provide insights into the sea cucumber biology.</t>
  </si>
  <si>
    <t>10.1007/s11033-019-04821-8</t>
  </si>
  <si>
    <t>Suarez-Ulloa, V; Rivera-Casas, C; Michel, M; Eirin-Lopez, JM</t>
  </si>
  <si>
    <t>SEASONAL DNA METHYLATION VARIATION IN THE FLAT TREE OYSTER ISOGNOMON ALATUS FROM A MANGROVE ECOSYSTEM IN NORTH BISCAYNE BAY, FLORIDA</t>
  </si>
  <si>
    <t>JOURNAL OF SHELLFISH RESEARCH</t>
  </si>
  <si>
    <t>Epigenetic analyses constitute an emerging approach for better understanding of the mechanisms underlying environmental responses and their role during acclimatization and adaptation across diverse ecosystems. The expansion of environmental epigenetic studies to a broader range of ecologically and environmentally relevant organisms will enhance the capability to forecast ecological and evolutionary processes, as well as to facilitate a retrospective assessment of stress exposures in biomonitor organisms through epigenetic footprinting analyses. With such purpose, the present study monitored spatial and temporal variation in abiotic parameters (temperature, salinity, pH, and horizontal visibility) over a 2-y period in a mangrove ecosystem located in North Biscayne Bay (North Miami, FL). The obtained data were subsequently compared with epigenetic modifications (global genome-wide DNA methylation levels) in the flat tree oyster Isognomon alarus, used as a sentinel model organism across experimental sites. The obtained results revealed a certain level of seasonality in temporal DNA methylation patterns, which seem to be primarily associated with changes in temperature and horizontal visibility. These results constitute the first long-term study combining spatial and temporal epigenetic analyses in a marine organism in its natural environment, laying the initial groundwork to assess the biomonitoring potential of environmental epigenetic analyses.</t>
  </si>
  <si>
    <t>10.2983/035.038.0108</t>
  </si>
  <si>
    <t>Farias, ND; de Oliveira, NFP; da Silva, PM</t>
  </si>
  <si>
    <t>Perkinsus infection is associated with alterations in the level of global DNA methylation of gills and gastrointestinal tract of the oyster Crassostrea gasar</t>
  </si>
  <si>
    <t>JOURNAL OF INVERTEBRATE PATHOLOGY</t>
  </si>
  <si>
    <t>Bivalves are filter feeders that obtain food from seawater that may contain infectious agents, such as the protozoan parasites Perkinsus marinus and P. olseni that are associated with massive mortalities responsible for losses in the aquaculture industry. Despite all physical and chemical barriers, microorganisms cross epithelia and infect host tissues to cause pathologies. Epigenetics mechanisms play important roles in a variety of human processes, from embryonic development to cell differentiation and growth. It is currently emerging as crucial mechanism involved in modulation of host-parasite interactions and pathogenesis, promoting discovery of targets for drug treatment. In bivalves, little is known about epigenetic mechanism in host parasite interactions. The objective of the present study was to evaluate the effect of Perkinsus sp. infections on DNA methylation levels in tissues of Crassostrea gasar oysters. Samples were collected in 2015 and 2016 in the Mamanguape River estuary (PB). Oyster gills were removed and used for Perkinsus sp. diagnosis. Gills (G) and gastrointestinal tract (GT), as well as cultured P. marinus trophozoites were preserved in 95% ethanol for DNA extractions. DNA methylation levels were estimated from G and GT tissues of uninfected (n = 60) and infected oysters (n = 60), and from P. marinus trophozoites, by ELISA assays. Results showed that the mean prevalence of Perkinsus sp. infections was high (87.3%) in 2015 and moderate (59.6%) in 2016. DNA methylation levels of G and GT tissues were significantly lower in infected oyster than in uninfected oysters, suggesting that infections are associated with hypomethylation. Methylation level was significantly higher in G than in GT tissues, indicating a likely tissue-specific mechanism. P. marinus trophozoites showed 33% methylation. This was the first study that confirms alterations of DNA methylation in two tissues of C. gasar oysters in association with Perkinsus sp. infections.</t>
  </si>
  <si>
    <t>10.1016/j.jip.2017.08.007</t>
  </si>
  <si>
    <t>Agrelius, T; Dudycha, JL; Morris, JT</t>
  </si>
  <si>
    <t>Global DNA cytosine methylation variation in Spartina alterniflora at North Inlet, SC</t>
  </si>
  <si>
    <t>PLOS ONE</t>
  </si>
  <si>
    <t>Spartina alterniflora, marsh grass, is a vegetative apomicticly-reproducing halophyte native to marshes along the east coast of the United States and invasive across the world. S. alterniflora provides many ecosystem services including, but not limited to, water filtration, habitats for invertebrates, and sediment retention. Widespread diebacks of longstanding marsh grass colonies launched extensive investigations into probable mechanisms leading to patchy diebacks. There is still current debate as to the causes of a marsh dieback but environmental stress is acknowledged as a constant. Spatial epigenetic variation could contribute to variation of stress susceptibility, but the scale and structure of epigenetic variation is unknown. The current study investigates patterns of epigenetic variation in a natural population of S. alterniflora. This study examines variation of global DNA methylation within and among clones of the marsh grass Spartina alterniflora using an ELISA-like microplate reaction and observed significant heterogeneity of global DNA methylation within and among clones of S. alterniflora across the North Inlet basin, as well as significant differences of global methylation between adults and sexually produced seedlings. The present study also characterized differences for plants in a section of the population that experienced an acute marsh dieback in the year 2001 and have subsequently recolonized, finding a significant positive correlation between cytosine methylation and time period of colonization. The significant heterogeneity of global DNA methylation both within and among clones observed within this natural population of S. alterniflora and potential impacts from hypersaline environments at North Inlet suggests the need for more in-depth epigenetic studies to fully understand DNA methylation within an ecological context. Future studies should consider the effects of varying saline conditions on both global DNA and gene specific methylation.</t>
  </si>
  <si>
    <t>SEP 10</t>
  </si>
  <si>
    <t>10.1371/journal.pone.0203230</t>
  </si>
  <si>
    <t>Venkataraman, YR; Huffmyer, AS; White, SJ; Downey-Wall, A; Ashey, J; Becker, DM; Bengtsson, Z; Putnam, HM; Strand, E; Rodríguez-Casariego, JA; Wanamaker, SA; Lotterhos, KE; Roberts, SB</t>
  </si>
  <si>
    <t>DNA methylation correlates with transcriptional noise in response to elevated pCO2 in the eastern oyster (Crassostrea virginica)</t>
  </si>
  <si>
    <t>ENVIRONMENTAL EPIGENETICS</t>
  </si>
  <si>
    <t>Ocean acidification significantly affects marine calcifiers like oysters, warranting the study of molecular mechanisms like DNA methy-lation that contribute to adaptive plasticity in response to environmental change. However, a consensus has not been reached on the extent to which methylation modules gene expression, and in turn plasticity, in marine invertebrates. In this study, we investigated the impact of pCO2 on gene expression and DNA methylation in the eastern oyster, Crassostrea virginica. After a 30-day exposure to control (572ppm) or elevated pCO2 (2827 ppm), whole-genome bisulfite sequencing (WGBS) and RNA-seq data were generated from adult female gonad tissue and male sperm samples. Although differentially methylated loci (DMLs) were identified in females (89) and males (2916), there were no differentially expressed genes and only one differentially expressed transcript in females. However, gene body methylation impacted other forms of gene activity in sperm, such as the maximum number of transcripts expressed per gene and changes in the predominant transcript expressed. Elevated pCO2 exposure increased gene expression variability (transcriptional noise) in males but decreased noise in females, suggesting a sex-specific role of methylation in gene expression regulation. Functional annota-tion of genes with changes in transcript-level expression or containing DMLs revealed several enriched biological processes potentially involved in elevated pCO2 response, including apoptotic pathways and signal transduction, as well as reproductive functions. Taken together, these results suggest that DNA methylation may regulate gene expression variability to maintain homeostasis in elevated pCO2 conditions and could play a key role in environmental resilience in marine invertebrates.</t>
  </si>
  <si>
    <t>NOV 12</t>
  </si>
  <si>
    <t>10.1093/eep/dvae018</t>
  </si>
  <si>
    <t>Marsh, AG; Pasqualone, AA</t>
  </si>
  <si>
    <t>DNA methylation and temperature stress in an Antarctic polychaete, Spiophanes tcherniai</t>
  </si>
  <si>
    <t>FRONTIERS IN PHYSIOLOGY</t>
  </si>
  <si>
    <t>Epigenetic modifications of DNA and histones are a primary mechanism by which gene expression activities may be modified in response to environmental stimuli. Here we characterize patterns of methyl-cytosine composition in the marine polychaete Spiophanes tcherniai from McMurdo Sound, Antarctica. We cultured adult worms at two temperatures, -1.5 degrees C (ambient control) and +4 degrees C (warm treatment), for 4 weeks. We observed a rapid capacity for S. tcherniai organismal respiration rates and underlying catalytic rates of citrate synthase at +4 degrees C to return to control levels in less than 4 weeks. We profiled changes in the methylation states of CpG sites in these treatments using an NGS strategy to computationally reconstruct and quantify methylation status across the genome. In our analysis we recovered 120,000 CpG sites in assembled contigs from both treatments. Of those, we were able to align 28,000 CpG sites in common between the two sample groups. In comparing these aligned sites between treatments, only 3000 (11%) evidenced a change in methylation state, but over 85% of changes involved a gain of a 5-methyl group on a CpG site (net increase in methyation). The ability to score CpG sites as partially methylated among gDNA copies in a sample opens up a new avenue for assessing DNA methylation responses to changing environments. By quantitatively distinguishing a mixed population of copies of one CpG site, we can begin to identify dynamic, non-binary, continuous-response reactions in DNA methylation intensity or density that previously may have been overlooked as noise.</t>
  </si>
  <si>
    <t>MAY 5</t>
  </si>
  <si>
    <t>10.3389/fphys.2014.00173</t>
  </si>
  <si>
    <t>Watson, RGA; Baldanzi, S; Pérez-Figueroa, A; Gouws, G; Porri, F</t>
  </si>
  <si>
    <t>Morphological and epigenetic variation in mussels from contrasting environments</t>
  </si>
  <si>
    <t>MARINE BIOLOGY</t>
  </si>
  <si>
    <t>The impact of contrasting environments on organisms can result in the establishment of distinct phenotypic traits. Environmentally induced epigenetic mechanisms directly regulate gene expression and potentially lead to long-lasting effects. How phenotypic, epigenetic, and genetic components of wild populations relate to each other is, however, still largely debated. We examined the effect of broad coastline topography (as bay versus open coast) on the morphological, genetic, and epigenetic (i.e., DNA methylation) traits of the brown mussel Perna perna from four natural populations along the south coast of South Africa (between 33.9 S, 25.7 E and 34.2 S, 22.1 E) collected in April 2014. Several morphometric measurements were taken on the mussel body and byssal thread. The epigenetic and genetic structure of P. perna was assessed using the methylation sensitive analysis of polymorphisms technique. Morphological traits differed among populations, but no clear effect of topography on both morphology and genetics was found. Bay and Open Coast sites differed in the patterns of DNA methylation of selected loci, suggesting that topography shaped the epigenetic profile of populations of P. perna. The environmentally induced changes in the DNA methylation of selected loci were neither correlated with the morphological traits analysed, nor explained by the underlying genetic variance among populations. The relationship amongst epigenetics, morphology, and genetics of P. perna populations was shown to be complex and dynamic. Although inconsistent, the topographically linked variability in epigenetic and the phenotypic differences in genetically close populations of mussels highlights the potential role of the local environment in driving mesoscale differences among populations.</t>
  </si>
  <si>
    <t>10.1007/s00227-018-3310-6</t>
  </si>
  <si>
    <t>Dourdin, TS; Guyomard, K; Rabiller, M; Houssais, N; Cormier, A; Le Monier, P; Sussarellu, R; Riviere, G</t>
  </si>
  <si>
    <t>Ancestors' Gift: Parental Early Exposure to the Environmentally Realistic Pesticide Mixture Drives Offspring Phenotype in a Larger Extent Than Direct Exposure in the Pacific Oyster, Crassostrea gigas</t>
  </si>
  <si>
    <t>ENVIRONMENTAL SCIENCE &amp; TECHNOLOGY</t>
  </si>
  <si>
    <t>Marine organisms are threatened by the presence of pesticides in coastal waters. Among them, the Pacific oyster is one of the most studied invertebrates in marine ecotoxicology where numerous studies highlighted the multiscale impacts of pesticides. In the past few years, a growing body of literature has reported the epigenetic outcomes of xenobiotics. Because DNA methylation is an epigenetic mark implicated in organism development and is meiotically heritable, it raises the question of the multigenerational implications of xenobiotic-induced epigenetic alterations. Therefore, we performed a multigenerational exposure to an environmentally relevant mixture of 18 pesticides (nominal sum concentration: 2.85 mu g center dot (L-1)) during embryo-larval stages (0-48 hpf) of a second generation (F1) for which parents where already exposed or not in F0. Gene expression, DNA methylation, and physiological end points were assessed throughout the life cycle of individuals. Overall, the multigenerational effect has a greater influence on the phenotype than the exposure itself. Thus, multigenerational phenotypic effects were observed: individuals descending from exposed parents exhibited lower epinephrine-induced metamorphosis and field survival rates. At the molecular level, RNA-seq and Methyl-seq data analyses performed in gastrula embryos and metamorphosis-competent pediveliger (MCP) larvae revealed a clear F0 treatment-dependent discrimination. Some genes implicated into shell secretion and immunity exhibited F1:F0 treatment interaction patterns (e.g., Calm and Myd88). Those results suggest that low chronic environmental pesticide contamination can alter organisms beyond the individual scale level and have long-term adaptive implications.</t>
  </si>
  <si>
    <t>JAN 13</t>
  </si>
  <si>
    <t>10.1021/acs.est.3c08201</t>
  </si>
  <si>
    <t>Yang, YJ; Zheng, YQ; Sun, LN; Chen, MY</t>
  </si>
  <si>
    <t>Genome-Wide DNA Methylation Signatures of Sea CucumberApostichopus japonicusduring Environmental Induced Aestivation</t>
  </si>
  <si>
    <t>GENES</t>
  </si>
  <si>
    <t>Organisms respond to severe environmental changes by entering into hypometabolic states, minimizing their metabolic rates, suspending development and reproduction, and surviving critical ecological changes. They come back to an active lifestyle once the environmental conditions are conducive. Marine invertebrates live in the aquatic environment and adapt to environmental changes in their whole life. Sea cucumbers and sponges are only two recently known types of marine organisms that aestivate in response to temperature change. Sea cucumber has become an excellent model organism for studies of environmentally-induced aestivation by marine invertebrates. DNA methylation, the most widely considered epigenetic marks, has been reported to contribute to phenotypic plasticity in response to environmental stress in aquatic organisms. Most of methylation-related enzymes, including DNA methyltransferases, Methyl-CpG binding domain proteins, and DNA demethylases, were up-regulated during aestivation. We conducted high-resolution whole-genome bisulfite sequencing of the intestine from sea cucumber at non-aestivation and deep-aestivation stages. Further DNA methylation profile analysis was also conducted across the distinct genomic features and entire transcriptional units. A different elevation in methylation level at internal exons was observed with clear demarcation of intron/exon boundaries during transcriptional unit scanning. The lowest methylation level occurs in the first exons, followed by the last exons and the internal exons. A significant increase in non-CpG methylation (CHG and CHH) was observed within the intron and mRNA regions in aestivation groups. A total of 1393 genes were annotated within hypermethylated DMRs (differentially methylated regions), and 749 genes were annotated within hypomethylated DMRs. Differentially methylated genes were enriched in the mRNA surveillance pathway, metabolic pathway, and RNA transport. Then, 24 hypermethylated genes and 15 hypomethylated genes were Retrovirus-related Pol polyprotein from transposon (RPPT) genes. This study provides further understanding of epigenetic control on environmental induced hypometabolism in aquatic organisms.</t>
  </si>
  <si>
    <t>10.3390/genes11091020</t>
  </si>
  <si>
    <t>Coupé, S; Clergeaud, F; Couvray, S; Durrieu, G; Richard, S; D'Onofrio, S; Gaillard, S; Miard, T; Bonnefont, JL; Garnier, C; D'Alvise, NP</t>
  </si>
  <si>
    <t>DIFFERENTIAL ACCLIMATION OF JUVENILE SEA URCHINS TRANSPLANTED ACROSS A METALLIC TRACE ELEMENT GRADIENT WITHIN TILE BAY OF TOULON (FRANCE)</t>
  </si>
  <si>
    <t>Urbanized harbors and embayments scattered along marine shorelines act as important sources of a wide range of chemical contaminants, which include metallic trace elements (MTE). Within the semi-enclosed Mediterranean Sea, the high number of such areas might locally challenge the persistence of coastal marine species. In recent decades, biomonitoring studies, using sentinel species such as mussels, have increased knowledge of coastal contamination and provided a number of contentious potential environmental surveillance biomarkers, which contributed to a better comprehension toward the acclimation abilities of marine organisms, to actual anthropogenically derived environments. The aim of this study was to characterize the influence of the chemically, multi-contaminated, Bay of Toulon (France) on the young fauna, using juvenile sea urchins Paracentrotus lividus as a proxy. Hatchery-produced individuals were immersed, for 1 mo, within the bay, at four contrasted sites for MTE concentrations. At the end of the experiment, growth and transcript abundances of key genes, involved in the acclimation process, were assessed. Contrasted phenotypic and molecular responses were observed evidencing a significant environmental influence. Specifically, under the high metallic stress, a dwarfing response was observed, associated with a high level of metallothionein and a low level of hsp response. In addition, the level of DNA methyltransferase transcript abundance was inversely correlated with the level of MTE concentrations, highlighting that the chronic exposure to metallic contaminants would probably increase the risk of genetic mutations, such as those consecutive to transpositions. Overall, this study indicates that further in-depth research into the mechanisms driving plasticity and adaptive changes at the population level is required.</t>
  </si>
  <si>
    <t>10.2983/035.039.0114</t>
  </si>
  <si>
    <t>Dang, X; Lim, YK; Li, Y; Roberts, SB; Li, L; Thiyagarajan, V</t>
  </si>
  <si>
    <t>Epigenetic-associated phenotypic plasticity of the ocean acidification-acclimated edible oyster in the mariculture environment</t>
  </si>
  <si>
    <t>For marine invertebrates with a pelagic-benthic life cycle, larval exposure to ocean acidification (OA) can affect adult performance in response to another environmental stressor. This carry-over effect has the potential to alter phenotypic traits. However, the molecular mechanisms that mediate OA-triggered carry-over effects have not been explored despite such information being key to improving species fitness and management strategies for aquafarming. This study integrated the genome-wide DNA methylome and transcriptome to examine epigenetic modification-mediated carry-over OA impacts on phenotypic traits of the ecologically and commercially important oyster species Crassostrea hongkongensis under field conditions. Larvae of C. hongkongensis were exposed to control pH 8.0 and low pH 7.4 conditions, mimicking near future OA scenario in their habitat, before being outplanted as post-metamorphic juveniles at two mariculture field sites with contrasting environmental stressors for 9 months. The larval carry-over OA effect was found to have persistent impacts on the growth and survival trade-off traits on the outplanted juveniles, although the beneficial or adverse effect depended on the environmental conditions at the outplanted sites. Site-specific plasticity was demonstrated with a diverse DNA methylation-associated gene expression profile, with signal transduction and the endocrine system being the most common and highly enriched functions. Highly methylated exons prevailed in the key genes related to general metabolic and endocytic responses and these genes are evolutionarily conserved in various marine invertebrates in response to OA. These results suggest that oysters with prior larval exposure history to OA had the ability to trigger rapid local adaptive responses via epigenetic modification to cope with multiple stressors in the field.</t>
  </si>
  <si>
    <t>10.1111/mec.16751</t>
  </si>
  <si>
    <t>Gonzalez-Romero, R; Suarez-Ulloa, V; Rodriguez-Casariego, J; Garcia-Souto, D; Diaz, G; Smith, A; Pasantes, JJ; Rand, G; Eirin-Lopez, JM</t>
  </si>
  <si>
    <t>Effects of Florida Red Tides on histone variant expression and DNA methylation in the Eastern oyster Crassostrea virginica</t>
  </si>
  <si>
    <t>Massive algal proliferations known as Harmful Algal Blooms (HABs) represent one of the most important threats to coastal areas. Among them, the so-called Florida Red Tides (FRTs, caused by blooms of the dinoflagellate Karenia brevis and associated brevetoxins) are particularly detrimental in the southeastern U.S., causing high mortality rates and annual losses in excess of $40 million. The ability of marine organisms to cope with environmental stressors (including those produced during HABs) is influenced by genetic and epigenetic mechanisms, the latter resulting in phenotypic changes caused by heritable modifications in gene expression, without involving changes in the genetic (DNA) sequence. Yet, studies examining cause-effect relationships between environmental stressors, specific epigenetic mechanisms and subsequent responses are still lacking. The present work contributes to increase this knowledge by investigating the effects of Florida Red Tides on two types of mechanisms participating in the epigenetic memory of Eastern oysters: histone variants and DNA methylation. For that purpose, a HAB simulation was conducted in laboratory conditions, exposing oysters to increasing concentrations of K. brevis. The obtained results revealed, for the first time, the existence of H2A.X, H2A.Z and macroH2A genes in this organism, encoding histone variants potentially involved in the maintenance of genome integrity during responses to the genotoxic effect of brevetoxins. Additionally, an increase in H2A.X phosphorylation (gamma H2A.X, a marker of DNA damage) and a decrease in global DNA methylation were observed as the HAB simulation progressed. Overall, the present work provides a basis to better understand how epigenetic mechanisms participate in responses to environmental stress in marine invertebrates, opening new avenues to incorporate environmental epigenetics approaches into management and conservation programs. (C) 2017 Elsevier B.V. All rights reserved.</t>
  </si>
  <si>
    <t>10.1016/j.aquatox.2017.03.006</t>
  </si>
  <si>
    <t>Park, K; Kim, WS; Park, JW; Kim, TH; Kwak, IS</t>
  </si>
  <si>
    <t>Bioaccumulation, microbiome composition and immunity, and epigenetic signatures associated with exposure to spherical, fibrous, and fragmented microplastics in the mussel Mytilus galloprovincialis</t>
  </si>
  <si>
    <t>JOURNAL OF HAZARDOUS MATERIALS</t>
  </si>
  <si>
    <t>Microplastic (MP) pollution has become a major global concern due to the widespread use and discharge of plastics into the environment. However, very few studies have assessed the potential variations in the toxicity of MPs according to their shape and size. Therefore, our study sought to identify the biotoxic effects of spherical, fiber-shaped, and fragment-shaped polyethylene terephthalate MPs of different sizes at different concentrations on the Mediterranean mussel Mytilus galloprovincialis. The survival rate after exposure to small-sized MPs was lower than that observed for the larger type MPs. Bioaccumulation of MPs was different depending on the exposure periods and MP shapes. Interestingly, the fiber-shaped MPs underwent morphological modifications in the mussel body upon uptake. MP exposure also increased the global DNA methylation levels (i.e., an epigenetic signature), expression of the microbiota immunity-related toll-like receptor gene, and alteration of the gut mi-crobial composition in the mussel. These findings indicated that MPs of different shapes and sizes at different concentrations can alter the bioaccumulation sensitivity of mussels according to the exposure periods, and the balance of gut immunity and epigenetic process. Furthermore, our results demonstrated that MPs of different shapes, particularly fiber types, can undergo morphological modification in mussel tissues, thus posing a hazardous threat.</t>
  </si>
  <si>
    <t>10.1016/j.jhazmat.2023.132691</t>
  </si>
  <si>
    <t>Rodriguez, F; Yushenova, IA; DiCorpo, D; Arkhipova, IR</t>
  </si>
  <si>
    <t>Bacterial N4-methylcytosine as an epigenetic mark in eukaryotic DNA</t>
  </si>
  <si>
    <t>NATURE COMMUNICATIONS</t>
  </si>
  <si>
    <t>DNA modifications are used to regulate gene expression and defend against invading genetic elements. In eukaryotes, modifications predominantly involve C5-methylcytosine (5mC) and occasionally N6-methyladenine (6mA), while bacteria frequently use N4-methylcytosine (4mC) in addition to 5mC and 6mA. Here we report that 4mC can serve as an epigenetic mark in eukaryotes. Bdelloid rotifers, tiny freshwater invertebrates with transposon-poor genomes rich in foreign genes, lack canonical eukaryotic C5-methyltransferases for 5mC addition, but encode an amino-methyltransferase, N4CMT, captured from bacteria &gt;60 Mya. N4CMT deposits 4mC at active transposons and certain tandem repeats, and fusion to a chromodomain shapes its histone-read-DNA-write architecture recognizing silent chromatin marks. Furthermore, amplification of SETDB1 H3K9me3 histone methyltransferases yields variants preferentially binding 4mC-DNA, suggesting DNA-read-histone-write partnership to maintain chromatin-based silencing. Our results show how non-native DNA methyl groups can reshape epigenetic systems to silence transposons and demonstrate the potential of horizontal gene transfer to drive regulatory innovation in eukaryotes. Eukaryotic DNA can be methylated as 5-methylcytosine and N6-methyladenine, but whether other forms of DNA methylation occur has been controversial. Here the authors show that a bacterial DNA methyltransferase was acquired &gt;60 Mya in bdelloid rotifers that catalyzes N4-methylcytosine addition and is involved in suppression of transposon proliferation.</t>
  </si>
  <si>
    <t>10.1038/s41467-022-28471-w</t>
  </si>
  <si>
    <t>Rodriguez-Casariego, JA; Ladd, MC; Shantz, AA; Lopes, C; Cheema, MS; Kim, B; Roberts, SB; Fourqurean, JW; Ausio, J; Burkepile, DE; Eirin-Lopez, JM</t>
  </si>
  <si>
    <t>Coral epigenetic responses to nutrient stress: Histone H2A.X phosphorylation dynamics and DNA methylation in the staghorn coral Acropora cervicornis</t>
  </si>
  <si>
    <t>Nutrient pollution and thermal stress constitute two of the main drivers of global change in the coastal oceans. While different studies have addressed the physiological effects and ecological consequences of these stressors in corals, the role of acquired modifications in the coral epigenome during acclimatory and adaptive responses remains unknown. The present work aims to address that gap by monitoring two types of epigenetic mechanisms, namely histone modifications and DNA methylation, during a 7-week-long experiment in which staghorn coral fragments (Acropora cervicornis) were exposed to nutrient stress (nitrogen, nitrogen + phosphorus) in the presence of thermal stress. The major conclusion of this experiment can be summarized by two main results: First, coral holobiont responses to the combined effects of nutrient enrichment and thermal stress involve the post-translational phosphorylation of the histone variant H2A.X (involved in responses to DNA damage), as well as nonsignificant modifications in DNA methylation trends. Second, the reduction in H2A.X phosphorylation (and the subsequent potential impairment of DNA repair mechanisms) observed after prolonged coral exposure to nitrogen enrichment and thermal stress is consistent with the symbiont-driven phosphorus limitation previously observed in corals subject to nitrogen enrichment. The alteration of this epigenetic mechanism could help to explain the synergistic effects of nutrient imbalance and thermal stress on coral fitness (i.e., increased bleaching and mortality) while supporting the positive effect of phosphorus addition to improving coral resilience to thermal stress. Overall, this work provides new insights into the role of epigenetic mechanisms during coral responses to global change, discussing future research directions and the potential benefits for improving restoration, management and conservation of coral reef ecosystems worldwide.</t>
  </si>
  <si>
    <t>10.1002/ece3.4678</t>
  </si>
  <si>
    <t>Venkataraman, YR; White, SJ; Roberts, SB</t>
  </si>
  <si>
    <t>Differential DNA methylation in Pacific oyster reproductive tissue in response to ocean acidification</t>
  </si>
  <si>
    <t>Background There is a need to investigate mechanisms of phenotypic plasticity in marine invertebrates as negative effects of climate change, like ocean acidification, are experienced by coastal ecosystems. Environmentally-induced changes to the methylome may regulate gene expression, but methylome responses can be species- and tissue-specific. Tissue-specificity has implications for gonad tissue, as gonad-specific methylation patterns may be inherited by offspring. We used the Pacific oyster (Crassostrea gigas) - a model for understanding pH impacts on bivalve molecular physiology due to its genomic resources and importance in global aquaculture- to assess how low pH could impact the gonad methylome. Oysters were exposed to either low pH (7.31 +/- 0.02) or ambient pH (7.82 +/- 0.02) conditions for 7 weeks. Whole genome bisulfite sequencing was used to identify methylated regions in female oyster gonad samples. C- &gt; T single nucleotide polymorphisms were identified and removed to ensure accurate methylation characterization. Results Analysis of gonad methylomes revealed a total of 1284 differentially methylated loci (DML) found primarily in genes, with several genes containing multiple DML. Gene ontologies for genes containing DML were involved in development and stress response, suggesting methylation may promote gonad growth homeostasis in low pH conditions. Additionally, several of these genes were associated with cytoskeletal structure regulation, metabolism, and protein ubiquitination - commonly-observed responses to ocean acidification. Comparison of these DML with other Crassostrea spp. exposed to ocean acidification demonstrates that similar pathways, but not identical genes, are impacted by methylation. Conclusions Our work suggests DNA methylation may have a regulatory role in gonad and larval development, which would shape adult and offspring responses to low pH stress. Combined with existing molluscan methylome research, our work further supports the need for tissue- and species-specific studies to understand the potential regulatory role of DNA methylation.</t>
  </si>
  <si>
    <t>AUG 4</t>
  </si>
  <si>
    <t>10.1186/s12864-022-08781-5</t>
  </si>
  <si>
    <t>Greenhough, H; Smith, KF; Vignier, J; Miller, MR; Passfield, E; Kenny, NJ; Rolton, A</t>
  </si>
  <si>
    <t>Impacts of marine heatwave stress and harmful algal (Alexandrium spp.) exposure on subadult green-lipped mussels (Perna canaliculus)</t>
  </si>
  <si>
    <t>Marine heatwaves (MHWs) are increasing globally, including around Aotearoa New Zealand (NZ), where the Tasman Sea is a recognised hotspot. Harmful algal blooms (HABs) represent an additional climate-linked stressor, with species such as the paralytic shellfish toxin (PST) producing dinoflagellate Alexandrium pacificum becoming more frequent with ocean warming, stratification, and nutrient enrichment. In the Marlborough Sounds-NZ's largest green-lipped mussel (GLM, Perna canaliculus) farming area-A. pacificum blooms now coincide with MHWs. This study exposed subadult GLM to two temperatures-17 degrees C (control) and 22 degrees C (peak MHW temperature)- and either PST-producing A. pacificum or non-PST-producing Alexandrium minutum combined with a control diet for two weeks. Physiological and molecular endpoints measured included PST accumulation, global DNA methylation in gills, immune responses, lipid profiles, and tissue pathology. Peak MHW-exposed mussels had depleted glycogen reserves, suggesting increased metabolic demand, and accumulated 1.8X less PSTs than mussels at 17 degrees C, a potentially favourable finding for aquaculture. At 17 degrees C, A. pacificum exposure induced greater hemocyte mortality and diapedesis compared to mussels at 22 degrees C, indicating enhanced immune activation but more immune cell death. Mussels at 22 degrees C displayed a dampened immune response relative to those at 17 degrees C based on hemocyte responses and histological analyses. DNA methylation in gill tissue was 1.7X higher at 22 degrees C, suggesting possible epigenetic regulation of responses. These findings highlight the importance of considering both independent and interactive effects of MHWs and HABs. While temperature influenced metabolic and epigenetic responses, Alexandrium exposure shaped outcomes in immune performance and toxin accumulation.</t>
  </si>
  <si>
    <t>OCT 1</t>
  </si>
  <si>
    <t>10.1016/j.ecoenv.2025.119112</t>
  </si>
  <si>
    <t>Bogan, SN; Strader, ME; Hofmann, GE</t>
  </si>
  <si>
    <t>Associations between DNA methylation and gene regulation depend on chromatin accessibility during transgenerational plasticity</t>
  </si>
  <si>
    <t>BackgroundEpigenetic processes are proposed to be a mechanism regulating gene expression during phenotypic plasticity. However, environmentally induced changes in DNA methylation exhibit little-to-no association with differential gene expression in metazoans at a transcriptome-wide level. It remains unexplored whether associations between environmentally induced differential methylation and expression are contingent upon other epigenomic processes such as chromatin accessibility. We quantified methylation and gene expression in larvae of the purple sea urchin Strongylocentrotus purpuratus exposed to different ecologically relevant conditions during gametogenesis (maternal conditioning) and modeled changes in gene expression and splicing resulting from maternal conditioning as functions of differential methylation, incorporating covariates for genomic features and chromatin accessibility. We detected significant interactions between differential methylation, chromatin accessibility, and genic feature type associated with differential expression and splicing.ResultsDifferential gene body methylation had significantly stronger effects on expression among genes with poorly accessible transcriptional start sites while baseline transcript abundance influenced the direction of this effect. Transcriptional responses to maternal conditioning were 4-13 x more likely when accounting for interactions between methylation and chromatin accessibility, demonstrating that the relationship between differential methylation and gene regulation is partially explained by chromatin state.ConclusionsDNA methylation likely possesses multiple associations with gene regulation during transgenerational plasticity in S. purpuratus and potentially other metazoans, but its effects are dependent on chromatin accessibility and underlying genic features.</t>
  </si>
  <si>
    <t>JUN 26</t>
  </si>
  <si>
    <t>10.1186/s12915-023-01645-8</t>
  </si>
  <si>
    <t>Jeremias, G; Veloso, T; Gonçalves, FJM; Van Nieuwerburgh, F; Pereira, JL; Asselman, J</t>
  </si>
  <si>
    <t>Multigenerational DNA methylation responses to copper exposure in Daphnia: Potential targets for epigenetic biomarkers?</t>
  </si>
  <si>
    <t>Epigenetic mechanisms are moving to the forefront of environmental sciences, as environmentally induced epigenetic changes shape biological responses to chemical contamination. This work focused on Daphnia as a representative of potentially threatened freshwater biota, aiming to gain an insight into the involvement of epigenetic mechanisms in their response and eventual adaptation to metal contamination. Copper-induced DNA methylation changes, their potential transgenerational inheritance, and life-history traits were assessed. Or-ganisms with different histories of past exposure to copper were exposed to toxic levels of the element for one generation (F0) and then monitored for three subsequent unexposed generations (F1, F2, and F3). Overall, methylation changes targeted important genes for counteracting the effects of metals and oxidative stress, including dynein light chain, ribosomal kinase and nuclear fragile X mental retardation-interacting protein. Also, contrasting overall and gene-specific methylation responses were observed in organisms differing in their history of exposure to copper, with different transgenerational methylation responses being also identified among the two groups, without apparent life-history costs. Taken together, these results demonstrate the capacity of copper to promote epigenetic transgenerational inheritance in a manner related explicitly to history of exposure, thereby supporting the development and incorporation of epigenetic biomarkers in risk assessment frameworks.</t>
  </si>
  <si>
    <t>10.1016/j.chemosphere.2022.136231</t>
  </si>
  <si>
    <t>Song, Y; Kamstra, JH; Cao, Y; Asselman, J; d'Auriac, MA; Friberg, N</t>
  </si>
  <si>
    <t>High-throughput analyses and Bayesian network modeling highlight novel epigenetic Adverse Outcome Pathway networks of DNA methyltransferase inhibitor mediated transgenerational effects</t>
  </si>
  <si>
    <t>A number of epigenetic modulating chemicals are known to affect multiple generations of a population from a single ancestral exposure, thus posing transgenerational hazards. The present study aimed to establish a high throughput (HT) analytical workflow for cost-efficient concentration-response analysis of epigenetic and phenotypic effects, and to support the development of novel Adverse Outcome Pathway (AOP) networks for DNA methyltransferase (DNMT) inhibitor-mediated transgenerational effects on aquatic organisms. The model DNMT inhibitor 5-azacytidine (5AC) and the model freshwater crustacean Daphnia magna were used to generate new experimental data and served as prototypes to construct AOPs for aquatic organisms. Targeted HT bioassays (DNMT ELISA, MS-HRM and qPCR) in combination with multigenerational ecotoxicity tests revealed concentration-dependent transgenerational (F0-F3) effects of 5AC on total DNMT activity, DNA promoter methylation, gene body methylation, gene transcription and reproduction. Top sensitive toxicity pathways related to 5AC exposure, such as apoptosis and DNA damage responses were identified in both F0 and F3 using Gaussian Bayesian network modeling. Two novel epigenetic AOP networks on DNMT inhibitor mediated one generational and transgenerational effects were developed for aquatic organisms and assessed for the weight of evidence. The new HT analytical workflow and AOPs can facilitate future ecological hazard assessment of epigenetic modulating chemicals.</t>
  </si>
  <si>
    <t>APR 15</t>
  </si>
  <si>
    <t>10.1016/j.jhazmat.2020.124490</t>
  </si>
  <si>
    <t>Lim, YK; Cheung, K; Dang, X; Roberts, SB; Wang, XT; Thiyagarajan, V</t>
  </si>
  <si>
    <t>DNA methylation changes in response to ocean acidification at the time of larval metamorphosis in the edible oyster, Crassostrea hongkongensis</t>
  </si>
  <si>
    <t>MARINE ENVIRONMENTAL RESEARCH</t>
  </si>
  <si>
    <t>Unprecedented rate of increased CO2 level in the ocean and the subsequent changes in carbonate system including decreased pH, known as ocean acidification (OA), is predicted to disrupt not only the calcification process but also several other physiological and developmental processes in a variety of marine organisms, including edible oysters. Nonetheless, not all species are vulnerable to those OA threats, e.g. some species may be able to cope with OA stress using environmentally induced modifications on gene and protein expressions. For example, external environmental stressors including OA can influence the addition and removal of methyl groups through epigenetic modification (e.g. DNA methylation) process to turn gene expression on or off as part of a rapid adaptive mechanism to cope with OA. In this study, we tested the above hypothesis through testing the effect of OA, using decreased pH 7.4 as proxy, on DNA methylation pattern of an endemic and a commercially important estuary oyster species, Crassostrea hongkongensis at the time of larval habitat selection and metamorphosis. Larval growth rate did not differ between control pH 8.1 and treatment pH 7.4. The metamorphosis rate of the pediveliger larvae was higher at pH 7.4 than those in control pH 8.1, however over one-third of the larvae raised at pH 7.4 failed to attach on optimal substrate as defined by biofilm presence. During larval development, a total of 130 genes were differentially methylated across the two treatments. The differential methylation in the larval genes may have partially accounted for the higher metamorphosis success rate under decreased pH 7.4 but with poor substratum selection ability. Differentially methylated loci were concentrated in the exon regions and appear to be associated with cytoskeletal and signal transduction, oxidative stress, metabolic processes, and larval metamorphosis, which implies the high potential of C. hongkongensis larvae to acclimate and adapt through non-genetic ways to OA threats within a single generation.</t>
  </si>
  <si>
    <t>10.1016/j.marenvres.2020.105214</t>
  </si>
  <si>
    <t>Dourdin, TS; Rivière, G; Cormier, A; Di Poi, C; Guyomard, K; Rabiller, M; Akcha, F; Sadialiou, TB; Le Monier, P; Sussarellu, R</t>
  </si>
  <si>
    <t>Molecular and phenotypic effects of early exposure to an environmentally relevant pesticide mixture in the Pacific oyster, Crassostrea gigas</t>
  </si>
  <si>
    <t>Early life stages are crucial for organism development, especially for those displaying external fertilization, whose gametes and early stages face environmental stressors such as xenobiotics. The pacific oyster, Crassostrea gigas, is considered a model species in ecotoxicology because of its ecological characteristics (benthic, sessile, filter feeding). So far studies have investigated the impact of xenobiotics at embryotoxic, genotoxic and physi-ological endpoints, sometimes at the multigenerational scale, highlighting the role of epigenetic mechanisms in transmitting alterations induced by exposure to single xenobiotics. However, to date, little is known about the impact of environmentally-mimicking contaminants cocktails. Thus, we examined the impact of an early exposure to environmentally relevant mixture on the Pacific oyster life history. We studied transcriptomic, epigenetic and physiological alterations induced in oysters exposed to 18 pesticides and metals at environmental concentration (nominal sum concentration: 2.85 mu g.L-1, measured sum concentration: 3.74 +/- 0.013 mu g.L-1) during embryo-larval stage (0-48 h post fertilization, hpf). No significant differences in embryo-larval abnor-malities at 24 hpf were observed during larval and spat rearing; the swimming behaviour of exposed individuals was disturbed, while they were longer and heavier at specific time points, and exhibited a lower epinephrine-induced metamorphosis rate as well as a higher survival rate in the field. In addition, RNA-seq analyses of gastrula embryos revealed the differential expression of development-related genes (e.g. Hox orthologues and cell cycle regulators) between control and exposed oysters. Whole-genome DNA methylation analyses demon-strated a significant modification of DNA methylation in exposed larvae marked by a demethylation trend. Those findings suggest that early exposure to an environmentally relevant pesticide mixture induces multi-scale latent effects possibly affecting life history traits in the Pacific oyster.</t>
  </si>
  <si>
    <t>JUN 1</t>
  </si>
  <si>
    <t>10.1016/j.envpol.2023.121472</t>
  </si>
  <si>
    <t>Lee, YH; Kim, MS; Wang, MH; Bhandari, RK; Park, HG; Wu, RSS; Lee, JS</t>
  </si>
  <si>
    <t>Epigenetic plasticity enables copepods to cope with ocean acidification</t>
  </si>
  <si>
    <t>NATURE CLIMATE CHANGE</t>
  </si>
  <si>
    <t>Plasticity enhances species fitness and survival under climate change. Ocean acidification poses a potential threat to copepods, a major zooplankton group that serves as a key link between the lower and higher trophic levels in the marine environment, yet the mechanisms underlying different adaptive responses remain poorly understood. Here we show that although elevated CO2 can exert negative effects on reproduction of Paracyclopina nana, multigenerational plasticity can enable recovery after three generations. By integrating the methylome and transcriptome with the draft genome and undertaking DNA methylation treatments, we demonstrate the vital role of epigenetic modifications in ocean acidification responses and identify regions associated with reproductive resilience. Our results demonstrate that DNA methylation might play an important role in enhancing species fitness of copepods and that failing to consider phenotypic plasticity could lead to overestimation of species' vulnerabilities.</t>
  </si>
  <si>
    <t>10.1038/s41558-022-01477-4</t>
  </si>
  <si>
    <t>10.1016/j.marenvres.2020.105217</t>
  </si>
  <si>
    <t>Huang, Y; De La Chapelle, A; Pellegata, NS</t>
  </si>
  <si>
    <t>Hypermethylation, but not LOH, is associated with the low expression of MT1G and CRABP1 in papillary thyroid carcinoma</t>
  </si>
  <si>
    <t>INTERNATIONAL JOURNAL OF CANCER</t>
  </si>
  <si>
    <t>We previously obtained gene expression profiles of 8 matched papillary thyroid carcinoma (PTC) and normal tissues using DNA microarrays. To identify novel tumor suppressor genes involved in thyroid carcinogenesis, we here analyze genes showing lower expression in PTC tumors than in normal thyroid tissues. A search for loss of heterozygosity (LOH) in 49 regions that harbor consistently down-regulated genes revealed LOH in only 4 regions and in just a very small cumber of tumors. To determine whether the underexpression might be due to promoter methylation, we used combined bisulfite restriction analysis and bisulfite sequencing to study 7 underexpressed genes. Loss of expression of MTIG and CRABPI is accompanied by hypermethylation in the 5' regions of these genes, but methylation was not seen in other genes tested. Combined treatment with the DNA methyltransferase inhibitor 5-aza-2'-deoxycytidine (5-Aza-dC) and the histone deacetylase inhibitor trichostatin A (TSA) resulted in demethylation and re-expression of the MTIG gene in the cell line K2. Treatment with 5-Aza-dC alone restored CRABPI expression in a colorectal cancer cell line, SW48. In conclusion, LOH is a remarkably rare mechanism of loss of gene function in PTC. In contrast, hypermethylation of promoter CpG islands seems to occur at higher frequency. MTIG and CRABPI are novel genes that are likely involved in the pathogenesis of sporadic PTC. (C) 2003 Wiley-Liss, Inc.</t>
  </si>
  <si>
    <t>MAY 10</t>
  </si>
  <si>
    <t>10.1002/ijc.11006</t>
  </si>
  <si>
    <t>Ryu, T; Veilleux, HD; Munday, PL; Jung, I; Donelson, JM; Ravasi, T</t>
  </si>
  <si>
    <t>An Epigenetic Signature for Within-Generational Plasticity of a Reef Fish to Ocean Warming</t>
  </si>
  <si>
    <t>Elevated temperature can have detrimental effects on the physiological performance of many marine organisms. However, phenotypic plasticity may enable some populations to maintain their performance under thermal stress. Two longitudinally separated populations of the coral reef fish, Acanthochromis polyacanthus from the Great Barrier Reef have shown differing capacities for thermal plasticity - the southernmost Heron Island population restored aerobic scope within one generation at a higher temperature, whereas the northernmost Palm Island population restored aerobic scope only when two generations were exposed to warmer conditions. We recently discovered an epigenetic signature associated with transgenerational plasticity in the Palm Island population. Here, we aimed to determine if epigenetic changes are also associated with the within-generational plasticity observed in the Heron Island population and, if so, how this epigenetic signature compares to the Palm Island transgenerational epigenome. By sequencing and analyzing the genome-wide DNA methylome of fish reared at control (+0 degrees C) or elevated temperatures (+1.5 and +3 degrees C) since early life, we identified 480 differentially methylated genomic regions and 372 adjacent protein-coding genes associated with within-generational plasticity in the Heron Island population. Functions related to insulin, cardiovascular capacity, development, and heat response were significantly enriched in differentially methylated genes, suggesting that these functions are the core mechanisms for within-generational restoration of aerobic scope. Comparison to the differentially methylated genes identified from F2 Palm Island population revealed little overlap of genes and enriched functions, indicating that distinct genetic toolkits may be used for within- and between-generational plasticity to ocean warming in the same species from different latitudes.</t>
  </si>
  <si>
    <t>APR 30</t>
  </si>
  <si>
    <t>10.3389/fmars.2020.00284</t>
  </si>
  <si>
    <t>Alves, N; Neuparth, T; Barros, S; Santos, MM</t>
  </si>
  <si>
    <t>The anti-lipidemic drug simvastatin modifies epigenetic biomarkers in the amphipod Gammarus locusta</t>
  </si>
  <si>
    <t>The adverse effects of certain environmental chemicals have been recently associated with the modulation of the epigenome. Although changes in the epigenetic signature have yet to be integrated into hazard and risk assessment, they are interesting candidates to link environmental exposures and altered phenotypes, since these changes may be passed across multiple non-exposed generations. Here, we addressed the effects of simvastatin (SIM), one of the most prescribed pharmaceuticals in the world, on epigenetic regulation using the amphipod Gammarus locusta as a proxy, to support its integration into hazard and environmental risk assessment. SIM is a known modulator of the epigenome in mammalian cell lines and has been reported to impact G. locusta ecological endpoints at environmentally relevant levels. G. locusta juveniles were exposed to three SIM environmentally relevant concentrations (0.32, 1.6 and 8 mu g L-1) for 15 days. Gene transcription levels of selected epigenetic regulators, i.e., dnmt1, dmap1, usp7, kat5 and uhrf1 were assessed, along with the quantification of DNA methylation levels and evaluation of key ecological endpoints: survival and growth. Exposure to 0.32 and 8 mu g L-1 SIM induced significant downregulation of DNA methyltransferase 1 (dnmt1), concomitant with global DNA hypomethylation and growth impacts. Overall, this work is the first to validate the basal expression of key epigenetic regulators in a keystone marine crustacean, supporting the integration of epigenetic biomarkers into hazard assessment frameworks.</t>
  </si>
  <si>
    <t>10.1016/j.ecoenv.2020.111849</t>
  </si>
  <si>
    <t>Wang, XX; Li, A; Wang, W; Que, HY; Zhang, GF; Li, L</t>
  </si>
  <si>
    <t>DNA methylation mediates differentiation in thermal responses of Pacific oyster (Crassostrea gigas) derived from different tidal levels</t>
  </si>
  <si>
    <t>HEREDITY</t>
  </si>
  <si>
    <t>Epigenetic mechanisms such as DNA methylation have the potential to affect organism acclimatization and adaptation to environmental changes by influencing their phenotypic plasticity; however, little is known about the role of methylation in the adaptive phenotypic divergence of marine invertebrates. Therefore, in this study, a typical intertidal species, the Pacific oyster (Crassostrea gigas), was selected to investigate the epigenetic mechanism of phenotypic plasticity in marine invertebrates. Intertidal and subtidal oysters subjected to one-generation common garden experiments and exhibited phenotypic divergence were used. The methylation landscape of both groups of oysters was investigated under temperate and high temperature. The two tidal oysters exhibited divergent methylation patterns, regardless of the temperature, which was mainly original environment-induced. Intertidal samples exhibited significant hypomethylation and more plasticity of methylation in response to heat shock, while subtidal samples showed hypermethylation and less plasticity. Combined with RNA-seq data, a positive relationship between methylation and expression in gene bodies was detected on a genome-wide scale. In addition, approximately 11% and 7% of differentially expressed genes showed significant methylation variation under high temperatures in intertidal and subtidal samples, respectively. Genes related to apoptosis and organism development may be regulated by methylation in response to high temperature in intertidal oysters, whereas oxidation-reduction and ion homeostasis-related genes were involved in subtidal oysters. The results also suggest that DNA methylation mediates phenotypic divergence in oysters adapting to different environments. This study provides new insight into the epigenetic mechanisms underlying phenotypic plasticity in adaptation to rapid climate change in marine organisms.</t>
  </si>
  <si>
    <t>10.1038/s41437-020-0351-7</t>
  </si>
  <si>
    <t>Jia, JY; Dong, CC; Han, MQ; Ma, SQ; Chen, WK; Dou, J; Feng, C; Liu, XJ</t>
  </si>
  <si>
    <t>Multi-omics perspective on studying reproductive biology in Daphnia sinensis</t>
  </si>
  <si>
    <t>GENOMICS</t>
  </si>
  <si>
    <t>Daphnia sinensis is a widespread freshwater microcrustacean. The assembled D. sinensis genome totaled 131.58 Mb with 92.23% of the assembly anchored onto 10 chromosomes. Based on the whole genome information, we further compared the transcriptomic and epigenomic characterization among parthenogenetic females, sexual females and males in D. sinensis. Transcriptomic analysis showed that the up-regulated genes in males were mainly grouped into the cuticle, sex differentiation and methyl farnesoate synthesis, which might play a pivotal role in steering development and reproduction processes. By comparison, the highly expressed genes in parthenogenetic females were mainly grouped into energy metabolism, mitosis, and DNA replication, which might contribute to maintaining rapid production of parthenogenetic females, and nutrient uptake for the growth of neonates. The whole-genome DNA methylation analysis showed that the methylation rate in parthenogenetic females was higher than that in sexual females and males, which might contribute to its rapid response to environment stress.</t>
  </si>
  <si>
    <t>10.1016/j.ygeno.2022.110309</t>
  </si>
  <si>
    <t>Wei, ZL; Liu, XL; Zhang, HL; Mi, X</t>
  </si>
  <si>
    <t>IDENTIFICATION OF MICRO-RNAS RESPONDING TO ZnSO4 STRESS IN GONADS OF SEA URCHIN (Strongylocentrotus nudus)</t>
  </si>
  <si>
    <t>FRESENIUS ENVIRONMENTAL BULLETIN</t>
  </si>
  <si>
    <t>It has been evidenced that micro-RNAs, a class of small non-coding RNAs, are key regulators responding to heavy metal stress. Up to date, identification and characterization of micro-RNAs responding to heavy metal stress in gonads of sea urchin have not been fully elucidated. In this study, the expressional variation of micro-RNAs between normal sea urchin gonads and that stressed by 0.1 mM ZnSO4 for 12 h was compared utilizing microarray assay. The results showed 279 micro-RNAs were detected in control gonads, while 103 in Zn-stressed sample, indicating that Zn treatment decreased the expression level of micro-RNAs. In addition, 36 micro-RNAs expressed significantly varied between control and Zn-treated gonads including 16 down- and 20 up-regulated micro-RNAs. Prediction and functional annotation of targets of these 36 micro-RNAs uncovered that micro-NAs play roles in a broad range of physiological processes under Zn stress, such as Zn transporter, DNA methylation and histone modification, as well as the chaperones binding to unfold proteins, highlighting the potential roles of sea urchin micro-NAs in responding to heavy metal stress.</t>
  </si>
  <si>
    <t>Marsh, AG; Hoadley, KD; Warner, ME</t>
  </si>
  <si>
    <t>Distribution of CpG Motifs in Upstream Gene Domains in a Reef Coral and Sea Anemone: Implications for Epigenetics in Cnidarians</t>
  </si>
  <si>
    <t>Coral reefs are under assault from stressors including global warming, ocean acidification, and urbanization. Knowing how these factors impact the future fate of reefs requires delineating stress responses across ecological, organismal and cellular scales. Recent advances in coral reef biology have integrated molecular processes with ecological fitness and have identified putative suites of temperature acclimation genes in a Scleractinian coral Acropora hyacinthus. We wondered what unique characteristics of these genes determined their coordinate expression in response to temperature acclimation, and whether or not other corals and cnidarians would likewise possess these features. Here, we focus on cytosine methylation as an epigenetic DNA modification that is responsive to environmental stressors. We identify common conserved patterns of cytosine-guanosine dinucleotide (CpG) motif frequencies in upstream promoter domains of different functional gene groups in two cnidarian genomes: a coral (Acropora digitifera) and an anemone (Nematostella vectensis). Our analyses show that CpG motif frequencies are prominent in the promoter domains of functional genes associated with environmental adaptation, particularly those identified in A. hyacinthus. Densities of CpG sites in upstream promoter domains near the transcriptional start site (TSS) are 1.38x higher than genomic background levels upstream of -2000 bp from the TSS. The increase in CpG usage suggests selection to allow for DNA methylation events to occur more frequently within 1 kb of the TSS. In addition, observed shifts in CpG densities among functional groups of genes suggests a potential role for epigenetic DNA methylation within promoter domains to impact functional gene expression responses in A. digitifera and N. vectensis. Identifying promoter epigenetic sequence motifs among genes within specific functional groups establishes an approach to describe integrated cellular responses to environmental stress in reef corals and potential roles of epigenetics on survival and fitness in the face of global climate change.</t>
  </si>
  <si>
    <t>MAR 7</t>
  </si>
  <si>
    <t>10.1371/journal.pone.0150840</t>
  </si>
  <si>
    <t>Skvortsova, K; Bertrand, S; Voronov, D; Duckett, PE; Ross, SE; Magri, MS; Maeso, I; Weatheritt, RJ; Skarmeta, JLG; Arnone, MI; Escriva, H; Bogdanovic, O</t>
  </si>
  <si>
    <t>Active DNA demethylation of developmental cis-regulatory regions predates vertebrate origins</t>
  </si>
  <si>
    <t>DNA methylation [5-methylcytosine (5mC)] is a repressive gene-regulatory mark required for vertebrate embryo -genesis. Genomic 5mC is tightly regulated through the action of DNA methyltransferases, which deposit 5mC, and ten-eleven translocation (TET) enzymes, which participate in its active removal through the formation of 5-hydroxymethylcytosine (5hmC). TET enzymes are essential for mammalian gastrulation and activation of verte-brate developmental enhancers; however, to date, a clear picture of 5hmC function, abundance, and genomic distribution in nonvertebrate lineages is lacking. By using base-resolution 5mC and 5hmC quantification during sea urchin and lancelet embryogenesis, we shed light on the roles of nonvertebrate 5hmC and TET enzymes. We find that these invertebrate deuterostomes use TET enzymes for targeted demethylation of regulatory regions associated with developmental genes and show that the complement of identified 5hmC-regulated genes is conserved to vertebrates. This work demonstrates that active 5mC removal from regulatory regions is a common feature of deuterostome embryogenesis suggestive of an unexpected deep conservation of a major gene-regulatory module.</t>
  </si>
  <si>
    <t>DEC 2</t>
  </si>
  <si>
    <t>10.1126/sciadv.abn2258</t>
  </si>
  <si>
    <t>Transgenerational effects of intertidal environment on physiological phenotypes and DNA methylation in Pacific oysters</t>
  </si>
  <si>
    <t>Climate change and intensifying human activity are posing serious threats to marine organisms. The fluctuating inter-tidal zone forms a miniature ecosystem of a rapidly changing environment for studying biological adaptation. Transgenerational plasticity (TGP), an evolutionary phenomenon in which parental experience influences offspring phenotypes, provides an avenue for adaptation, but the molecular mechanism was poorly understood in marine mol-luscs. In this study, wild Pacific oysters (Crassostrea gigas), which were collected from intertidal zones, were used to conduct two-generation breeding in a subtidal area combined with a heat shock experiment in the laboratory to inves-tigate the intertidal environment-induced TGP under temperate subtidal condition and thermally exposed condition, respectively. We showed that TGP could influence the physiological phenotypes related to the status of oxidation and energy in non-stress-exposed subtidal offspring for at least two generations. Genomic DNA methylation exhibited heritable divergence between intertidal and subtidal oysters, and 1655 (or 42.83 %) differentially methylated genes (DMGs) in F0 were continuously reserved to F2, which may mediate physiological TGP by participating in biological processes including macromolecule metabolism, cellular responses to stress, and the positive regulation of molecular function, especially fatty acid metabolism. The intertidal experience also influenced the thermal plasticity of physio-logical phenotypes within and across generations. Totally, 320 (or 14.74 %) specific thermal response DMGs in the in-tertidal F0 generation were identified in F1 and F2, participating in pathways including carbohydrate, lipid, and energy metabolism, signal transduction, and the organismal immune system, which suggested transgenerational intertidal ef-fect mediated by these genes could positively contribute to stress adaptation and had potential applications for aqua -culture. This study demonstrates an epigenetic mechanism for TGP in stress adaptation in marine molluscs, and provides new avenues to improve the stress adaptation for marine resource conservation and aquaculture.</t>
  </si>
  <si>
    <t>MAY 1</t>
  </si>
  <si>
    <t>10.1016/j.scitotenv.2023.162112</t>
  </si>
  <si>
    <t>Ferreira, MF; Turner, A; Payet, M; Debellemaniere, O; Grisolia, C; Malard, V; Moore, MN; Jha, AN</t>
  </si>
  <si>
    <t>Epigenetic and genotoxic effects of tritium in marine mussels: Comparing waterborne and metal-associated forms</t>
  </si>
  <si>
    <t>Tritium (H-3), an isotope of hydrogen, is a by-product of the nuclear industry. Decommissioning and normal operations of nuclear facilities can generate tritiated stainless-steel particles (T-SSPs) that could be unintentionally released into the environment. Considering tritium's physicochemical properties and the proximity of nuclear facilities to water bodies, assessing the behaviour and potential effects of these particles in the aquatic environment is imperative. In the present study, marine mussels, Mytilus galloprovincialis, were exposed to: (a) hydrogenated, non-radioactive stainless-steel particles (H-SSPs) (10 mg L-1) (b) T-SSPs (1 and 10 MBq L-1) and (c) tritiated water (HTO) (0.50 and 5.0 MBq L-1) for 5 h and 7 d. Exposure to T-SSPs resulted in significant DNA damage in mussel haemocytes. Tritium bioaccumulation was significantly higher in the digestive gland (DG), regardless of the exposure duration to T-SSPs. Positive correlation between tritium in DG tissues and DNA indicates that tritium is internalised in the cell. After 7 d, global DNA methylation increased in gills exposed to both 1 MBq L-1 of T-SSPs and 5 MBq L-1 of HTO treatments. In the DG tissue, DNA methylation increased following exposure to tritium (water and particulate forms) compared to H-SSPs, suggesting a tissue-specific and pollutant-dependent response. Our findings highlight the enhanced bioaccumulation of T-SSPs compared to HTO. Multivariate analyses of the results suggested an overall stress response in mussels exposed to T-SSPs compared to HTO exposure and controls. Potential epigenetic effects will require more attention as they can bring knowledge across levels of biological organisation and about the transgenerational impact of radionuclides.</t>
  </si>
  <si>
    <t>NOV 1</t>
  </si>
  <si>
    <t>10.1016/j.envpol.2025.127002</t>
  </si>
  <si>
    <t>Bachère, E; Barranger, A; Bruno, R; Rouxel, J; Menard, D; Piquemal, D; Akcha, F</t>
  </si>
  <si>
    <t>Parental diuron-exposure alters offspring transcriptome and fitness in Pacific oyster Crassostrea gigas</t>
  </si>
  <si>
    <t>One of the primary challenges in ecotoxicology is to contribute to the assessment of the ecological status of ecosystems. In this study, we used Pacific oyster Crassostrea gigas to explore the effects of a parental exposure to diuron, a herbicide frequently detected in marine coastal environments. The present toxicogenomic study provides evidence that exposure of oyster genitors to diuron during gametogenesis results in changes in offspring, namely, transcriptomic profile alterations, increased global DNA methylation levels and reduced growth and survival within the first year of life. Importantly, we highlighted the limitations to identify particular genes or gene expression signatures that could serve as biomarkers for parental herbicide-exposure and further for multigenerational and transgenerational effects of specific chemical stressors. By analyzing samples from two independent experiments, we demonstrated that, due to complex confounding effects with both tested solvent vehicles, diuron non-specifically affected the offspring transcriptome. These original results question the potential development of predictive genomic tools for detecting specific indirect impacts of contaminants in environmental risk assessments. However, our results indicate that chronic environmental exposure to diuron over several generations may have significant long term impacts on oyster populations with adverse health outcomes.</t>
  </si>
  <si>
    <t>10.1016/j.ecoenv.2017.03.030</t>
  </si>
  <si>
    <t>Rosic, N; Delamare-Deboutteville, J; Dove, S</t>
  </si>
  <si>
    <t>Heat stress in symbiotic dinoflagellates: Implications on oxidative stress and cellular changes</t>
  </si>
  <si>
    <t>Global warming has been shown to harmfully affect symbiosis between Symbiodiniaceae and other marine invertebrates. When symbiotic dinoflagellates (the genus Breviolum ) were in vitro exposed to acute heat stress of +7 degrees C for a period of 5 days, the results revealed the negative impact on all physiological and other cellular parameters measured. Elevated temperatures resulted in a severe reduction in algal density of up to 9.5 -fold, as well as pigment concentrations, indicating the status of the physiological stress and early signs of photobleaching. Reactive oxygen species (ROS) were increased in all heated dinoflagellate cells, while the antioxidant -reduced glutathione levels initially dropped on day one but increased under prolonged temperature stress. The cell viability parameters were reduced by 97 % over the heating period, with an increased proportion of apoptotic and necrotic cells. Autofluorescence (AF) for Cy5-PE 660-20 was reduced from 1.7 -fold at day 1 to up to 50 -fold drop at the end of heating time, indicating that the AF changes were highly sensitive to heat stress and that it could be an extremely sensitive tool for assessing the functionality of algal photosynthetic machinery. The addition of the drug 5-AZA-2 ' -deoxycytidine (5-AZA), which inhibits DNA methylation processes, was assessed in parallel and contributed to some alterations in algal cellular stress response. The presence of drug 5AZA combined with the temperature stress had an additional impact on Symbiodiniaceae density and cell complexity, including the AF levels. These variations in cellular stress response under heat stress and compromised DNA methylation conditions may indicate the importance of this epigenetic mechanism for symbiotic dinoflagellate thermal tolerance adaptability over a longer period, which needs further exploration. Consequently, the increased ROS levels and changes in AF signals reported during ongoing heat stress in dinoflagellate cells could be used as early stress biomarkers in these microalgae and potentially other photosynthetic species.</t>
  </si>
  <si>
    <t>SEP 20</t>
  </si>
  <si>
    <t>10.1016/j.scitotenv.2024.173916</t>
  </si>
  <si>
    <t>Ardura, A; Zaiko, A; Morán, P; Planes, S; Garcia-Vazquez, E</t>
  </si>
  <si>
    <t>Epigenetic signatures of invasive status in populations of marine invertebrates</t>
  </si>
  <si>
    <t>Epigenetics, as a DNA signature that affects gene expression and enables rapid reaction of an organism to environmental changes, is likely involved in the process of biological invasions. DNA methylation is an epigenetic mechanism common to plants and animals for regulating gene expression. In this study we show, for the first time in any marine species, significant reduction of global methylation levels during the expansive phase of a pygmy mussel (Xenostrobus securis) recent invasion in Europe (two-year old), while in older introductions such epigenetic signature of invasion was progressively reduced. Decreased methylation was interpreted as a rapid way of increasing phenotypic plasticity that would help invasive populations to thrive. This epigenetic signature of early invasion was stronger than the expected environmental signature of environmental stress in younger populations sampled from ports, otherwise detected in a much older population (&gt; 90 year old) of the also invasive tubeworm Ficopomatus enigmaticus established in similar locations. Higher epigenetic than genetic diversity found in X. securis was confirmed from F. enigmaticus samples. As reported for introduced plants and vertebrates, epigenetic variation could compensate for relatively lower genetic variation caused by founder effects. These phenomena were compared with epigenetic mechanisms involved in metastasis, as parallel processes of community (biological invasion) and organism (cancer) invasions.</t>
  </si>
  <si>
    <t>FEB 16</t>
  </si>
  <si>
    <t>10.1038/srep42193</t>
  </si>
  <si>
    <t>Thorson, JLM; Smithson, M; Beck, D; Sadler-Riggleman, I; Nilsson, E; Dybdahl, M; Skinner, MK</t>
  </si>
  <si>
    <t>Epigenetics and adaptive phenotypic variation between habitats in an asexual snail</t>
  </si>
  <si>
    <t>In neo-Darwinian theory, adaptation results from a response to selection on relatively slowly accumulating genetic variation. However, more rapid adaptive responses are possible if selectable or plastic phenotypic variation is produced by epigenetic differences in gene expression. This rapid path to adaptation may prove particularly important when genetic variation is lacking, such as in small, bottlenecked, or asexual populations. To examine the potential for an epigenetic contribution to adaptive variation, we examined morphological divergence and epigenetic variation in genetically impoverished asexual populations of a freshwater snail, Potamopyrgus antipodarum, from distinct habitats (two lakes versus two rivers). These populations exhibit habitat specific differences in shell shape, and these differences are consistent with adaptation to water current speed. Between these same habitats, we also found significant genome wide DNA methylation differences. The differences between habitats were an order of magnitude greater than the differences between replicate sites of the same habitat. These observations suggest one possible mechanism for the expression of adaptive shell shape differences between habitats involves environmentally induced epigenetic differences. This provides a potential explanation for the capacity of this asexual snail to spread by adaptive evolution or plasticity to different environments.</t>
  </si>
  <si>
    <t>OCT 26</t>
  </si>
  <si>
    <t>10.1038/s41598-017-14673-6</t>
  </si>
  <si>
    <t>Liu, AZ; Wang, L; Zeng, FS; Xia, XL; Pei, HL; Dong, CK; Zhang, YM; Ding, J</t>
  </si>
  <si>
    <t>Multi-omics analysis of sea urchin ( Strongylocentrotus intermedius) adaptation to salt stress reveals epigenetic regulatory mechanisms</t>
  </si>
  <si>
    <t>Increased precipitation and surface runoff due to global warming has reduced surface seawater and nearshore water salinity, affecting marine organism survival. Nevertheless, the epigenetic mechanisms underlying the adaptation of sea urchins (Strongylocentrotus intermedius) to low-salinity stress remains unknown. This study utilized response surface methodology to formulate growth models for S. intermedius at different salinity levels and shell diameters. Whole genome bisulphite sequencing, RNA-sequencing, and metabolome analysis were performed on low-salinity stressed sea urchins, and a total of 3006 differential methylated regions, 945 differential methylated genes, 886 differentially expressed genes, and 271 differential metabolites were identified. Multi-omics analysis revealed significant alterations in the gene expression and DNA methylation of key genes (e. g., SPHK2, Arpc1a, and SLC23A1) in S. intermedius under low-salinity stress conditions. These changes subsequently influenced the metabolism of substances, including sphingosine-1-phosphate, ethanolamine phosphate, vitamin C, taurine, and choline. These alterations impacted functions related to immunity, osmoregulation, and energy metabolism in the organism. This study was to comprehensively elucidate the epigenetic mechanisms of S. intermedius under low-salinity stress from the perspective of DNA-RNA-metabolites, providing new insights into salinity adaptation of marine invertebrates.</t>
  </si>
  <si>
    <t>FEB 15</t>
  </si>
  <si>
    <t>10.1016/j.aquaculture.2024.741751</t>
  </si>
  <si>
    <t>Cocci, P; Mosconi, G; Palermo, FA</t>
  </si>
  <si>
    <t>Effects of tributyltin on retinoid X receptor gene expression and global DNA methylation during intracapsular development of the gastropod Tritia mutabilis (Linnaeus, 1758)</t>
  </si>
  <si>
    <t>ENVIRONMENTAL TOXICOLOGY AND PHARMACOLOGY</t>
  </si>
  <si>
    <t>The tributyltin (TBT)-mediated induction of imposex in marine snails is considered a common mechanism of endocrine disruption through the retinoid X receptor (RXR)-dependent pathway. However, there is evidence that regulation of RXR also relates to metabolic processes, differentiation, apoptosis, and embryonic development, playing a key role in molluscan neuronal differentiation and organogenesis. In this regard, very little is known about the gastropod Tritia mutabilis especially in relation to the effects of TBT exposure during intracapsular embryonic development. In this study, we have investigated the RXR expression fold changes of T. mutabilis encapsulated embryos exposed to different concentrations (10-10 to 10-12 M) of TBT up to 10 days of treatment. We demonstrate that RXR is sequentially expressed during development and that exposure to the lowest and highest TBT doses induces time-dependent changes in RXR gene transcription. We also show that TBT treatment is associated with global DNA demethylation and reduced DNA-methyltransferase I (DNMT1) expression and activity levels. Overall, our data indicate that RXR has important functions during the early stages of T. mutabilis embryo development and is involved in mediating the potential epigenetic alterations induced by TBT exposure.</t>
  </si>
  <si>
    <t>10.1016/j.etap.2021.103753</t>
  </si>
  <si>
    <t>Chen, HX; Yang, JM; Jiao, Y; Wang, QH; Deng, YW; Du, XD</t>
  </si>
  <si>
    <t>MBD4 from the pearl oyster Pinctada fucata martensii involved in immune response by binding to methylated DNA sequences</t>
  </si>
  <si>
    <t>AQUACULTURE REPORTS</t>
  </si>
  <si>
    <t>DNA methylation is a conserved epigenetic modification with a critical role in regulating gene expression and maintaining genomic stability. Methyl-CpG-binding protein 4 (MBD4) binds to the methylated sequences and regulates gene expression. The Pearl oyster Pinctada fucata martensii is a commercial oyster species used for cultivating seawater pearls in China. To clarify the function of MBD4 from P. f. martensii (PmMBD4), we obtained the regulatory genes of PmMBD4 by DNA affinity purification sequencing (DAP-seq) and RNA interference (RNAi) techniques and analyzed the binding ability of PmMBD4 to methylated DNA sequences. The results of subcellular localization analysis showed that PmMBD4 was present in both nucleus and cytoplasm. The combined analysis of DAP-seq and whole genome bisulfite sequencing revealed that all the binding fragments of PmMBD4 were methylated. The downregulated expression of PmMBD4 by RNAi decreased the enzyme activities of superoxide dismutase, catalase, and inducible nitric oxide synthase. The combined analysis of DAP-seq and transcriptome showed that PmMBD4 inhibited the immune response through the Lysosome and other signaling pathways. These results indicate that PmMBD4 is involved in regulating the immune response in pearl oysters by binding to methylated DNA sequences.</t>
  </si>
  <si>
    <t>10.1016/j.aqrep.2024.102339</t>
  </si>
  <si>
    <t>Forest, J; Sunada, H; Dodd, S; Lukowiak, K</t>
  </si>
  <si>
    <t>Training Lymnaea in the presence of a predator scent results in a long-lasting ability to form enhanced long-term memory</t>
  </si>
  <si>
    <t>JOURNAL OF COMPARATIVE PHYSIOLOGY A-NEUROETHOLOGY SENSORY NEURAL AND BEHAVIORAL PHYSIOLOGY</t>
  </si>
  <si>
    <t>Lymnaea exposed to crayfish effluent (CE) gain an enhanced ability to form long-term memory (LTM). We test the hypothesis that a single CE exposure and operant conditioning training leads to long lasting changes in the capability of snails to form LTM when tested in pond water four weeks later. We trained both juvenile and adult snails with a single 0.5 h training session in CE and show that LTM was present 24 h later. Snails trained in a similar manner in just pond water show no LTM. We then asked if such training in CE conferred enhanced memory forming capabilities on these snails four weeks later. That is, would LTM be formed in these snails four weeks later following a single 0.5 h training session in pond water? We found that both adult and juvenile snails previously trained in CE one month previously had enhanced LTM formation abilities. The injection of a DNA methylation blocker, 5-AZA, prior to training in adult snails blocked enhanced LTM formation four weeks later. Finally, this enhanced LTM forming ability was not passed on to the next generation of snails.</t>
  </si>
  <si>
    <t>10.1007/s00359-016-1086-z</t>
  </si>
  <si>
    <t>Wang, Q; Zhang, SQ; He, XH; Li, SY; Xu, XH; Feng, YW; Yang, JM; Sun, GH</t>
  </si>
  <si>
    <t>Integrated m6A RNA methylation and transcriptomic analysis of Apostichopus japonicus under combined high-temperature and hypoxia stress</t>
  </si>
  <si>
    <t>BackgroundGlobal climate change has significantly increased environmental stress in marine ecosystems, with rising sea surface temperatures and declining dissolved oxygen (DO) levels. These stressors pose critical challenges to aquaculture, particularly for Apostichopus japonicus, an economically significant species in China. A. japonicus is highly sensitive to combined high-temperature and hypoxia stress, which disrupts physiological processes, suppresses immune responses, and increases mortality. While epigenetic mechanisms such as N6-methyladenosine (m6A) RNA modifications are known to regulate stress adaptation, their role under dual stressors in A. japonicus remains poorly understood.ResultsThis study integrates m6A methylation sequencing (MeRIP-seq) and transcriptomic analysis (RNA-seq) to investigate molecular responses in A. japonicus under combined high-temperature (32 degrees C) and hypoxia (DO = 2 mg/L). Results show that approximately 90% of genes had 1-3 m6A peaks, with single peaks being the most frequent (similar to 60%). Genes with m6A modifications exhibited varying expression levels, with some showing significantly higher expression, suggesting a complex relationship between m6A methylation and stress-responsive gene expression. GO and KEGG enrichment analyses revealed that m6A-modified genes regulate pathways associated with oxidative stress, protein homeostasis, and energy metabolism, such as the PI3K-Akt and MAPK signaling pathways. Key stress-responsive genes, including HSP70, NOX5, and SLC7A11, exhibited dynamic m6A methylation changes, highlighting their roles in redox homeostasis and cellular resilience. Comparative analysis across experimental groups revealed distinct molecular responses to hypoxia, high-temperature stress, and their combination, with combined stress inducing more pronounced changes in m6A methylation and gene expression.ConclusionIn this study, we explored the central regulatory role of m6A RNA methylation in the response of A. japonicus to the dual environmental stress of high-temperature and hypoxia. The findings show that m6A modification regulates the expression of key genes, allowing A. japonicus to effectively adapt to harsh environmental conditions. This study not only provides an important new perspective on the molecular stress recovery mechanism of marine invertebrates in the face of complex environmental stress, but it also provides theoretical support for aquaculture practice, assisting in the development of more stress-resistant aquaculture systems to deal with the severe challenges posed by global climate change.</t>
  </si>
  <si>
    <t>10.1186/s12864-025-11532-x</t>
  </si>
  <si>
    <t>Bal, N; Kumar, A; Nugegoda, D</t>
  </si>
  <si>
    <t>Assessing multigenerational effects of prednisolone to the freshwater snail, Physa acuta (Gastropoda: Physidae)</t>
  </si>
  <si>
    <t>Prednisolone (PDS), a potent synthetic glucocorticoid is widely prescribed for its exceptional anti-inflammatory properties. Several studies have detected the environmental presence of PDS in water bodies which has led to an ecological concern for its toxicity to non-target aquatic biota. The present study investigated the effects of exposure to PDS on different life-cycle stages and generations of the freshwater snail, Physa acuta. This continuous exposure over a period of multiple generations resulted in generational impairments at measured endpoints. LOEC values (p &lt; 0.001) for PDS exposure ranged from 32 to 4 mu g/L in exposed FO-F2 generations. Global DNA methylation (% 5-methyl cytosine) of adult progeny was found to be affected at higher test concentrations in comparison to the parent snails. Partially formed to completely missed growth components of shell structure and shell thinning in abnormally underdeveloped PDS exposed snails of Fl and F2 generation, was also observed in this multigenerational exposure experiment. The multigenerational study confirmed P. acuta as a promising bioindicator since critical effects of the long term glucocorticoid exposure opens up the way for further investigations on transgenerational toxicity in environmental toxicology and risk assessment and to monitor glucocorticoid pollution in aqueous ecosystem. (C) 2017 Elsevier B.V. All rights reserved.</t>
  </si>
  <si>
    <t>OCT 5</t>
  </si>
  <si>
    <t>10.1016/j.jhazmat.2017.06.024</t>
  </si>
  <si>
    <t>Simmen, MW</t>
  </si>
  <si>
    <t>Genome-scale relationships between cytosine methylation and dinucleotide abundances in animals</t>
  </si>
  <si>
    <t>In mammalian genomes CpGs occur at one-fifth their expected frequency. This is accepted as resulting from cytosine methylation and deamination of 5-methylcytosine leading to TpG and CpA dinucleotides. The corollary that a CpG deficit should correlate with TpG excess has not hitherto been systematically tested at a genomic level. I analyzed genome sequences (human, chimpanzee, mouse, pufferfish, zebrafish, sea squirt, fruitfly, mosquito, and nematode) to do this and generally to assess the hypothesis that CpG deficit, TpG excess, and other data are accountable in terms of 5-methylcytosine mutation. In all methylated genomes local CpG deficit decreases with higher G + C content. Local TpG surplus, while positively associated with G + C level in mammalian genomes but negatively associated with G + C in nonmammalian methylated genomes, is always explicable in terms of the CpG trend under the methylation model. Covariance of dinucleotide abundances with G + C demonstrates that correlation analyses should control for G + C. Doing this reveals a strong negative correlation between local CpG and TpG abundances in methylated genomes, in accord with the methylation hypothesis. CpG deficit also correlates with CpT excess in mammals, which may reflect enhanced cytosine mutation in the context 5'-YCG-3'. Analyses with repeat-masked sequences show that the results are not attributable to repetitive elements. (C) 2008 Elsevier Inc. All rights reserved.</t>
  </si>
  <si>
    <t>10.1016/j.ygeno.2008.03.009</t>
  </si>
  <si>
    <t>Srut, M; Sabolic, I; Erdelez, A; Grbin, D; Turk, MF; Bakaric, R; Peharda, M; Stambuk, A</t>
  </si>
  <si>
    <t>Marine Pollutant Tributyltin Affects DNA Methylation and Fitness of Banded Murex (Hexaplex trunculus) Populations</t>
  </si>
  <si>
    <t>TOXICS</t>
  </si>
  <si>
    <t>Banded murex, Hexaplex trunculus, is a marine gastropod whose reproductive fitness can be severely affected by very low concentrations of antifouling compound tributyltin (TBT). TBT has strong xenoandrogen impacts on snails, causing the development of imposex (e.g., the superimposition of male sexual characteristic in females), thereby affecting the fitness of entire populations. TBT is also known as a DNA-demethylating agent and an obesogenic factor. The aim of this study was to unravel the interactions between TBT bioaccumulation, phenotypic responses, and epigenetic and genetic endpoints in native populations of H. trunculus. Seven populations inhabiting environments along the pollution gradient were sampled in the coastal eastern Adriatic. These included sites of intense marine traffic and boat maintenance activity and sites with low anthropogenic impact. Populations inhabiting intermediately and highly polluted sites exhibited higher TBT burdens, higher incidences of imposex, and higher wet masses of snails than populations in lowly polluted sites. Other morphometric traits and cellular biomarker responses did not show clear differentiation among populations in relation to marine traffic/pollution intensity. An analysis of methylation sensitive amplification polymorphism (MSAP) revealed environmentally driven population differentiation and higher epigenetics than genetic within-population diversity. Moreover, decreases in genome-wide DNA methylation coincided with the imposex level and snail mass, suggesting an epigenetic background of the animal phenotypic response.</t>
  </si>
  <si>
    <t>10.3390/toxics11030276</t>
  </si>
  <si>
    <t>Luviano, N; Lopez, M; Gawehns, F; Chaparro, C; Arimondo, PB; Ivanovic, S; David, P; Verhoeven, K; Cosseau, C; Grunau, C</t>
  </si>
  <si>
    <t>The methylome of Biomphalaria glabrata and other mollusks: enduring modification of epigenetic landscape and phenotypic traits by a new DNA methylation inhibitor</t>
  </si>
  <si>
    <t>EPIGENETICS &amp; CHROMATIN</t>
  </si>
  <si>
    <t>Background 5-Methylcytosine (5mC) is an important epigenetic mark in eukaryotes. Little information about its role exists for invertebrates. To investigate the contribution of 5mC to phenotypic variation in invertebrates, alteration of methylation patterns needs to be produced. Here, we apply new non-nucleoside DNA methyltransferase inhibitors (DNMTi) to introduce aleatory changes into the methylome of mollusk species. Results Flavanone inhibitor Flv1 was efficient in reducing 5mC in the freshwater snails Biomphalaria glabrata and Physa acuta, and to a lesser degree, probably due to lower stability in sea water, in the oyster Crassostrea gigas. Flv1 has no toxic effects and significantly decreased the 5mC level in the treated B. glabrata and in its offspring. Drug treatment triggers significant variation in the shell height in both generations. A reduced representation bisulfite-sequencing method called epiGBS corroborates hypomethylation effect of Flv1 in both B. glabrata generations and identifies seven Differential Methylated Regions (DMR) out of 32 found both in Flv1-exposed snails and its progeny, from which 5 were hypomethylated, demonstrating a multigenerational effect. By targeted bisulfite sequencing, we confirmed hypomethylation in a locus and show that it is associated with reduced gene expression. Conclusions Flv1 is a new and efficient DNMTi that can be used to induce transient and heritable modifications of the epigenetic landscape and phenotypic traits in mollusks, a phylum of the invertebrates in which epigenetics is understudied.</t>
  </si>
  <si>
    <t>10.1186/s13072-021-00422-7</t>
  </si>
  <si>
    <t>Wu, H; Caffo, B; Jaffee, HA; Irizarry, RA; Feinberg, AP</t>
  </si>
  <si>
    <t>Redefining CpG islands using hidden Markov models</t>
  </si>
  <si>
    <t>BIOSTATISTICS</t>
  </si>
  <si>
    <t>The DNA of most vertebrates is depleted in CpG dinucleotide: a C followed by a G in the 5' to 3' direction. CpGs are the target for DNA methylation, a chemical modification of cytosine (C) heritable during cell division and the most well-characterized epigenetic mechanism. The remaining CpGs tend to cluster in regions referred to as CpG islands (CGI). Knowing CGI locations is important because they mark functionally relevant epigenetic loci in development and disease. For various mammals, including human, a readily available and widely used list of CGI is available from the UCSC Genome Browser. This list was derived using algorithms that search for regions satisfying a definition of CGI proposed by Gardiner-Garden and Frommer more than 20 years ago. Recent findings, enabled by advances in technology that permit direct measurement of epigenetic endpoints at a whole-genome scale, motivate the need to adapt the current CGI definition. In this paper, we propose a procedure, guided by hidden Markov models, that permits an extensible approach to detecting CGI. The main advantage of our approach over others is that it summarizes the evidence for CGI status as probability scores. This provides flexibility in the definition of a CGI and facilitates the creation of CGI lists for other species. The utility of this approach is demonstrated by generating the first CGI lists for invertebrates, and the fact that we can create CGI lists that substantially increases overlap with recently discovered epigenetic marks. A CGI list and the probability scores, as a function of genome location, for each species are available at http://www.rafalab.org.</t>
  </si>
  <si>
    <t>10.1093/biostatistics/kxq005</t>
  </si>
  <si>
    <t>Cribiu, P; Chaumot, A; Geffard, O; Ravanat, JL; Bastide, T; Delorme, N; Quéau, H; Galliat, S; Devaux, A; Bony, S</t>
  </si>
  <si>
    <t>Natural variability and modulation by environmental stressors of global genomic cytosine methylation levels in a freshwater crustacean, Gammarus fossarum</t>
  </si>
  <si>
    <t>To improve the assessment of aquatic organism responses to environmental stressors, there is an interest in studying epigenetic marks in addition to other validated biomarkers. Indeed, the epigenetic marks may be influenced by the surrounding environment. Non-model invertebrates such as gammarids are sentinel organisms representative of the diversity of natural stream communities. Despite their ecologically relevance, the epigenetic responses have been to date poorly documented in these species. The present study explores the measurement of the global cytosine methylation level in the genome of the freshwater crustacean Gammarus fossarum. In a first step, natural variability of global cytosine methylation level (basal level) was assessed by studying the effect of sex, age and sampling site of organisms. Results showed a significant effect of age and sampling site. In a second step, effects of water temperature and food starvation were studied. For both factors, a hypermethylation was observed after 1 month of exposure. In a third step, gammarids were exposed to a range of environmentally relevant cadmium concentrations (0.05-5 mu g/L) in order to assess the effect of a chemical stress. Whatever the cadmium concentration used, a significant hypomethylation was observed after 14 days followed by a trend for hypermethylation after 1 month of exposure. These results are the first ones dealing with the 5C-methylation status in gammarids. The results constitute potential markers of environmental stresses in relevant sentinel species widely used in ecotoxicological studies.</t>
  </si>
  <si>
    <t>10.1016/j.aquatox.2018.09.015</t>
  </si>
  <si>
    <t>Lee, YH; Kim, MS; Jeong, H; Hagiwara, A; Lee, JS</t>
  </si>
  <si>
    <t>Genome-wide identification and transcriptional modulation of histone variants and modification related genes in the low pH-exposed marine rotifer Brachionus koreanus</t>
  </si>
  <si>
    <t>Histone modification is considered to be a major epigenetic control mechanism. These modifications (e.g. acetylation, phosphorylation, and methylation) may affect the interaction of histones with DNA and/or regulate DNA-based processes (e.g., recombination, repair, replication, and transcription) and chromatin remodeling complexes. Despite their significance in metazoan life and evolution, few studies have been conducted to identify genes undergoing epigenetic control modification in aquatic invertebrates. In this study, we identified whole core histones (70 total genes) and post-translational modification (PTM) histone genes (63 total genes) in the marine rotifer Brachionus koreanus through whole-genome analysis, and annotated them according to the human nomenclature. Notably, upon comparative analysis of cis-regulatory motif sequences, we found that B. koreanus core histone protein structures were similar to those of mammals. Furthermore, to examine the effect of parental low pH stress on the offspring's epigenetic regulation, we investigated the expression of PTM genes in two generations of B. koreanus exposed to low pH conditions. Given that the B. koreanus genome does not possess DNA methyltransferase 1 and 3 genes, we concluded that histone genes could be involved as an important epigenetic mechanism in B. koreanus. Therefore, the histone-associated genes identified in this study could be useful for ecotoxicological studies and facilitate the application of chromatin immunoprecipitation sequencing using high-throughput DNA sequencing based on the genome-wide identification of transcription factor binding sites in rotifers.</t>
  </si>
  <si>
    <t>10.1016/j.cbd.2020.100748</t>
  </si>
  <si>
    <t>Anne, T; Thomas, BG; Stéphane, G; Jenni, K; Winding, HB; Emily, KK</t>
  </si>
  <si>
    <t>Acute and chronic response to a change in salinity of the euryhaline polychaete Pygospio elegans (Claparede)</t>
  </si>
  <si>
    <t>Estuaries are thought to be very harsh environments because their physico-chemical parameters, such as salinity, temperature and oxygen, can fluctuate substantially. The distribution of species living in an estuary is largely determined by how well they can cope with such fluctuations. The spionid polychaete Pygospio elegans is common in boreal estuarine habitats that show strong salinity fluctuations, living in habitats ranging from fully marine salinities to brackish environments with salinities as low as 5. In this study we investigated the abilities of P. elegans to cope with an acute as well as a long-term change in salinity. Specimens originating from a salinity of about 15 were exposed to salinity 15 as control and 5 and 30 as low and high salinity treatments. In acute exposure experiments, we measured body volume and tissue water content as well as gene expression of seven genes related to volume- and osmoregulation within 4 h of exposure. In a long-term experiment, we monitored survival, growth and reproduction as well as potential changes in DNA methylation within 6 weeks after a gradual salinity change. In response to abrupt exposure to a hyposmotic medium (salinity 5) we observed increased body volume that could not be fully restored, increased mortality, and no clear change in gene expression. Hence, P. elegans might be a weak cell-volume regulator that cannot cope well with sudden drops in salinity. In contrast, a gradual, long-term change in salinity seemed to be less stressful, although worms at salinity 5 showed slightly increased mortality and reduced or delayed maturity. Overall, there were fewer detrimental effects of exposure to a higher salinity. While the tested salinities fall within the tolerance range of P. elegans from this population, decrease in salinity seems to be a stronger stress.</t>
  </si>
  <si>
    <t>10.1016/j.jembe.2019.05.002</t>
  </si>
  <si>
    <t>Alassiri, AH; Alkhaibary, A; Al-Sarheed, S; Alsufani, F; Alharbi, M; Alkhani, A; Aloraidi, A</t>
  </si>
  <si>
    <t>O6-methylguanine-DNA methyltransferase promoter methylation and isocitrate dehydrogenase mutation as prognostic factors in a cohort of Saudi patients with glioblastoma</t>
  </si>
  <si>
    <t>ANNALS OF SAUDI MEDICINE</t>
  </si>
  <si>
    <t>BACKGROUND: Treatment of glioblastoma (GB), the most common malignant primary brain tumor in adults, can include alkylating chemotherapeutic agents. Two molecular biomarkers of treatment response are MGMT (O-6-methylguanine-DNA methyltransferase) promoter methylation and IDH (isocitrate dehydrogenase) mutations, which prevent repair of tumor cell DNA damage caused by alkylating chemotherapy. The status of MGMT promoter methylation and IDH mutation are associated with longer survival and a better response to chemotherapy. OBJECTIVE: Assess the prognostic value of MGMT methylation status and IDH mutation in adult Saudi glioblastoma patients. DESIGN: Retrospective, comparative survival analysis. SETTING: Tertiary care center. PATIENTS AND METHODS: The status of the MGMT promoter methylation and IDH mutation was assessed in adult patients diagnosed with GB between 2006 and 2019. A PCR-based assay was used to analyze for methylation of the MGMT promoter. A qualitative assay combining PCR clamping and amplification refractory mutation system technology was used to search for any of the 12 most common mutations in IDH1 and IDH2. Differences in survival were compared between those with and without MGMT promoter methylation and IDH mutation and between other subgroups. MAIN OUTCOME MEASURES: Survival of GB patients relative to MGMT promoter methylation and IDH mutation status. SAMPLE SIZE: 146 patients (80 males and 66 females). RESULTS: Of 43 (29.5%) cases tested for MGMT promoter methylation, 14 (32.5%) were positive. Of 65 (44.5%) cases screened for IDH mutation, 6 cases (9.2%) tested positive. The 36-month survival rate was 47% for the MGMT methylated cohort compared to 27% for their unmethylated counterparts. The 18-month survival rate for the IDH-mutant was 75% compared to 48% for their IDH-wildtype counterparts. CONCLUSION: The findings confirm the positive impact of both MGMT promoter methylation and IDH mutation on the overall survival of Saudi GB patients.</t>
  </si>
  <si>
    <t>NOV-DEC</t>
  </si>
  <si>
    <t>10.5144/0256-4947.2019.410</t>
  </si>
  <si>
    <t>Jiang, Q; Qian, L; Gu, SW; Guo, X; Zhang, XJ; Sun, LS</t>
  </si>
  <si>
    <t>Investigation of growth retardation in Macrobrachium rosenbergii based on genetic/epigenetic variation and molt performance</t>
  </si>
  <si>
    <t>Giant freshwater prawn, Macrobrachium rosenbergii is an important freshwater aquaculture species worldwide, and China contributes the most to its global production. However, in recent years in China, many prawns have shown serious growth retardation, which is referred to as iron prawn. To explore the mechanism behind this phenomenon, we compared the difference between these iron prawns and normal prawns in three aspects-changes in genetic diversity, DNA methylation, and transcriptomes-as well as comparing differences in their molt performance. The results are as follows: first, compared with normal prawns, iron prawns showed no significant decrease in genetic diversity, but they did show obvious genetic differentiation, and different DNA methylation levels were observed. The genetic and epigenetic variations that existed between iron prawn and normal prawn indicated the influence of germplasm on growth performance. Second, transcriptome analysis revealed 1813 differentially expressed genes (DEGs) between the iron prawn and normal prawn, and the DEGs mainly enriched the glucose metabolism- and immune-related pathways, such as in glycolysis/gluconeogenesis metabolism, insulin secretion, glucagon signaling pathway, antigen processing and presentation, as well as in complement and coagulation cascades. Enrichment analysis indicated the importance of the glucose level and pathogen attacks to growth performance in the iron prawn. Finally, a comparison of the molt performance showed that the length of the molt cycle in the iron prawn was comparable to normal prawns with the same size, but the specific growth was much lower in the iron prawn. This result suggested that lower body weight gain per molt cycle should be responsible for growth retardation in the iron prawn, but not in the longer molt cycle. The results in this study provided fundamental information about the mechanism behind growth retardation in M. rosenbergii.</t>
  </si>
  <si>
    <t>10.1016/j.cbd.2020.100683</t>
  </si>
  <si>
    <t>Nguyen, ND; Matsuura, T; Kato, Y; Watanabe, H</t>
  </si>
  <si>
    <t>DNMT3.1 controls trade-offs between growth, reproduction, and life span under starved conditions in Daphnia magna</t>
  </si>
  <si>
    <t>The cladoceran crustacean Daphnia has long been a model of energy allocation studies due to its important position in the trophic cascade of freshwater ecosystems. However, the loci for controlling energy allocation between life history traits still remain unknown. Here, we report CRISPR/Cas-mediated target mutagenesis of DNA methyltransferase 3.1 (DNMT3.1) that is upregulated in response to caloric restriction in Daphnia magna. The resulting biallelic mutant is viable and did not show any change in growth rate, reproduction, and longevity under nutrient rich conditions. In contrast, under starved conditions, the growth rate of this DNMT3.1 mutant was increased but its reproduction was reciprocally reduced compared to the wild type when the growth and reproduction activities competed during a period from instar 4 to 8. The life span of this mutant was significantly shorter than that of the wild type. We also compared transcriptomes between DNMT3.1 mutant and wild type under nutrient-rich and starved conditions. Consistent with the DNMT3.1 mutant phenotypes, the starved condition led to changes in the transcriptomes of the mutant including differential expression of vitellogenin genes. In addition, we found upregulation of the I am not dead yet (INDY) ortholog, which has been known to shorten the life span in Drosophila, explaining the shorter life span of the DNMT3.1 mutant. These results establish DNMT3.1 as a key regulator for life span and energy allocation between growth and reproduction during caloric restriction. Our findings reveal how energy allocation is implemented by selective expression of a DNMT3 ortholog that is widely distributed among animals. We also infer a previously unidentified adaptation of Daphnia that invests more energy for reproduction than growth under starved conditions.</t>
  </si>
  <si>
    <t>APR 1</t>
  </si>
  <si>
    <t>10.1038/s41598-021-86578-4</t>
  </si>
  <si>
    <t>Kravchuk, OI; Finoshin, AD; Mikhailov, KV; Ziganshin, RH; Adameyko, KI; Gornostaev, NG; Zhurakovskaya, AI; Mikhailov, VS; Shagimardanova, EI; Lyupina, YV</t>
  </si>
  <si>
    <t>Characteristics of δ-Aminolevulinic Acid Dehydratase of the Cold-Water Sponge Halisarca dujardinii</t>
  </si>
  <si>
    <t>MOLECULAR BIOLOGY</t>
  </si>
  <si>
    <t>delta-Aminolevulinic acid dehydratase (ALAD) is a key enzyme of the cytoplasmic heme biosynthesis pathway. The primary structure of the ALAD gene, the multimeric structure of the ALAD/hemB protein, and ALAD expression during the annual reproductive cycle were studied in the cold-water marine sponge Halisarca dujardinii. The results implicated the GATA-1 transcription factor and DNA methylation in regulating ALAD expression. Re-aggregation of sponge cells was accompanied by a decrease in ALAD expression and a change in the cell content of an active ALAD/hemB form. Further study of heme biosynthesis and the role of ALAD/hemB in morphogenesis of basal animals may provide new opportunities for treating pathologies in higher animals.</t>
  </si>
  <si>
    <t>10.1134/S0026893323060109</t>
  </si>
  <si>
    <t>Guo, SN; Zheng, JL; Yuan, SS; Zhu, QL</t>
  </si>
  <si>
    <t>Effects of heat and cadmium exposure on stress-related responses in the liver of female zebrafish: Heat increases cadmium toxicity</t>
  </si>
  <si>
    <t>In this study, female zebrafish (Danio rerio) were exposed to 26 degrees C or 34 degrees C, 0 or 197 mu g/L cadmium (Cd), singly or in combination for 7 days. Multiple stress-related indicators were evaluated in the liver. Mortality, lipid peroxidation (LPO) and ultrastructural damage increased significantly by Cd exposure alone, and were not affected by heat alone. Interestingly, the combined exposure increased LPO, ultrastructural damage, and mortality compared with Cd exposure alone. The results indicated that elevated temperature increased Cd toxicity, which could be explained by several reasons. Firstly, Cd-exposed fish failed to activate the antioxidant defense system under heat stress. Secondly, expression levels of heat shock protein 70 (HSP70) were not significantly up-regulated by heat in Cd-exposed fish but increased by 117 times in Cd-free fish. Besides, hypermethylation of heat shock factor (HSF) binding motif in HSP70 promoter was observed during the combined exposure, indicating that simultaneous exposure may have partially suppressed the cytoprotective up-regulation of HSP70. Thirdly, heat induced an immunosuppressive effect in Cd-exposed fish, as reflected by the reduced mRNA and activity levels of nitric oxide synthase (iNOS) and interleukin-1 beta (IL-1 beta) expression levels. Finally, heat down-regulated Zir-, Irt-like protein 8 (ZIP8) and copper transporter 1 (CTR1) and up-regulated metallothioneins (MTs) in Cd-exposed fish, possibly suggesting Cu and Zn depletion and Cd accumulation. Hence, our data provide evidences that warmer temperatures can potentiate Cd toxicity, involved in the regulation of gene transcription, enzymatic activity, and DNA methylation. We found that heat indicators showed varied sensitivity between normal and Cd-exposed fish, emphasizing that the field metal pollution should be carefully considered when evaluating effects of climate change. (C) 2017 Elsevier B.V. All rights reserved.</t>
  </si>
  <si>
    <t>10.1016/j.scitotenv.2017.09.264</t>
  </si>
  <si>
    <t>Torda, G; Donelson, JM; Aranda, M; Barshis, DJ; Bay, L; Berumen, ML; Bourne, DG; Cantin, N; Foret, S; Matz, M; Miller, DJ; Moya, A; Putnam, HM; Ravasi, T; van Oppen, MJH; Thurber, RV; Vidal-Dupiol, J; Voolstra, CR; Watson, SA; Whitelaw, E; Willis, BL; Munday, PL</t>
  </si>
  <si>
    <t>Rapid adaptive responses to climate change in corals</t>
  </si>
  <si>
    <t>Pivotal to projecting the fate of coral reefs is the capacity of reef-building corals to acclimatize and adapt to climate change. Transgenerational plasticity may enable some marine organisms to acclimatize over several generations and it has been hypothesized that epigenetic processes and microbial associations might facilitate adaptive responses. However, current evidence is equivocal and understanding of the underlying processes is limited. Here, we discuss prospects for observing transgenerational plasticity in corals and the mechanisms that could enable adaptive plasticity in the coral holobiont, including the potential role of epigenetics and coral-associated microbes. Well-designed and strictly controlled experiments are needed to distinguish transgenerational plasticity from other forms of plasticity, and to elucidate the underlying mechanisms and their relative importance compared with genetic adaptation.</t>
  </si>
  <si>
    <t>10.1038/NCLIMATE3374</t>
  </si>
  <si>
    <t>Yuan, ZX; Lei, YG; Wan, BQ; Yang, M; Jiang, Y; Tian, CX; Wang, ZD; Wang, W</t>
  </si>
  <si>
    <t>Cadmium exposure elicited dynamic RNA m6A 6 A modification and epi-transcriptomic regulation in the Pacific whiteleg shrimp Litopenaeus vannamei</t>
  </si>
  <si>
    <t>N6-methyladenosine (m6A) 6 A) methylation is the most prevalent post-transcriptional RNA modification in eukaryotic organisms, but its roles in the regulation of physiological resistance of marine crustaceans to heavy metal pollutants are poorly understood. In this study, the transcriptome-wide m6A 6 A RNA methylation profiles and dynamic m6A 6 A changes induced by acute Cd2+ 2 + exposure in the the pacific whiteleg shrimp Litopenaeus vannamei were comprehensively analyzed. Cd2+ 2 + toxicity caused a significant reduction in global RNA m6A 6 A methylation level, with major m6A 6 A regulators including the m6A 6 A methyltransferase METTL3 and the m6A 6 A binding protein YTHDF2 showing declined expression. Totally, 11,467 m6A 6 A methylation peaks from 6415 genes and 17,291 peaks within 7855 genes were identified from the Cd2+ 2 + exposure group and the control group, respectively. These m6A 6 A peaks were predominantly enriched in the 3 ' ' untranslated region (UTR) and around the start codon region of the transcripts. 7132 differentially expressed genes (DEGs) and 7382 differentially m6A-methylated 6 A-methylated genes (DMGs) were identified. 3186 genes showed significant changes in both gene expression and m6A 6 A methylation levels upon cadmium exposure, and they were related to a variety of biological processes and gene pathways. Notably, an array of genes associated with antioxidation homeostasis, transmembrane transporter activity and intracellular detoxification processes were significantly enriched, demonstrating that m6A 6 A modification may mediate the physiological responses of shrimp to cadmium toxicity via regulating ROS balance, Cd2+ 2 + transport and toxicity mitigation. The study would contribute to a deeper understanding of the evolutionary and functional significance of m6A 6 A methylation to the physiological resilience of decapod crustaceans to heavy metal toxicants.</t>
  </si>
  <si>
    <t>10.1016/j.cbd.2024.101307</t>
  </si>
  <si>
    <t>Kim, L; An, YJ</t>
  </si>
  <si>
    <t>Length-dependent impacts of fibrous microplastics on Pacific white shrimp (Penaeus vannamei) determined using multi-omics approach</t>
  </si>
  <si>
    <t>MARINE POLLUTION BULLETIN</t>
  </si>
  <si>
    <t>This study investigated the molecular effects of polyethylene terephthalate (PET) microfibers (MFs) on Penaeus vannamei, focusing on the length-dependent toxicological mechanisms. We exposed the shrimp to short (PET-S, 240.55 mu m) and long (PET-L, 2357.96 mu m) PET MFs and analyzed the changes in transcriptomic and metabolomic profiles. PET-S posed greater risks than PET-L, leading to oxidative stress, disruption in nucleotide metabolism, and alterations in gene expression related to metabolic processes, including RNA methylation and purine metabolism. Conversely, PET-L caused abnormalities in intracellular signaling pathways and metabolic functions, including the downregulation of fatty acid oxidation and membrane transfer. Both PET-S and PET-L exposure impaired cellular functions, such as energy production and signal transduction. This multi-omics study highlights the toxicological mechanisms associated with PET MF exposure in a socioeconomically important marine organism.</t>
  </si>
  <si>
    <t>10.1016/j.marpolbul.2025.118255</t>
  </si>
  <si>
    <t>Song, XR; Wang, WL; Dong, MR; Liu, C; Yang, CY; Wang, LL; Song, LS</t>
  </si>
  <si>
    <t>Evidence for trans-generational immune priming against Vibrio splendidus in the oyster Crassostrea gigas</t>
  </si>
  <si>
    <t>FRONTIERS IN IMMUNOLOGY</t>
  </si>
  <si>
    <t>Cumulative evidence have demonstrated the occurrence of trans-generational immune priming (TGIP) in invertebrates; however, the detailed substances transferred, and the mechanism of this transmission remain unclear. In the present study, we first tested TGIP in the offspring of Crassostrea gigas after parental challenge with Vibrio splendidus during the spawning season. In the maternal oyster primed with V. splendidus, the enzyme activities (lysozyme and SOD), NO level, the expression of immune genes (CgTLR2, CgMACPF, and CgFBG), as well as the antibacterial activities were significantly enhanced in the eggs of V. splendidus-primed female oysters, indicating that V. splendidus stimulation promoted the immunity tendentiously transferred to eggs during the spawning season. After fertilization, the enzyme activities of CAT, lysozyme, and SOD were significantly enhanced in the maternal primed group [mVs-Sw (M)] during early oyster ontogeny, whereas there were no detectable differences between the control group (nSw-Sw (N)) and paternal primed group [pVs-Sw (P)]. However, the expression of immune genes (CgGalectin, CgMyd88, and CgLBP) increased in the parental primed groups (mVs-Sw (M) and pVs-Sw (P)). After the larval offspring were exposed to the secondary V. splendidus stimulation, the mortality rates in the parental TGIP groups [mVs-Vs (M1) and pVs-Vs (P1)] were significantly lower, while the hatching rates were significantly higher than those in the nSw-Vs (N1), confirming that parents' immunological experience enhanced their offspring survival rates as well as their resistance to pathogen infection. Transcriptome data revealed that differentially expressed genes were enriched in immunity, signal transduction, energy metabolism, and development in the parental TGIP groups. Notably, the expression levels of the three DNMTs were all significantly upregulated during early ontogeny in the maternal primed groups [mVs-Sw (M)], but sharply increased after entering the D-veliger larvae in the paternal primed group (pVs-Sw (P)), suggesting the potential regulation of DNA methylation during oyster TGIP. Moreover, the expression of E3 ligases (CgWWP1, CgSmurf2, CgNedd4, and CgMarch5) was significantly increased at the D-veliger and early umbo larval stages after V. splendidus stimulation, indicating their immune role during oyster ontogeny. These results are the first to show evidence of bacteria-induced TGIP and its potential mechanisms in mollusks.</t>
  </si>
  <si>
    <t>MAY 19</t>
  </si>
  <si>
    <t>10.3389/fimmu.2025.1536562</t>
  </si>
  <si>
    <t>Tran, TKA; MacFarlane, GR; Kong, RYC; O'Connor, WA; Yu, RMK</t>
  </si>
  <si>
    <t>Mechanistic insights into induction of vitellogenin gene expression by estrogens in Sydney rock oysters, Saccostrea glomerata</t>
  </si>
  <si>
    <t>Marine molluscs, such as oysters, respond to estrogenic compounds with the induction of the egg yolk protein precursor, vitellogenin (Vtg), availing a biomarker for estrogenic pollution. Despite this application, the precise molecular mechanism through which estrogens exert their action to induce molluscan vitellogenesis is unknown. As a first step to address this question, we cloned a gene encoding Vtg from the Sydney rock oyster Saccostrea glomerate (sgVtg). Using primers designed from a partial sgVtg cDNA sequence available in Genbank, a full-length sgVtg cDNA of 8498 by was obtained by 5'- and 3'-RACE. The open reading frame (ORF) of sgVtg was determined to be 7980 bp, which is substantially longer than the orthologs of other oyster species. Its deduced protein sequence shares the highest homology at the N- and C-terminal regions with other molluscan Vtgs. The full-length genomic DNA sequence of sgVtg was obtained by genomic PCR and genome walking targeting the gene body and flanking regions, respectively. The genomic sequence spans 20 kb and consists of 30 exons and 29 introns. Computer analysis identified three closely spaced half-estrogen responsive elements (EREs) in the promoter region and a 210-bp CpG island 62 by downstream of the transcription start site. Upregulation of sgVtg mRNA expression was observed in the ovaries following in vitro (explants) and in vivo (tank) exposure to 17 beta-estradiol (E2). Notably, treatment with an estrogen receptor (ER) antagonist in vitro abolished the upregulation, suggesting a requirement for an estrogen-dependent receptor for transcriptional activation. DNA methylation of the 5' CpG island was analysed using bisulfite genomic sequencing of the in vivo exposed ovaries. The CpG island was found to be hypomethylated (with 0-3% methylcytosines) in both control and E2-exposed oysters. However, no significant differential methylation or any correlation between methylation and sgVtg expression levels was observed. Overall, the results support the possible involvement of an ERE-containing promoter and an estrogen-activated receptor in estrogen signalling in marine molluscs. (C) 2016 Elsevier B.V. All rights reserved.</t>
  </si>
  <si>
    <t>10.1016/j.aquatox.2016.02.023</t>
  </si>
  <si>
    <t>Riviere, G; Klopp, C; Ibouniyamine, N; Huvet, A; Boudry, P; Favrel, P</t>
  </si>
  <si>
    <t>GigaTON: an extensive publicly searchable database providing a new reference transcriptome in the pacific oyster Crassostrea gigas</t>
  </si>
  <si>
    <t>BMC BIOINFORMATICS</t>
  </si>
  <si>
    <t>Background: The Pacific oyster, Crassostrea gigas, is one of the most important aquaculture shellfish resources worldwide. Important efforts have been undertaken towards a better knowledge of its genome and transcriptome, which makes now C. gigas becoming a model organism among lophotrochozoans, the under-described sister clade of ecdysozoans within protostomes. These massive sequencing efforts offer the opportunity to assemble gene expression data and make such resource accessible and exploitable for the scientific community. Therefore, we undertook this assembly into an up-to-date publicly available transcriptome database: the GigaTON (Gigas TranscriptOme pipeliNe) database. Description: We assembled 2204 million sequences obtained from 114 publicly available RNA-seq libraries that were realized using all embryo-larval development stages, adult organs, different environmental stressors including heavy metals, temperature, salinity and exposure to air, which were mostly performed as part of the Crassostrea gigas genome project. This data was analyzed in silico and resulted into 56621 newly assembled contigs that were deposited into a publicly available database, the GigaTON database. This database also provides powerful and user-friendly request tools to browse and retrieve information about annotation, expression level, UTRs, splice and polymorphism, and gene ontology associated to all the contigs into each, and between all libraries. Conclusions: The GigaTON database provides a convenient, potent and versatile interface to browse, retrieve, confront and compare massive transcriptomic information in an extensive range of conditions, tissues and developmental stages in Crassostrea gigas. To our knowledge, the GigaTON database constitutes the most extensive transcriptomic database to date in marine invertebrates, thereby a new reference transcriptome in the oyster, a highly valuable resource to physiologists and evolutionary biologists.</t>
  </si>
  <si>
    <t>10.1186/s12859-015-0833-4</t>
  </si>
  <si>
    <t>Salisbury, JL</t>
  </si>
  <si>
    <t>The contribution of epigenetic changes to abnormal centrosomes and genomic instability in breast cancer</t>
  </si>
  <si>
    <t>JOURNAL OF MAMMARY GLAND BIOLOGY AND NEOPLASIA</t>
  </si>
  <si>
    <t>The centrosome is the major microtubule organizing center of the cell and as such it plays an important role in cytoskeletal organization and in the formation of the bipolar mitotic spindle. Centrosome defects, characterized by abnormal size, number, and microtubule nucleation capacity, are distinguishing features of most high grade breast tumors and have been implicated as a possible cause for the loss of tissue architecture and the origin of mitotic abnormalities seen in solid tumors in general. Centrosome defects arise through uncoupling of centriole duplication and the cell cycle as a result of either genetic alterations or through physical or chemical perturbation of centrosome function. Centrosomes manifest unique epigenetic properties whereby positional or structural information can be propagated through somatic cell lineages by way of nongenetic pathways. Because aberrant centrosome function can result in chromosomal instability, these properties may have important implications for the origin of malignant breast tumors.</t>
  </si>
  <si>
    <t>10.1023/A:1011312808421</t>
  </si>
  <si>
    <t>Leung, JYS; Cheung, SG; Qiu, JW; Ang, PO; Chiu, JMY; Thiyagarajan, V; Shin, PKS</t>
  </si>
  <si>
    <t>Effect of parental hypoxic exposure on embryonic development of the offspring of two serpulid polychaetes: Implication for transgenerational epigenetic effect</t>
  </si>
  <si>
    <t>Sperm production and motility, fecundity, and egg size, complexity and viability of serpulid polychaetes Hydroides elegans and Hydroides diramphus after 2-week treatment to hypoxia (2 mg 02 l(-1)) was compared with those under normoxia (6 mg 02 l(-1)). Despite reduced fecundity, the effect of parental hypoxic exposure on gamete quality was not discernible for both species. However, regardless of their subsequent dissolved oxygen environment, eggs spawned by H. elegans after hypoxic exposure were found to have lower fertilization success, slower embryonic development and a significantly higher yield of malformed embryos than those with a parental normoxic treatment. In contrast, neither fertilization success nor rate of embryonic development was affected for H. diramphus. The results implied that hypoxia was a potential stress reducing the recruitment of H. elegans through non-adaptive epigenetic effect, whereas H. diramphus was a more tolerant species to survive hypoxic events. (C) 2013 Elsevier Ltd. All rights reserved.</t>
  </si>
  <si>
    <t>SEP 15</t>
  </si>
  <si>
    <t>10.1016/j.marpolbul.2013.07.014</t>
  </si>
  <si>
    <t>B</t>
  </si>
  <si>
    <t>Ilyas, M; Amin, I; Mansoor, S; Briddon, RW; Saeed, M</t>
  </si>
  <si>
    <t>CHALLENGES FOR TRANSGENIC RESISTANCE TO CONTROL GEMINIVIRAL DISEASES</t>
  </si>
  <si>
    <t>EMERGING GEMINIVIRAL DISEASES AND THEIR MANAGEMENT</t>
  </si>
  <si>
    <t>Phytopathogenic viruses are a major biotic constraint to agricultural productivity and, throughout the warmer parts of the world, many of the most important diseases of crops are caused by arthropod-borne viruses of the family Geminiviridae. With the increasing concerns over the use of insecticides as well as the adoption of agricultural practices that favour the build-up of both vector and virus populations including, for example, widespread monoculture and overlapping cropping seasons, as well as the lack of suitable sources of natural resistance (so called host-plant resistance) in many crop species the problems due to these viruses are increasing. The advent of transgensis for plants in the 1980s paved the way to a virtually unlimited source of virus resistance for application in agriculturally important plant species. This chapter will review the efforts aimed at developing transgenic resistance to geminiviruses, the drawbacks of some of these approaches and possible strategies to overcome these problems are also discussed.</t>
  </si>
  <si>
    <t>Lee, YH; Kim, MS; Lee, Y; Kim, DH; Lee, JS</t>
  </si>
  <si>
    <t>Nanoplastics induce epigenetic signatures of transgenerational impairments associated with reproduction in copepods under ocean acidification</t>
  </si>
  <si>
    <t>Ocean acidification (OA) is one of many major global climate changes that pose a variety of risks to marine ecosystems in different ways. Meanwhile, there is growing concern about how nanoplastics (NPs) affect marine ecosystems. Combined exposure of marine organisms to OA and NPs is inevitable, but their interactive effects remain poorly understood. In this study, we investigated the multi- and transgenerational toxicity of NPs on copepods under OA conditions for ten generations. The findings revealed that OA and NPs have a synergistic negative effect on copepod reproduction across generations. In particular, the transgenerational groups showed reproductive impairments in the F1 and F2 generations (F1T and F2T), even though they were never exposed to NPs. Moreover, our epigenetic examinations demonstrated that the observed intergenerational reproductive impairments are associated with differential methylation patterns of specific genes, suggesting that the interaction of OA and NPs can pose a significant threat to the sustainability of copepod populations through epigenetic modifications. Overall, our findings provide valuable insight into the intergenerational toxicity and underlying molecular mechanisms of responses to NPs under OA conditions</t>
  </si>
  <si>
    <t>10.1016/j.jhazmat.2023.131037</t>
  </si>
  <si>
    <t>Dix, MF; Liu, P; Cui, GX; Della Valle, F; Orlando, V; Aranda, M</t>
  </si>
  <si>
    <t>Chromatin Immunoprecipitation in the Cnidarian Model Exaiptasia diaphana</t>
  </si>
  <si>
    <t>JOVE-JOURNAL OF VISUALIZED EXPERIMENTS</t>
  </si>
  <si>
    <t>Histone post-translational modifications (PTMs) and other epigenetic modifications regulate the chromatin accessibility of genes to the transcriptional machinery, thus affecting an organism's capacity to respond to environmental stimuli. Chromatin immunoprecipitation coupled with high-throughput sequencing (ChIP-seq) has been widely utilized to identify and map protein-DNA interactions in the fields of epigenetics and gene regulation. However, the field of cnidarian epigenetics is hampered by a lack of applicable protocols, partly due to the unique features of model organisms such as the symbiotic sea anemone Exaiptasia diaphana, whose high water content and mucus amounts obstruct molecular methods. Here, a specialized ChIP procedure is presented, which facilitates the investigation of protein-DNA interactions in E. diaphana gene regulation. The cross-linking and chromatin extraction steps were optimized for efficient immunoprecipitation and then validated by performing ChIP using an antibody against the histone mark H3K4me3. Subsequently, the specificity and effectiveness of the ChIP assay were confirmed by measuring the relative occupancy of H3K4me3 around several constitutively activated gene loci using quantitative PCR and by next-generation sequencing for genome-wide scale analysis. This optimized ChIP protocol for the symbiotic sea anemone E. diaphana facilitates the investigation of the protein-DNA interactions involved in organismal responses to environmental changes that affect symbiotic cnidarians, such as corals.</t>
  </si>
  <si>
    <t>10.3791/64817</t>
  </si>
  <si>
    <t>Kenny, NJ; Francis, WR; Rivera-Vicéns, RE; Juravel, K; de Mendoza, A; Díez-Vives, C; Lister, R; Bezares-Calderón, LA; Grombacher, L; Roller, M; Barlow, LD; Camilli, S; Ryan, JF; Wörheide, G; Hill, AL; Riesgo, A; Leys, SP</t>
  </si>
  <si>
    <t>Tracing animal genomic evolution with the chromosomal-level assembly of the freshwater sponge Ephydatia muelleri</t>
  </si>
  <si>
    <t>The genomes of non-bilaterian metazoans are key to understanding the molecular basis of early animal evolution. However, a full comprehension of how animal-specific traits, such as nervous systems, arose is hindered by the scarcity and fragmented nature of genomes from key taxa, such as Porifera. Ephydatia muelleri is a freshwater sponge found across the northern hemisphere. Here, we present its 326Mb genome, assembled to high contiguity (N50: 9.88Mb) with 23 chromosomes on 24 scaffolds. Our analyses reveal a metazoan-typical genome architecture, with highly shared synteny across Metazoa, and suggest that adaptation to the extreme temperatures and conditions found in freshwater often involves gene duplication. The pancontinental distribution and ready laboratory culture of E. muelleri make this a highly practical model system which, with RNAseq, DNA methylation and bacterial amplicon data spanning its development and range, allows exploration of genomic changes both within sponges and in early animal evolution. Reconstructing the early molecular evolution of animals requires genomic resources for non-bilaterian animals. Here, the authors present the chromosome-level genome of a freshwater sponge together with analyses of its genome architecture, methylation, developmental gene expression, and microbiome.</t>
  </si>
  <si>
    <t>JUL 27</t>
  </si>
  <si>
    <t>10.1038/s41467-020-17397-w</t>
  </si>
  <si>
    <t>Mohamed, HM; Murshid, SSA; Alreemi, RM; Alyahyawy, OY; Mohamed, GA; Ibrahim, SRM</t>
  </si>
  <si>
    <t>The genus Pseudoceratina: Phytochemistry, Biosynthesis, and Pharmacology</t>
  </si>
  <si>
    <t>RESULTS IN CHEMISTRY</t>
  </si>
  <si>
    <t>Pseudoceratina genus is a wealthy source of diverse secondary metabolites with unique structural features, with brominated tyrosine derivatives being the most abundant and chemotaxonomically significant metabolites. Additionally, alkaloids, meroterpenoids, glycolipids, phenolics, sterols, and nitrogenous compounds were also identified from Pseudoceratina genus. These metabolites demonstrated a myriad of pharmacological and biological potentialities, including antibacterial, antifungal, antimalarial, antifouling, anti-trypanosoma, and cytotoxic, as well as inhibitory activities against HDAC-1 (histone deacetylase-1), DNMT (DNA methyltransferase), acetylcholine esterase (AChE), butylcholine esterase (BuChE), and isoprenylcysteine carboxyl methyltransferase (Icmt). This review provides an overview of the secondary metabolites reported from various Pseudoceratina sponges, including their sources, biosynthesis, and bioactivities in the period from 1990 to the end of August 2025. In the current work, more than 252 compounds were discussed with seventy-five references cited. The structural diversity and promising pharmacological properties of these metabolites highlight Pseudoceratina as an underexplored genus with significant potential for drug discovery. However, more mechanistic, pharmacokinetic, and in vivo studies are required to fully explore their therapeutic potential.</t>
  </si>
  <si>
    <t>10.1016/j.rechem.2025.102714</t>
  </si>
  <si>
    <t>Carneiro, VC; Lyko, F</t>
  </si>
  <si>
    <t>Rapid Epigenetic Adaptation in Animals and Its Role in Invasiveness</t>
  </si>
  <si>
    <t>INTEGRATIVE AND COMPARATIVE BIOLOGY</t>
  </si>
  <si>
    <t>Invasive species represent a serious ecological threat for many ecosystems worldwide and provide a unique opportunity to investigate rapid adaptation and evolution. Genetic variation allows populations of organisms to be both robust and adaptable to different environmental conditions over evolutionary timeframes. In contrast, invasive animals can rapidly adapt to new environments, with minimal genetic diversity. Thus, the extent to which environmental effects can trigger epigenetic responses is particularly interesting for understanding the role of epigenetics in rapid adaptation. In this review, we provide a brief overview of the different epigenetic mechanisms that control gene expression, and emphasize the importance of epigenetics for environmental adaptation. We also discuss recent publications that provide important examples for the role of epigenetic mechanisms in environmental adaptation. Furthermore, we present an overview of the current knowledge about epigenetic modulation as an adaptive strategy for invasive species. A particularly interesting example is provided by the marbled crayfish, a novel, monoclonal freshwater crayfish species that has colonized diverse habitats within a few years. Finally, we address important limitations of current approaches and highlight the potential importance of less well-known mechanisms for non-genetic organismal adaptation.</t>
  </si>
  <si>
    <t>10.1093/icb/icaa023</t>
  </si>
  <si>
    <t>Ryu, T; Veilleux, HD; Donelson, JM; Munday, PL; Ravasi, T</t>
  </si>
  <si>
    <t>The epigenetic landscape of transgenerational acclimation to ocean warming</t>
  </si>
  <si>
    <t>Epigenetic inheritance is a potential mechanism by which the environment in one generation can influence the performance of future generations(1). Rapid climate change threatens the survival of many organisms; however, recent studies show that some species can adjust to climate-related stress when both parents and their offspring experience the same environmental change(2,3). Whether such transgenerational acclimation could have an epigenetic basis is unknown. Here, by sequencing the liver genome, methylomes and transcriptomes of the coral reef fish, Acanthochromis polyacanthus, exposed to current day (+0 degrees C) or future ocean temperatures (+3 degrees C) for one generation, two generations and incrementally across generations, we identified 2,467 differentially methylated regions (DMRs) and 1,870 associated genes that respond to higher temperatures within and between generations. Of these genes, 193 were significantly correlated to the transgenerationally acclimating phenotypic trait, aerobic scope, with functions in insulin response, energy homeostasis, mitochondrial activity, oxygen consumption and angiogenesis. These genes may therefore play a key role in restoring performance across generations in fish exposed to increased temperatures associated with climate change. Our study is the first to demonstrate a possible association between DNA methylation and transgenerational acclimation to climate change in a vertebrate.</t>
  </si>
  <si>
    <t>10.1038/s41558-018-0159-0</t>
  </si>
  <si>
    <t>Luter, HM; Andersen, M; Versteegen, E; Laffy, P; Uthicke, S; Bell, JJ; Webster, NS</t>
  </si>
  <si>
    <t>Cross-generational effects of climate change on the microbiome of a photosynthetic sponge</t>
  </si>
  <si>
    <t>ENVIRONMENTAL MICROBIOLOGY</t>
  </si>
  <si>
    <t>Coral reefs are facing increasing pressure from rising seawater temperatures and ocean acidification. Sponges have been proposed as possible winners in the face of climate change; however, little is known about the mechanisms underpinning their predicted tolerance. Here we assessed whether microbiome-mediated cross-generational acclimatization could enable the photosynthetic spongeCarteriospongia foliascensto survive under future climate scenarios. To achieve this, we first established the potential for vertical (cross-generational) transmission of symbionts. Sixty-four amplicon sequence variants accounting for &gt;90% of the totalC. foliascensmicrobial community were present across adult, larval and juvenile life stages, showing that a large proportion of the microbiome is vertically acquired and maintained. WhenC. foliascenswere exposed to climate scenarios projected for 2050 and 2100, the host remained visibly unaffected (i.e. no necrosis/bleaching) and the overall microbiome was not significantly different amongst treatments in adult tissue, the respective larvae or recruits transplanted amongst climate treatments. However, indicator species analysis revealed that parental exposure to future climate scenarios altered the presence and abundance of a small suite of microbial taxa in the recruits, thereby revealing the potential for microbiome-mediated cross-generational acclimatization through both symbiont shuffling and symbiont switching within a vertically acquired microbiome.</t>
  </si>
  <si>
    <t>10.1111/1462-2920.15222</t>
  </si>
  <si>
    <t>Swinton, E; Swinton, C; Lukowiak, K</t>
  </si>
  <si>
    <t>Shell damage leads to enhanced memory formation in Lymnaea</t>
  </si>
  <si>
    <t>JOURNAL OF EXPERIMENTAL BIOLOGY</t>
  </si>
  <si>
    <t>Ecologically relevant stressors alter the ability of the pond snail, Lymnaea stagnalis, to form long-term memory (LTM). Here, we show that an environmentally relevant stressor, shell damage, has a dramatic effect on the enhancement of LTM formation. Damage in the form of a shell clip 24 h before operant conditioning training resulted in long-term memory (LTM) formation following a single 0.5 h training session (TS). Typically, in these snails, two 0.5 h TSs with a 1 h interval between the sessions are required to cause LTM formation. We show here that even with a 72 h interval between shell clip and training, memory enhancement still occurred. The stress associated with shell clip could be mitigated by an ongoing high-Ca2+ pond water environment, an injection of propranolol and a DNA methylation blocker. However, use of an anaesthetic (MgCl2) during the clip or intermittent exposure to the high-Ca2+ pond water environment did not mitigate the stress associated with the shell clip. Shell clip was also sufficient to cause juvenile snails, which neither learn nor form memory, to gain the capacity to form LTM. Together, the experiments demonstrate that shell clipping is an environmentally relevant stressor that can cause enhancement of LTM formation.</t>
  </si>
  <si>
    <t>10.1242/jeb.207571</t>
  </si>
  <si>
    <t>Hrabar, J; Trumbic, Z; Bocina, I; Buselic, I; Vrbatovic, A; Mladineo, I</t>
  </si>
  <si>
    <t>Interplay between proinflammatory cytokines, miRNA, and tissue lesions in Anisakis-infected Sprague-Dawley rats</t>
  </si>
  <si>
    <t>PLOS NEGLECTED TROPICAL DISEASES</t>
  </si>
  <si>
    <t>Background Anisakiasis is an emerging public health problem, caused by Anisakis spp. nematode larvae. Anisakiasis presents as variable and unspecific gastrointestinal and/or allergic clinical symptoms, which accounts for the high rate of misdiagnosed cases. Methodology/Principal findings The aim of this study was to characterize the early cellular (6-72 h p.i.) and molecular (6 h p.i.) immune response and general underlying regulatory mechanism in Anisakis infected rats. Each Sprague-Dawley rat was infected with 10 Anisakis spp. larvae by gastric intubation. Tissues with visible lesions were processed for: i) classic histopathology (HE), immunofluorescence (CD3, iNOS, S100A8/A9), and transmission electron microscopy (TEM); ii) target genes (Il1b, Il6, Il18, Ccl3, Icam1, Mmp9) and microRNA (Rat Immunopathology MIRN-104ZF plate, Quiagen) expression analysis; and iii) global DNA methylation. Histopathology revealed that Anisakis larval migration caused moderate to extensive hemorrhages in submucosal and epimysial/perimysial connective tissue. In stomach and muscle, moderate to abundant mixed inflammatory infiltrate was present, dominated by neutrophils and macrophages, while only mild infiltration was seen in intestine. Lesions were characterized by the presence of CD3(+), iNOS(+), and S100A8/A9(+) cells. The greatest number of iNOS(+) and S100A8/A9(+) cells was seen in muscle. Il6, Il1b, and Ccl3 showed particularly strong expression in stomach and visceral adipose tissues, but the order of expression differed between tissues. In total, three miRNAs were differentially expressed, two in stomach (miRNA-451 and miRNA-223) and two in intestine (miRNA-451 and miRNA-672). No changes in global DNA methylation were observed in infected tissues relative to controls. Conclusions/Significance Anisakis infection induces strong immune responses in infected rats with marked induction of specific proinflammatory cytokines and miRNA expression. Deciphering the functional role of these cytokines and miRNAs will help in understanding the anisakiasis pathology and controversies surrounding Anisakis infection in humans. Author summary Anisakiasis is a zoonotic disease (infection transmitted between animals and humans) contracted by consumption of raw or undercooked seafood contaminated with Anisakis spp. nematode larvae. Anisakiasis usually presents with variable and unspecific gastrointestinal and/or allergic symptoms, which accounts for the high rate of misdiagnosed cases. Due to changes in dietary habits, such as eating raw or undercooked seafood, anisakiasis is considered an emerging public health problem. Despite the increase in number of reported cases worldwide, mechanisms of immune response to this unspecific human pathogen are poorly known. We have shown that in experimentally infected rats, Anisakis larvae cause severe hemorrhages and necrotic changes of affected tissues in the early phase of infections. Neutrophils and macrophages were abundantly present in tissue lesions, while eosinophils, hallmark of helminth infections, were scarcely present. We have also demonstrated particularly strong expression of several inflammatory genes. Moreover, we give for the first-time insight into putative regulatory mechanism mediated via a distinct class of RNA molecules. Our study may provide new opportunities for better understanding of cellular and molecular response to Anisakis spp., aiming at development of more specific therapeutics and alleviation of pathologies associated with Anisakis spp. infection.</t>
  </si>
  <si>
    <t>10.1371/journal.pntd.0007397</t>
  </si>
  <si>
    <t>Di Natale, M; Bennici, C; Biondo, G; Masullo, T; Monastero, C; Tagliavia, M; Torri, M; Costa, S; Ragusa, MA; Cuttitta, A; Nicosia, A</t>
  </si>
  <si>
    <t>Aberrant gene expression profiles in Mediterranean sea urchin reproductive tissues after metal exposures</t>
  </si>
  <si>
    <t>Marine organisms are simultaneously exposed to numerous pollutants, among which metals probably represent the most abundant in marine environments. In order to evaluate the effects of metal exposure at molecular level in reproductive tissues, we profiled the sea urchin transcriptional response after non-lethal exposures using pathway-focused mRNA expression analyses. Herein, we show that exposures to relatively high concentrations of both essential and toxic metals hugely affected the gonadic expression of several genes involved in stress-response, detoxification, transcriptional and post-transcriptional regulation, without significant changes in gonadosomatic indices. Even though treatments did not result in reproductive tissues visible alterations, metal exposures negatively affected the main mechanisms of stress-response, detoxification and survival of adult P. lividus. Additionally, transcriptional changes observed in P. lividus gonads may cause altered gametogenesis and maintenance of heritable aberrant epigenetic effects. This study leads to the conclusion that exposures to metals, as usually occurs in polluted coastal areas, may affect sea urchin gametogenesis, thus supporting the hypothesis that parental exposure to environmental stressors affects the phenotype of the offspring. (C) 2018 Elsevier Ltd. All rights reserved.</t>
  </si>
  <si>
    <t>10.1016/j.chemosphere.2018.10.137</t>
  </si>
  <si>
    <t>Moriou, C; Lacroix, D; Petek, S; El-Demerdash, A; Trepos, R; Leu, TM; Florean, C; Diederich, M; Hellio, C; Debitus, C; Al-Mourabit, A</t>
  </si>
  <si>
    <t>Bioactive Bromotyrosine Derivatives from the Pacific Marine Sponge Suberea clavata (Pulitzer-Finali, 1982)</t>
  </si>
  <si>
    <t>MARINE DRUGS</t>
  </si>
  <si>
    <t>Chemical investigation of the South-Pacific marine sponge Suberea clavata led to the isolation of eight new bromotyrosine metabolites named subereins 1-8 (2-9) along with twelve known co-isolated congeners. The detailed configuration determination of the first representative major compound of this family 11-epi-fistularin-3 (11R,17S) (1) is described. Their chemical characterization was achieved by HRMS and integrated 1D and 2D NMR (nuclear magnetic resonance) spectroscopic studies and extensive comparison with literature data. For the first time, a complete assignment of the absolute configurations for stereogenic centers C-11/17 of the known members (11R,17S) 11-epi-fistularin-3 (1) and 17-deoxyfistularin-3 (10) was determined by a combination of chemical modifications, Mosher's technology, and ECD spectroscopy. Consequently, the absolute configurations of all our new isolated compounds 2-9 were determined by the combination of NMR, Mosher's method, ECD comparison, and chemical modifications. Interestingly, compounds 2-7 were obtained by chemical transformation of the major compound 11-epi-fistularin-3 (1). Evaluation for acetylcholinesterase inhibition (AChE), DNA methyltransferase 1 (DNMT1) modulating activity and antifouling activities using marine bacterial strains are also presented.</t>
  </si>
  <si>
    <t>10.3390/md19030143</t>
  </si>
  <si>
    <t>Young, BD; Williams, DE; Bright, AJ; Peterson, A; Traylor-Knowles, N; Rosales, SM</t>
  </si>
  <si>
    <t>Genet identity and season drive gene expression in outplanted Acropora palmata at different reef sites</t>
  </si>
  <si>
    <t>Coral reefs are experiencing decreases in coral cover due to anthropogenic influences. Coral restoration is addressing this decline by outplanting large volumes of corals onto reef systems. Understanding how outplanted corals react at a transcriptomic level to different outplant locations over time is important, as it will highlight how habitat affects the coral host and influences physiological measures. In this study, the transcriptomic dynamics of four genets of outplanted Acropora palmata were assessed over a year at three reef sites in the Florida Keys. Genet identity was more important than time of sampling or outplant site, with differing levels of baseline immune and protein production the key drivers. Once accounting for genet, enriched growth processes were identified in the winter, and increased survival and immune expression were found in the summer. The effect of the reef site was small, with hypothesized differences in autotrophic versus heterotrophic dependent on outplant depth. We hypothesize that genotype identity is an important consideration for reef restoration, as differing baseline gene expression could play a role in survivorship and growth. Additionally, outplanting during cooler winter months may be beneficial due to higher expression of growth processes, allowing establishment of outplants on the reef system.</t>
  </si>
  <si>
    <t>NOV 27</t>
  </si>
  <si>
    <t>10.1038/s41598-024-80479-y</t>
  </si>
  <si>
    <t>Lee, YH; Jeong, CB; Wang, MH; Hagiwara, A; Lee, JS</t>
  </si>
  <si>
    <t>Transgenerational acclimation to changes in ocean acidification in marine invertebrates</t>
  </si>
  <si>
    <t>The rapid pace of increasing oceanic acidity poses a major threat to the fitness of the marine ecosystem, as well as the buffering capacity of the oceans. Disruption in chemical equilibrium in the ocean leads to decreased carbonate ion precipitation, resulting in calcium carbonate saturation. If these trends continue, calcifying invertebrates will experience difficultly maintaining their calcium carbonate exoskeleton and shells. Because malfunction of exoskeleton formation by calcifiers in response to ocean acidification (OA) will have non-canonical biological cascading results in the marine ecosystem, many studies have investigated the direct and indirect consequences of OA on ecosystem- and physiology-related traits of marine invertebrates. Considering that evolutionary adaptation to OA depends on the duration of OA effects, long-term exposure to OA stress over multi-generations may result in adaptive mechanisms that increase the potential fitness of marine invertebrates in response to OA. Transgenerational studies have the potential to elucidate the roles of acclimation, carryover effects, and evolutionary adaptation within and over generations in response to OA. In particular, understanding mechanisms of transgenerational responses (e.g., antioxidant responses, metabolic changes, epigenetic reprogramming) to changes in OA will enhance our understanding of marine invertebrate in response to rapid climate change.</t>
  </si>
  <si>
    <t>10.1016/j.marpolbul.2020.111006</t>
  </si>
  <si>
    <t>Sleight, VA; Clark, MS; Yap-Chiongco, MK; Turner, F; Kocot, KM</t>
  </si>
  <si>
    <t>Genomic, transcriptomic and epigenomic signatures of ageing and cold adaptation in the Antarctic clam Laternula elliptica</t>
  </si>
  <si>
    <t>OPEN BIOLOGY</t>
  </si>
  <si>
    <t>Genomic data are lacking for most Antarctic marine invertebrates, predicating our ability to understand physiological adaptation and specific life-history traits, such as longevity. The environmental stress response of the Antarctic infaunal clam Laternula elliptica is much diminished in older adult animals compared with younger juvenile individuals. However, the mechanism underlying this reduced capacity is unknown. In this study, we describe and analyse the genome of L. elliptica and use it as a tool to understand transcriptomic responses to shell damage across different age cohorts. Gene expression data were combined with reduced representation enzymic methyl sequencing to identify if methylation was acting as an epigenetic mechanism driving age-dependent transcriptional profiles. Our transcriptomic results demonstrated a clear bipartite molecular response in L. elliptica, associated with a rapid growth phase in juveniles and a stabilization phase in reproductively mature adults. Genes active in the response to damage repair in juvenile animals are silent in adults but can be reactivated after several months following damage stimulus; however, these genes were not methylated. Hence, the trigger for this critical and imprinted change in physiological state is, as yet, unknown. While epigenetics is likely involved in this process, the mechanism is unlikely to be methylation.</t>
  </si>
  <si>
    <t>MAY 21</t>
  </si>
  <si>
    <t>10.1098/rsob.250009</t>
  </si>
  <si>
    <t>Podell, S; Blanton, JM; Neu, A; Agarwal, V; Biggs, JS; Moore, BS; Allen, EE</t>
  </si>
  <si>
    <t>Pangenomic comparison of globally distributed Poribacteria associated with sponge hosts and marine particles</t>
  </si>
  <si>
    <t>ISME JOURNAL</t>
  </si>
  <si>
    <t>Candidatus Poribacteria is a little-known bacterial phylum, previously characterized by partial genomes from a single sponge host, but never isolated in culture. We have reconstructed multiple genome sequences from four different sponge genera and compared them to recently reported, uncharacterized Poribacteria genomes from the open ocean, discovering shared and unique functional characteristics. Two distinct, habitat-linked taxonomic lineages were identified, designated Entoporibacteria (sponge-associated) and Pelagiporibacteria (free-living). These lineages differed in flagellar motility and chemotaxis genes unique to Pelagiporibacteria, and highly expanded families of restriction endonucleases, DNA methylases, transposases, CRISPR repeats, and toxin-antitoxin gene pairs in Entoporibacteria. Both lineages shared pathways for facultative anaerobic metabolism, denitrification, fermentation, organosulfur compound utilization, type IV pili, cellulosomes, and bacterial proteosomes. Unexpectedly, many features characteristic of eukaryotic host association were also shared, including genes encoding the synthesis of eukaryotic-like cell adhesion molecules, extracellular matrix digestive enzymes, phosphoinositol-linked membrane glycolipids, and exopolysaccharide capsules. Complete Poribacteria 16S rRNA gene sequences were found to contain multiple mismatches to universal 16S rRNA gene primer sets, substantiating concerns about potential amplification failures in previous studies. A newly designed primer set corrects these mismatches, enabling more accurate assessment of Poribacteria abundance in diverse marine habitats where it may have previously been overlooked.</t>
  </si>
  <si>
    <t>10.1038/s41396-018-0292-9</t>
  </si>
  <si>
    <t>Burton, A; Torres-Padilla, ME</t>
  </si>
  <si>
    <t>Epigenetic reprogramming and development: a unique heterochromatin organization in the preimplantation mouse embryo</t>
  </si>
  <si>
    <t>BRIEFINGS IN FUNCTIONAL GENOMICS</t>
  </si>
  <si>
    <t>Fertilization of the oocyte by the sperm results in the formation of a totipotent zygote, in which the maternal and paternal chromatin is enclosed in two pronuclei undergoing distinct programmes of transcriptional activation and chromatin remodelling. The highly packaged paternal chromatin delivered by the sperm is decondensed and acquires a number of specific epigenetic marks, but markedly remains devoid of those usually associated with constitutive heterochromatin. During this period the maternal chromatin remains relatively stable except for marks associated with transcription and/or replication such as arginine methylation and H3/H4 acetylation. The embryo then undergoes a series of mitotic divisions without significant additional growth but differentiation, resulting in the formation of a blastocyst containing distinct cell types. The chromatin remodelling events during these stages are likely to be important in establishing the nuclear foundations required for later triggers of differentiation. Overall, we summarize three important points during these earliest reprogramming events: (i) relatively stable maternal chromatin after fertilization, (ii) rapid acquisition of specific histone marks by the paternal chromatin during the hours that follow fertilization and (iii) rapid remodelling of constitutive heterochromatic marks and modifications in the core of the nucleosome from the first mitotic division. These features are likely to be required for the creation of a chromatin environment compatible with cellular reprogramming and plasticity.</t>
  </si>
  <si>
    <t>10.1093/bfgp/elq027</t>
  </si>
  <si>
    <t>Schwindt, AR</t>
  </si>
  <si>
    <t>Parental effects of endocrine disrupting compounds in aquatic wildlife: Is there evidence of transgenerational inheritance?</t>
  </si>
  <si>
    <t>GENERAL AND COMPARATIVE ENDOCRINOLOGY</t>
  </si>
  <si>
    <t>The effects of endocrine disrupting compounds (EDCs) on aquatic wildlife are increasingly being recognized for their complexity. Investigators have detected alterations at multiple levels of biological organization in offspring exposed to EDCs through the blood or germ line of the parents, suggesting that generational consequences of EDCs are evident. Exposure to EDCs through the parents is concerning because if the resulting phenotype of the offspring is heritable and affects fitness, then evolutionary consequences may be evident. This review summarizes the evidence for transgenerational effects of EDCs in aquatic wildlife and illustrates cases where alterations appear to be transmitted maternally, paternally, or parentally. The literature indicates that EDC exposure to the parents induces developmental, physiological, endocrinological, and behavioral changes as well as increased mortality of offspring raised in clean environments. What is lacking, however, is a clear demonstration of heritable transgenerational effects in aquatic wildlife. Therefore, it is not known if the parental effects are the result of developmental or phenotypic plasticity or if the altered phenotypes are durably passed to subsequent generations. Epigenetic changes to gene regulation are discussed as a possible mechanism responsible for EDC induced parental effects. Additional research is needed to evaluate if heritable effects of EDCs are evident in aquatic wildlife, as has been demonstrated for terrestrial mammals. (C) 2015 Elsevier Inc. All rights reserved.</t>
  </si>
  <si>
    <t>AUG 1</t>
  </si>
  <si>
    <t>10.1016/j.ygcen.2015.01.020</t>
  </si>
  <si>
    <t>Palmer, M; Hedlund, BP; Roux, S; Tsourkas, PK; Doss, RK; Stamereilers, C; Mehta, A; Dodsworth, JA; Lodes, M; Monsma, S; del Rio, TG; Schoenfeld, TW; Eloe-Fadrosh, EA; Mead, DA</t>
  </si>
  <si>
    <t>Diversity and Distribution of a Novel Genus of Hyperthermophilic Aquificae Viruses Encoding a Proof-Reading Family-A DNA Polymerase</t>
  </si>
  <si>
    <t>FRONTIERS IN MICROBIOLOGY</t>
  </si>
  <si>
    <t>Despite the high abundance of Aquificae in many geothermal systems, these bacteria are difficult to culture and no viruses infecting members of this phylum have been isolated. Here, we describe the complete, circular dsDNA Uncultivated Virus Genome (UViG) of Thermocrinis Octopus Spring virus (TOSV), derived from metagenomic data, along with eight related UViGs representing three additional viral species. Despite low overall similarity among viruses from different hot springs, the genomes shared a high degree of synteny, and encoded numerous genes for nucleotide metabolism, including a PolA-type DNA polymerase polyprotein with likely accessory functions, a DNA Pol III sliding clamp, a thymidylate kinase, a DNA gyrase, a helicase, and a DNA methylase. Also present were conserved genes predicted to code for phage capsid, large and small subunits of terminase, portal protein, holin, and lytic transglycosylase, all consistent with a distant relatedness to cultivated Caudovirales. These viruses are predicted to infect Aquificae, as multiple CRISPR spacers matching the viral genomes were identified within the genomes and metagenomic contigs from these bacteria. Based on the predicted atypical bi-directional replication strategy, low sequence similarity to known viral genomes, and unique position in gene-sharing networks, we propose a new putative genus, Pyrovirus, in the order Caudovirales.</t>
  </si>
  <si>
    <t>10.3389/fmicb.2020.583361</t>
  </si>
  <si>
    <t>Venkataraman, YR; Spencer, LH; Roberts, SB</t>
  </si>
  <si>
    <t>LARVAL RESPONSE TO PARENTAL LOW pH EXPOSURE IN THE PACIFIC OYSTER CRASSOSTREA GIGAS</t>
  </si>
  <si>
    <t>As negative effects of ocean acidification are experienced by coastal ecosystems, there is a growing trend to investigate the effect ocean acidification has on multiple generations. Parental exposure to ocean acidification has been shown to induce larval carryover effects, but whether acute exposure to a stressor as an adult can influence the larval generation long after the stress has been removed has yet to be tested. To assess how a temporary exposure to experimental ocean acidification affects the ecologically and commercially relevant Pacific oyster Crassostrea gigas, adult oysters were exposed to either low pH (7.31 +/- 0.02) or ambient pH (7.82 +/- 0.02) conditions for 7 wk. Oysters were then held for 8 wk in ambient conditions, and subsequently reproductively conditioned for 4 wk at ambient pH. After conditioning, the oysters were strip-spawned to create four families based on maternal and paternal ocean acidification exposure. The number of D-hinge larvae was counted 18 h postfertilization. A sex-specific brood stock response was observed, where female exposure to low pH conditions resulted in fewer D-hinge larvae. This study demonstrates that the effects of ocean acidification can last beyond the time from when the environmental perturbation is experienced. Broadening the understanding of environmental memory will be valuable when considering organismal ability to persist in the face of environmental change.</t>
  </si>
  <si>
    <t>10.2983/035.038.0325</t>
  </si>
  <si>
    <t>Florean, C; Kim, KR; Schnekenburger, M; Kim, HJ; Moriou, C; Debitus, C; Dicato, M; Al-Mourabit, A; Han, BW; Diederich, M</t>
  </si>
  <si>
    <t>Synergistic AML Cell Death Induction by Marine Cytotoxin (+)-1(R), 6(S), 1'(R), 6'(S), 11(R), 17(S)-Fistularin-3 and Bcl-2 Inhibitor Venetoclax</t>
  </si>
  <si>
    <t>Treatment of acute myeloid leukemia (AML) patients is still hindered by resistance and relapse, resulting in an overall poor survival rate. Recently, combining specific B-cell lymphoma (Bcl)-2 inhibitors with compounds downregulating myeloid cell leukemia (Mcl)-1 has been proposed as a new effective strategy to eradicate resistant AML cells. We show here that 1(R), 6(S), 1'(R), 6'(S), 11(R), 17(S)-fistularin-3, a bromotyrosine compound of the fistularin family, isolated from the marine sponge Suberea clavata, synergizes with Bcl-2 inhibitor ABT-199 to efficiently kill Mcl-1/Bcl-2-positive AML cell lines, associated with Mcl-1 downregulation and endoplasmic reticulum stress induction. The absolute configuration of carbons 11 and 17 of the fistularin-3 stereoisomer was fully resolved in this study for the first time, showing that the fistularin we isolated from the marine sponge Subarea clavata is in fact the (+)-11(R), 17(S)-fistularin-3 stereoisomer keeping the known configuration 1(R), 6(S), 1'(R), and 6'(S) for the verongidoic acid part. Docking studies and in vitro assays confirm the potential of this family of molecules to inhibit DNA methyltransferase 1 activity.</t>
  </si>
  <si>
    <t>10.3390/md16120518</t>
  </si>
  <si>
    <t>Rivera-Casas, C; González-Romero, R; Vizoso-Vazquez, A; Cheema, MS; Cerdán, ME; Méndez, J; Ausió, J; Eirin-Lopez, JM</t>
  </si>
  <si>
    <t>Characterization of mussel H2AZ2: a new H2A.Z variant preferentially expressed in germinal tissues from Mytilus</t>
  </si>
  <si>
    <t>BIOCHEMISTRY AND CELL BIOLOGY</t>
  </si>
  <si>
    <t>Histones are the fundamental constituents of the eukaryotic chromatin, facilitating the physical organization of DNA in chromosomes and participating in the regulation of its metabolism. The H2A family displays the largest number of variants among core histones, including the renowned H2A.X, macroH2A, H2A.B (Bbd), and H2A.Z. This latter variant is especially interesting because of its regulatory role and its differentiation into 2 functionally divergent variants (H2A.Z.1 and H2A.Z.2), further specializing the structure and function of vertebrate chromatin. In the present work we describe, for the first time, the presence of a second H2A.Z variant (H2A.Z.2) in the genome of a non-vertebrate animal, the mussel Mytilus. The molecular and evolutionary characterization of mussel H2A.Z.1 and H2A.Z.2 histones is consistent with their functional specialization, supported on sequence divergence at promoter and coding regions as well as on varying gene expression patterns. More precisely, the expression of H2A.Z.2 transcripts in gonadal tissue and its potential upregulation in response to genotoxic stress might be mirroring the specialization of this variant in DNA repair. Overall, the findings presented in this work complement recent reports describing the widespread presence of other histone variants across eukaryotes, supporting an ancestral origin and conserved role for histone variants in chromatin.</t>
  </si>
  <si>
    <t>10.1139/bcb-2016-0056</t>
  </si>
  <si>
    <t>Vogt, G; Dorn, NJ; Pfeiffer, M; Lukhaup, C; Williams, BW; Schulz, R; Schrimpf, A</t>
  </si>
  <si>
    <t>The dimension of biological change caused by autotriploidy: A meta-analysis with triploid crayfish Procambarus virginalis and its diploid parent Procambarus fallax</t>
  </si>
  <si>
    <t>ZOOLOGISCHER ANZEIGER</t>
  </si>
  <si>
    <t>The biological changes caused by autotriploidy are poorly studied in animals. To investigate this issue in depth, we compared genetics, morphology, life history, ecology and behaviour of the triploid marbled crayfish and its diploid parent, slough crayfish Procambarus fallax. We performed a meta-analysis of our data and literature data. Our COI based molecular tree, consisting of 27 species of Cambaridae, confirmed the close taxonomic relationship between marbled crayfish and P. fallax. Comparison of both crayfish revealed similarities in mitochondrial gene sequences, morphological characters, colouration, body proportions and behaviours. Considerable differences were recorded with respect to chromosome number in somatic cells, haploid genome size, DNA methylation level, body size, fecundity, longevity, population size structure, invasiveness, and the range of inhabited biomes. These differences have dimensions that are otherwise only observed between species supporting earlier proposed raising of marbled crayfish from P. fallax forma virginalis to a new species named Procambarus virginalis. Particularly noteworthy is the enhancement of the fitness traits that probably resulted from evolutionary changes in gene expression. These alterations and the transition from sexual reproduction to parthenogenesis are likely responsible for the increased invasiveness of marbled crayfish in tropical to cold-temperate biomes. (C) 2019 Elsevier GmbH. All rights reserved.</t>
  </si>
  <si>
    <t>10.1016/j.jcz.2019.06.006</t>
  </si>
  <si>
    <t>Janssens, L; Asselman, J; De Troch, M</t>
  </si>
  <si>
    <t>Effects of ocean warming on the fatty acid and epigenetic profile of Acartia tonsa: A multigenerational approach</t>
  </si>
  <si>
    <t>The effects of climate change are becoming more prevalent, and it is important to know how copepods, the most abundant class in zooplankton, will react to changing temperatures as they are the main food source for secondary consumers. They act as key transferers of nutrients from primary producers to organisms higher up the food chain. Little is known about the effects of temperature changes on copepods on the long term, i.e., over several generations. Especially the epigenetic domain seems to be understudied and the question remains whether the nutritional value of copepods will permanently change with rising water temperatures. In this research, the effects of temperature on the fatty acid and epigenetic profiles of the abundant planktonic copepod Acartia tonsa were investigated, since we expect to see a link between these two. Indeed, changing methylation patterns helped copepods to deal with higher temperatures, which is in line with the relative abundance of the most important fatty acids, e.g., DHA. However, this pattern was only observed when temperature increased slowly. A sudden increase in temperature showed the opposite effect; Acartia tonsa did not show deviant methylation patterns and the relative abundance of DHA and other important fatty acids dropped significantly after several generations. These results suggest that local fluctuations in temperature have a greater effect on Acartia tonsa than an elevation of the global mean.</t>
  </si>
  <si>
    <t>10.1016/j.marpolbul.2024.116265</t>
  </si>
  <si>
    <t>Capt, C; Renaut, S; Ghiselli, F; Milani, L; Johnson, NA; Sietman, BE; Stewart, DT; Breton, S</t>
  </si>
  <si>
    <t>Deciphering the Link between Doubly Uniparental Inheritance of mtDNA and Sex Determination in Bivalves: Clues from Comparative Transcriptomics</t>
  </si>
  <si>
    <t>Bivalves exhibit an astonishing diversity of sexual systems and sex-determining mechanisms. They can be gonochoric, hermaphroditic or androgenetic, with both genetic and environmental factors known to determine or influence sex. One unique sex-determining system involving the mitochondrial genome has also been hypothesized to exist in bivalves with doubly uniparental inheritance (DUI) of mtDNA. However, the link between DUI and sex determination remains obscure. In this study, we performed a comparative gonad transcriptomics analysis for two DUI-possessing freshwater mussel species to better understand the mechanisms underlying sex determination and DUI in these bivalves. We used a BLAST reciprocal analysis to identify orthologs between Venustaconcha ellipsiformis and Utterbackia peninsularis and compared our results with previously published sex-specific bivalve transcriptomes to identify conserved sex-determining genes. We also compared our data with other DUI species to identify candidate genes possibly involved in the regulation of DUI. A total of 12,000 orthologous relationships were found, with 2,583 genes differentially expressed in both species. Among these genes, key sex-determining factors previously reported in vertebrates and in bivalves (e.g., Sry, Dmrt1, Foxl2) were identified, suggesting that some steps of the sex-determination pathway may be deeply conserved in metazoans. Our results also support the hypothesis that a modified ubiquitination mechanism could be responsible for the retention of the paternal mtDNA in male bivalves, and revealed that DNA methylation could also be involved in the regulation of DUI. Globally, our results suggest that sets of genes associated with sex determination and DUI are similar in distantly-related DUI species.</t>
  </si>
  <si>
    <t>10.1093/gbe/evy019</t>
  </si>
  <si>
    <t>Machado, M; Fernández-Boo, S; Teixeira, C; Viegas, M; Serradeiro, R; Dias, J; Refojos, BC; Masagounder, K</t>
  </si>
  <si>
    <t>DL-methionyl-DL-methionine as an efficient methionine source for promoting zootechnical performance and methionine-related pathways in the whiteleg shrimp (Penaeus vannamei)</t>
  </si>
  <si>
    <t>BRITISH JOURNAL OF NUTRITION</t>
  </si>
  <si>
    <t>Methionine (MET) supplementation is a current strategy to achieve shrimp requirement. Notwithstanding, the efficiency of the precisely formulated feeds can be diminished since shrimps are slow eaters and masticate feed externally that results in nutrient leaching. In this regard, a methionine dipeptide (DL-methionyl DL-methionine) benefits the feed industry by reducing MET water solubility while increasing its bioavailability. Therefore, the effects of feeding whiteleg shrimp (Penaeus vannamei) with increasing levels of methionine dipeptide were evaluated on zootechnical performance and methionine-, immune-and antioxidant-related pathways. A 74 d growth trial was conducted by feeding a control diet and four diets supplemented with AQUAVI (R) Met-Met at 0middot08, 0middot12, 0middot24 and 0middot32% of DM. Diet digestibility, body amino acids (AA) composition and nitrogen metabolites, metabolic enzymes, oxidative status and gene expression were evaluated. It can be concluded that graded dietary increase of methionine dipeptide up to 0middot24 % for 74 d translated in significant gains on the growth performance, feed efficiency, nutrient and nitrogen gain and shrimp survival. Moreover, it was showed that Met-Met dietary spare leads to an improvement of free-AA pool and nitrogen metabolites concentration and reduces the signs of oxidative stress. Finally, in a closer look to the MET-related pathways passive to be altered by Met-Met spare, a clear modulation of the described antioxidant and cell proliferation routes was detected.</t>
  </si>
  <si>
    <t>10.1017/S0007114522003579</t>
  </si>
  <si>
    <t>Vogt, G; Falckenhayn, C; Schrimpf, A; Schmid, K; Hanna, K; Panteleit, J; Helm, M; Schulz, R; Lyko, F</t>
  </si>
  <si>
    <t>The marbled crayfish as a paradigm for saltational speciation by autopolyploidy and parthenogenesis in animals</t>
  </si>
  <si>
    <t>BIOLOGY OPEN</t>
  </si>
  <si>
    <t>The parthenogenetic all-female marbled crayfish is a novel research model and potent invader of freshwater ecosystems. It is a triploid descendant of the sexually reproducing slough crayfish, Procambarus fallax, but its taxonomic status has remained unsettled. By cross-breeding experiments and parentage analysis we show here that marbled crayfish and P. fallax are reproductively separated. Both crayfish copulate readily, suggesting that the reproductive barrier is set at the cytogenetic rather than the behavioural level. Analysis of complete mitochondrial genomes of marbled crayfish from laboratory lineages and wild populations demonstrates genetic identity and indicates a single origin. Flow cytometric comparison of DNA contents of haemocytes and analysis of nuclear microsatellite loci confirm triploidy and suggest autopolyploidisation as its cause. Global DNA methylation is significantly reduced in marbled crayfish implying the involvement of molecular epigenetic mechanisms in its origination. Morphologically, both crayfish are very similar but growth and fecundity are considerably larger in marbled crayfish, making it a different animal with superior fitness. These data and the high probability of a divergent future evolution of the marbled crayfish and P. fallax clusters suggest that marbled crayfish should be considered as an independent asexual species. Our findings also establish the P. fallax-marbled crayfish pair as a novel paradigm for rare chromosomal speciation by autopolyploidy and parthenogenesis in animals and for saltational evolution in general.</t>
  </si>
  <si>
    <t>NOV 15</t>
  </si>
  <si>
    <t>10.1242/bio.014241</t>
  </si>
  <si>
    <t>Brener-Raffalli, K; Vidal-Dupiol, J; Adjeroud, M; Rey, O; Romans, P; Bonhomme, F; Pratlong, M; Haguenauer, A; Pillot, R; Feuillassier, L; Claereboudt, M; Magalon, H; Gelin, P; Pontarotti, P; Aurelle, D; Mitta, G; Toulza, E</t>
  </si>
  <si>
    <t>Gene expression plasticity and frontloading promote thermotolerance in Pocillopora corals</t>
  </si>
  <si>
    <t>PEER COMMUNITY JOURNAL</t>
  </si>
  <si>
    <t>Ecosystems worldwide are suffering from climate change. Coral reef ecosystems are globally threatened by increasing sea surface temperatures. However, gene expression plasticity provides the potential for organisms to respond rapidly and effectively to environmental changes, and would be favored in variable environments. In this study, we investigated the thermal stress response in Pocillopora coral colonies from two contrasting environments by exposing them to heat stress. We compared the physiological state, bacterial and Symbiodiniaceae communities (using 16S and ITS2 metabarcoding), and gene expression levels (using RNA-Seq) between control conditions and heat stress (the temperature just below the first signs of compromised health). Colonies from both thermal regimes remained apparently normal and presented open and colored polyps during heat stress, with no change in bacterial and Symbiodiniaceae community composition. In contrast, they differed in their transcriptomic responses. The colonies from Oman displayed a more plastic transcriptome, but some genes had a higher basal expression level (frontloading) compared to the less thermotolerant colonies from New Caledonia. In terms of biological functions, we observed an increase in the expression of stress response genes (including induction of tumor necrosis factor receptors, heat shock proteins, and detoxification of reactive oxygen species), together with a decrease in the expression of genes involved in morpho-anatomical functions. Gene regulation (transcription factors, mobile elements, histone modifications and DNA methylation) appeared to be overrepresented in the Oman colonies, indicating possible epigenetic regulation. These results show that transcriptomic plasticity and frontloading can be co-occurring processes in corals confronted with highly variable thermal regimes.</t>
  </si>
  <si>
    <t>10.24072/pcjournal.79</t>
  </si>
  <si>
    <t>Fraune, S; Forêt, S; Reitzel, AM</t>
  </si>
  <si>
    <t>Using Nematostella vectensis to Study the Interactions between Genome, Epigenome, and Bacteria in a Changing Environment</t>
  </si>
  <si>
    <t>The phenotype of an animal cannot be explained entirely by its genes. It is now clear that factors other than the genome contribute to the ecology and evolution of animals. Two fundamentally important factors are the associated microbiota and epigenetic regulations. Unlike the genes and regulatory regions of the genome, epigenetics and microbial composition can be rapidly modified, and may thus represent mechanisms for rapid acclimation to a changing environment. At present, the individual functions of epigenetics, microbiomes, and genomic mutations are largely studied in isolation, particularly for species in marine ecosystems. This single variable approach leaves significant questions open for how these mechanisms intersect in the acclimation and adaptation of organisms in different environments. Here, we propose that the starlet sea anemone, Nematostella vectensis, is a model of choice to investigate the complex interplay between adaptation as well as physiological and molecular plasticity in coastal ecosystems. N. vectensis' geographic range spans four distinct coastlines, including a wide thermocline along the Atlantic coast of North America. N. vectensis is a particularly powerful invertebrate model for studying genome-environment interactions due to (1) the availability of a well-annotated genome, including preexisting data on genome methylation, histone modifications and miRNAs, (2) an extensive molecular toolkit including well-developed protocols for gene suppression and transgenesis, and (3) the simplicity of culture and experimentation in the laboratory. Taken together, N. vectensis has the tractability to connect the functional relationships between a host animal, microbes, and genome modifications to determine mechanisms underlying phenotypic plasticity and local adaptation.</t>
  </si>
  <si>
    <t>10.3389/fmars.2016.00148</t>
  </si>
  <si>
    <t>Vignesh, ER; Gireeshkumar, TR; Arya, KS; Nair, MM; Rakesh, PS; Jayadev, BS; Shirin, PPA</t>
  </si>
  <si>
    <t>Phthalic acid esters as an ecological hazard to the coral reef ecosystems: A case study from the coral reef waters of the Lakshadweep Archipelago, Arabian Sea</t>
  </si>
  <si>
    <t>Information regarding the sources, distribution and ecological implications of organic contaminants in the coral reef ecosystems is limited. Phthalic acid esters (PAEs) are toxic contaminants due to their endocrine-disrupting and carcinogenic properties. This study investigated the sources, distribution and ecological risk of PAEs (15 PAE congeners) in dissolved and particulate matter-bound forms present in the coral reefs of the Lakshadweep Archipelago. Samples (water and suspended particulate matter) collected from 24 stations of 4 coral islands (Perumal Par, Bangaram, Agatti and Kavaratti) during January and December 2022 were analysed for 15 PAE congeners. The concentration of PAEs was generally lower in coral reef waters than those reported worldwide. The dissolved PAEs (TDPAEs) ranged from 9.23 to 820.85 ng/L, and the particulate PAEs (TPPAEs) ranged from 642.90 to 28,315.45 ng/g. Principal component analysis (PCA) identified three major clusters: one cluster representing low molecular weight PAEs (cosmetic products), while the other two represented medium to high molecular weight PAEs (plastic products). The study region's risk quotient (RQ) values indicated a moderate to high ecological risk caused by di-isobutyl phthalate (DIBP) and di-n-butyl phthalate (DnBP) to crustaceans and fish and indirectly to human health. Therefore, this study strongly recommends regular, systematic monitoring and pollution assessment to avoid the environmental degradation of these fragile ecosystems. This baseline data on PAEs and their source apportionment can help develop mitigative measures for reducing organic contaminants in the coral reef environment.</t>
  </si>
  <si>
    <t>10.1016/j.marpolbul.2025.117866</t>
  </si>
  <si>
    <t>Ibor, OR; Andem, AB; Ajang, RO; Ekok, P; Agabi, JA; Beshel, BS; John, A; Regoli, F; Onakpa, MM; Arukwe, A</t>
  </si>
  <si>
    <t>Species-specific toxicological responses in relation to body burden and bioaccumulation pattern of polycyclic aromatic hydrocarbons (PAHs) in a tropical estuarine food web</t>
  </si>
  <si>
    <t>JOURNAL OF TOXICOLOGY AND ENVIRONMENTAL HEALTH-PART A-CURRENT ISSUES</t>
  </si>
  <si>
    <t>The aim of this study was to investigate oxidative stress, biotransformation and bioaccumulation of polycyclic aromatic hydrocarbons (PAHs) in tropical estuarine food webs including fish (Chrysicthys nigrodigitatus), fiddler crab (Uca tangeri), blue crab (Calinectis amnicola), prawn (Macrobrachium vollenhovenii), periwinkle (Tympanotonus fuscatus) and sediment samples at three sites, Adiabo (control site), Obutong and Nsidung representing different degrees of anthropogenic contamination along Cross River Estuary, Nigeria. Hepatic oxidative stress and biotransformation enzyme activities glutathione peroxidase (Gpx), glutathione reductase (Gr), glutathione S-transferase (Gst), uridine diphosphate glucuronosyltranferease (Udpgt), 7-ethoxy-, methoxy-, pentoxy-, and benzyloxyresorufin O-deethylase (EROD, MROD, PROD and BROD) and PAHs levels were determined. Data demonstrated species- and site-specific mediated toxicological effects in oxidative stress, biotransformation responses, and PAHs bioaccumulation in biota and sediments from contaminated sites (Obutong and Nsidung), compared to control (Adiabo). The EROD, MROD, BROD, PROD activities and GPx, Gr, Gst, Udpgt exhibited significant increase in biota collected from contaminated sites at Obutong and Nsidung compared with control Adiabo. These biomarker response observations paralleled PAHs accumulation at Obutong and Nsidung suggesting PAHs exposure induced oxidative and biotransformation biomarker responses. Principal component analysis (PCA) produced significant associations between variables indicating sites were major factors determining contaminants uptake and biomarker responses in biota (fish, crabs, prawn and periwinkle). Data demonstrated site and species-specific occurrence and concentrations of PAHs in sediment and tropical estuarine food webs with corresponding biotransformation and oxidative stress responses on resident biota. Concentrations of PAHs detected in these tropical food webs indicate serious human food safety and environmental health concerns.</t>
  </si>
  <si>
    <t>2025 SEP 24</t>
  </si>
  <si>
    <t>10.1080/15287394.2025.2564186</t>
  </si>
  <si>
    <t>Ye, S; Badhiwala, KN; Robinson, JT; Cho, WH; Siemann, E</t>
  </si>
  <si>
    <t>Thermal plasticity of a freshwater cnidarian holobiont: detection of trans-generational effects in asexually reproducing hosts and symbionts</t>
  </si>
  <si>
    <t>Understanding factors affecting the susceptibility of organisms to thermal stress is of enormous interest in light of our rapidly changing climate. When adaptation is limited, thermal acclimation and deacclimation abilities of organisms are critical for population persistence through a period of thermal stress. Holobionts (hosts plus associated symbionts) are key components of various ecosystems, such as coral reefs, yet the contributions of their two partners to holobiont thermal plasticity are poorly understood. Here, we tested thermal plasticity of the freshwater cnidarian Hydra viridissima (green hydra) using individual behavior and population responses. We found that algal presence initially reduced hydra thermal tolerance. Hydra with algae (symbiotic hydra) had comparable acclimation rates, deacclimation rates, and thermal tolerance after acclimation to those without algae (aposymbiotic hydra) but they had higher acclimation capacity. Acclimation of the host (hydra) and/or symbiont (algae) to elevated temperatures increased holobiont thermal tolerance and these effects persisted for multiple asexual generations. In addition, acclimated algae presence enhanced hydra fitness under prolonged sublethal thermal stress, especially when food was limited. Our study indicates while less intense but sublethal stress may favor symbiotic organisms by allowing them to acclimate, sudden large, potentially lethal fluctuations in climate stress likely favor aposymbiotic organisms. It also suggests that thermally stressed colonies of holobionts could disperse acclimated hosts and/or symbionts to other colonies, thereby reducing their vulnerability to climate change.</t>
  </si>
  <si>
    <t>10.1038/s41396-019-0413-0</t>
  </si>
  <si>
    <t>Varrella, S; Romano, G; Ruocco, N; Ianora, A; Bentley, MG; Costantini, M</t>
  </si>
  <si>
    <t>First Morphological and Molecular Evidence of the Negative Impact of Diatom-Derived Hydroxyacids on the Sea Urchin Paracentrotus lividus</t>
  </si>
  <si>
    <t>TOXICOLOGICAL SCIENCES</t>
  </si>
  <si>
    <t>Oxylipins (including polyunsaturated aldehydes [PUAs], hydoxyacids, and epoxyalcohols) are the end-products of a lipoxygenase/hydroperoxide lyase metabolic pathway in diatoms. To date, very little information is available on oxylipins other than PUAs, even though they represent the most common oxylipins produced by diatoms. Here, we report, for the first time, on the effects of 2 hydroxyacids, 5- and 15-HEPE, which have never been tested before, using the sea urchin Paracentrotus lividus as a model organism. We show that HEPEs do induce developmental malformations but at concentrations higher when compared with PUAs. Interestingly, HEPEs also induced a marked developmental delay in sea urchin embryos, which has not hitherto been reported for PUAs. Recovery experiments revealed that embryos do not recover following treatment with HEPEs. Finally, we report the expression levels of 35 genes (involved in stress, development, differentiation, skeletogenesis, and detoxification processes) to identify the molecular targets affected by HEPEs. We show that the 2 HEPEs have very few common molecular targets, specifically affecting different classes of genes and at different times of development. In particular, 15-HEPE switched on fewer genes than 5-HEPE, upregulating mainly stress-related genes at a later pluteus stage of development. 5-HEPE was stronger than 15-HEPE, targeting 24 genes, mainly at the earliest stages of embryo development (at the blastula and swimming blastula stages). These findings highlight the differences between HEPEs and PUAs and also have important ecological implications because many diatom species do not produce PUAs, but rather these other chemicals are derived from the oxidation of fatty acids.</t>
  </si>
  <si>
    <t>10.1093/toxsci/kfw053</t>
  </si>
  <si>
    <t>Brener-Raffalli, K; Vidal-Dupiol, J; Adjeroud, M; Rey, O; Romans, P; Bonhomme, F; Pratlong, M; Haguenauer, A; Pillot, R; Feuillassier, L; Claereboudt, M; Magalon, H; Gélin, P; Pontarotti, P; Aurelle, D; Mitta, G; Toulza, E</t>
  </si>
  <si>
    <t>10.24072/pci.ecology.100028</t>
  </si>
  <si>
    <t>Durante, MK; Baums, IB; Williams, DE; Vohsen, S; Kemp, DW</t>
  </si>
  <si>
    <t>What drives phenotypic divergence among coral clonemates of Acropora palmata?</t>
  </si>
  <si>
    <t>Evolutionary rescue of populations depends on their ability to produce phenotypic variation that is heritable and adaptive. DNA mutations are the best understood mechanisms to create phenotypic variation, but other, less well-studied mechanisms exist. Marine benthic foundation species provide opportunities to study these mechanisms because many are dominated by isogenic stands produced through asexual reproduction. For example, Caribbean acroporid corals are long lived and reproduce asexually via breakage of branches. Fragmentation is often the dominant mode of local population maintenance. Thus, large genets with many ramets (colonies) are common. Here, we observed phenotypic variation in stress responses within genets following the coral bleaching events in 2014 and 2015 caused by high water temperatures. This was not due to genetic variation in their symbiotic dinoflagellates (Symbiodinium fitti) because each genet of this coral species typically harbours a single strain of S. fitti. Characterization of the microbiome via 16S tag sequencing correlated the abundance of only two microbiome members (Tepidiphilus, Endozoicomonas) with a bleaching response. Epigenetic changes were significantly correlated with the host's genetic background, the location of the sampled polyps within the colonies (e.g., branch vs. base of colony), and differences in the colonies' condition during the bleaching event. We conclude that long-term microenvironmental differences led to changes in the way the ramets methylated their genomes, contributing to the differential bleaching response. However, most of the variation in differential bleaching response among clonemates of Acropora palmata remains unexplained. This research provides novel data and hypotheses to help understand intragenet variability in stress phenotypes of sessile marine species.</t>
  </si>
  <si>
    <t>10.1111/mec.15140</t>
  </si>
  <si>
    <t>Roquis, D; Rognon, A; Chaparro, C; Boissier, J; Arancibia, N; Cosseau, C; Parrinello, H; Grunau, C</t>
  </si>
  <si>
    <t>Frequency and mitotic heritability of epimutations in Schistosoma mansoni</t>
  </si>
  <si>
    <t>Schistosoma mansoni is a parasitic platyhelminth responsible for intestinal bilharzia. It has a complex life cycle, infecting a freshwater snail of the Biomphalaria genus, and then a mammalian host. Schistosoma mansoni adapts rapidly to new (allopatric) strains of its intermediate host. To study the importance of epimutations in this process, we infected sympatric and allopatric mollusc strains with parasite clones. ChIP-Seq was carried out on four histone modifications (H3K4me3, H3K27me3, H3K27ac and H4K20me1) in parallel with genomewide DNA resequencing (i) on parasite larvae shed by the infected snails and (ii) on adult worms that had developed from the larvae. No change in single nucleotide polymorphisms and no mobilization of transposable elements were observed, but 58-105 copy number variations (CNVs) within the parasite clones in different molluscs were detected. We also observed that the allopatric environment induces three types of chromatin structure changes: (i) host-induced changes on larvae epigenomes in 51 regions of the genome that are independent of the parasites' genetic background, (ii) spontaneous changes (not related to experimental condition or genotype of the parasite) at 64 locations and (iii) 64 chromatin structure differences dependent on the parasite genotype. Up to 45% of the spontaneous, but none of the host-induced chromatin structure changes were transmitted to adults. In our model, the environment induces epigenetic changes at specific loci but only spontaneous epimutations are mitotically heritable and have therefore the potential to contribute to transgenerational inheritance. We also show that CNVs are the only source of genetic variation and occur at the same order of magnitude as epimutations.</t>
  </si>
  <si>
    <t>10.1111/mec.13555</t>
  </si>
  <si>
    <t>Thomas, L; Cuisset, L; Papon, JF; Tamalet, A; Pin, I; Abou Taam, R; Faucon, C; Montantin, G; Tissier, S; Duquesnoy, P; Moal, FDL; Copin, B; Carion, N; Louis, B; Chantot-Bastaraud, S; Siffroi, JP; Mitri, R; Coste, A; Escudier, E; Thouvenin, G; Amselem, S; Legendre, M</t>
  </si>
  <si>
    <t>Skewed X-chromosome inactivation drives the proportion of DNAAF6-defective airway motile cilia and variable expressivity in primary ciliary dyskinesia</t>
  </si>
  <si>
    <t>JOURNAL OF MEDICAL GENETICS</t>
  </si>
  <si>
    <t>Background Primary ciliary dyskinesia (PCD) is a rare airway disorder caused by defective motile cilia. Only male patients have been reported with pathogenic mutations in X-linked DNAAF6, which result in the absence of ciliary dynein arms, whereas their heterozygous mothers are supposedly healthy. Our objective was to assess the possible clinical and ciliary consequences of X-chromosome inactivation (XCI) in these mothers. Methods XCI patterns of six mothers of male patients with DNAAF6-related PCD were determined by DNA-methylation studies and compared with their clinical phenotype (6/6 mothers), as well as their ciliary phenotype (4/6 mothers), as assessed by immunofluorescence and high-speed videomicroscopy analyses. The mutated X chromosome was tracked to assess the percentage of cells with a normal inactivated DNAAF6 allele. Results The mothers' phenotypes ranged from absence of symptoms to mild/moderate or severe airway phenotypes, closely reflecting their XCI pattern. Analyses of the symptomatic mothers' airway ciliated cells revealed the coexistence of normal cells and cells with immotile cilia lacking dynein arms, whose ratio closely mirrored their XCI pattern. Conclusion This study highlights the importance of searching for heterozygous pathogenic DNAAF6 mutations in all female relatives of male PCD patients with a DNAAF6 defect, as well as in females consulting for mild chronic respiratory symptoms. Our results also demonstrate that about one-third-ranging from 20% to 50%-normal ciliated airway cells sufficed to avoid severe PCD, a result paving the way for gene therapy.</t>
  </si>
  <si>
    <t>10.1136/jmg-2023-109700</t>
  </si>
  <si>
    <t>Johnson, KM; Sirovy, KA; Kelly, MW</t>
  </si>
  <si>
    <t>Differential DNA methylation across environments has no effect on gene expression in the eastern oyster</t>
  </si>
  <si>
    <t>JOURNAL OF ANIMAL ECOLOGY</t>
  </si>
  <si>
    <t>It has been hypothesized that environmentally induced changes to gene body methylation could facilitate adaptive transgenerational responses to changing environments. We compared patterns of global gene expression (Tag-seq) and gene body methylation (reduced representation bisulfite sequencing) in 80 eastern oysters Crassostrea virginica from six full-sib families, common gardened for 14 months at two sites in the northern Gulf of Mexico that differed in mean salinity. At the time of sampling, oysters from the two sites differed in mass by 60% and in parasite loads by nearly two orders of magnitude. They also differentially expressed 35% of measured transcripts. However, we observed differential methylation at only 1.4% of potentially methylated loci in comparisons between individuals from these different environments, and little correspondence between differential methylation and differential gene expression. Instead, methylation patterns were largely driven by genetic differences among families, with a PERMANOVA analysis indicating nearly a two orders of magnitude greater number of genes differentially methylated between families than between environments. An analysis of CpG observed/expected values (CpG O/E) across the C. virginica genome showed a distinct bimodal distribution, with genes from the first cluster showing the lower CpG O/E values, greater methylation and higher and more stable gene expression, while genes from the second cluster showed lower methylation, and lower and more variable gene expression. Taken together, the differential methylation results suggest that only a small portion of the C. virginica genome is affected by environmentally induced changes in methylation. At this point, there is little evidence to suggest that environmentally induced methylation states would play a leading role in regulating gene expression responses to new environments.</t>
  </si>
  <si>
    <t>10.1111/1365-2656.13645</t>
  </si>
  <si>
    <t>Unneberg, P; Larsson, M; Olsson, A; Wallerman, O; Petri, A; Bunikis, I; Pettersson, OV; Papetti, C; Gislason, A; Glenner, H; Cartes, JE; Blanco-Bercial, L; Eriksen, E; Meyer, B; Wallberg, A</t>
  </si>
  <si>
    <t>Ecological genomics in the Northern krill uncovers loci for local adaptation across ocean basins</t>
  </si>
  <si>
    <t>Krill are vital as food for many marine animals but also impacted by global warming. To learn how they and other zooplankton may adapt to a warmer world we studied local adaptation in the widespread Northern krill (Meganyctiphanes norvegica). We assemble and characterize its large genome and compare genome-scale variation among 74 specimens from the colder Atlantic Ocean and warmer Mediterranean Sea. The 19 Gb genome likely evolved through proliferation of retrotransposons, now targeted for inactivation by extensive DNA methylation, and contains many duplicated genes associated with molting and vision. Analysis of 760 million SNPs indicates extensive homogenizing gene-flow among populations. Nevertheless, we detect signatures of adaptive divergence across hundreds of genes, implicated in photoreception, circadian regulation, reproduction and thermal tolerance, indicating polygenic adaptation to light and temperature. The top gene candidate for ecological adaptation was nrf-6, a lipid transporter with a Mediterranean variant that may contribute to early spring reproduction. Such variation could become increasingly important for fitness in Atlantic stocks. Our study underscores the widespread but uneven distribution of adaptive variation, necessitating characterization of genetic variation among natural zooplankton populations to understand their adaptive potential, predict risks and support ocean conservation in the face of climate change. Marine life depends on zooplankton like krill, but it's uncertain how these species will respond to a warming ocean. This study of genome variation in the Northern krill uncovered many gene variants that could be crucial for environmental adaptation and support stock assessment under climate change.</t>
  </si>
  <si>
    <t>10.1038/s41467-024-50239-7</t>
  </si>
  <si>
    <t>Modepalli, V; Fridrich, A; Agron, M; Moran, Y</t>
  </si>
  <si>
    <t>The methyltransferase HEN1 is required in Nematostella vectensis for microRNA and piRNA stability as well as larval metamorphosis</t>
  </si>
  <si>
    <t>PLOS GENETICS</t>
  </si>
  <si>
    <t>Small non-coding RNAs (sRNAs) such as microRNAs (miRNAs), small interfering RNAs (siRNAs) and piwi-interacting RNAs (piRNAs) regulate the levels of endogenous, viral and transposable element RNA in plants (excluding piRNAs) and animals. These pathways are explored mainly in bilaterian animals, such as vertebrates, arthropods and nematodes, where siRNAs and piRNAs, but not miRNAs bind their targets with a perfect match and mediate the cleavage of the target RNA. Methylation of the 30 ends of piRNAs and siRNAs by the methyltransferase HEN1 protects these sRNAs from degradation. There is a noticeable selection in bilaterian animals against miRNA-mRNA perfect matching, as it leads to the degradation of miRNAs. Cnidarians (sea anemones, corals, hydroids and jellyfish), are separated from bilaterians by more than 600 million years. As opposed to bilaterians, cnidarian miRNAs frequently bind their targets with a nearly perfect match. Knowing that an ortholog of HEN1 is widely expressed in the sea anemone Nematostella vectensis, we tested in this work whether it mediates the stabilization of its sRNAs. We show that the knockdown of HEN1 in Nematostella results in a developmental arrest. Small RNA sequencing revealed that the levels of both miRNAs and piRNAs drop dramatically in the morphant animals. Moreover, knockdown experiments of Nematostella Dicer1 and PIWI2, homologs of major bilaterian biogenesis components of miRNAs and piRNAs, respectively, resulted in developmental arrest similar to HEN1 morphants. Our findings suggest that HEN1 mediated methylation of sRNAs reflects the ancestral state, where miRNAs were also methylated. Thus, we provide the first evidence of a methylation mechanism that stabilizes miRNAs in animals, and highlight the importance of post-transcriptional regulation in non-bilaterian animals.</t>
  </si>
  <si>
    <t>10.1371/journal.pgen.1007590</t>
  </si>
  <si>
    <t>Annona, G; Montanino, C; De Felice, B; De Luca, P</t>
  </si>
  <si>
    <t>Identification of microRNA-mRNA regulatory network associated with microplastic exposure in Mytilus galloprovincialis</t>
  </si>
  <si>
    <t>The ever-growing plastics production and their natural fragmentation in micro-and nanoparticles have made plastic debris ubiquitous, with aquatic environments as the final collection basin. Plastic pollution is responsible for physical damage and biological pathways disruption in marine animals at almost all trophic levels, interfering with primary processes as development, growth, and reproduction. Micro-and nanoplastics accumulate in the food chain and represent a concrete risk for human health. Mussels have a worldwide spread and, as a starring seafood product, may constitute an important vehicle for microplastic uptake in humans. Micro-and nanoplastics affect biological processes at the nuclear level, altering DNA methylation and gene regulators, including long non-coding (lncRNAs) and microRNAs (miRNAs). MicroRNAs, interacting with several mRNA targets, can prompt several processes, including antioxidant responses, inflammation, immune system cell recruitment, up to apoptosis. The present study investigates the impact of microplastic particles on the modulation of microRNAs in adult mussels Mytilus galloprovincialis and the identification of microRNA-mRNA regulatory network. In this work, we exposed adult mussels to different concentrations and several temporal window to polystyrene monodispersed microparticles and analysed the expression of selected microRNAs and related target genes. Our results revealed that microplastic exposure induces miRNAs modulation and target genes associated with the activation of specific regulatory networks, including immune response, cellular stimuli response, protein interactions, apoptosis, and cell death. This study provides new insights into the microplastic capability to affect gene expression and regulatory pathways mRNA miRNA-regulated, contributing to wider knowledge about the adverse effects of plastic pollution and providing useful data for further trials, not just in nature, but also in human health.</t>
  </si>
  <si>
    <t>10.1016/j.ygeno.2025.111080</t>
  </si>
  <si>
    <t>Pujara, DS; Kim, SI; Nam, JC; Mayorga, J; Elmore, I; Kumar, M; Koiwa, H; Kang, HG</t>
  </si>
  <si>
    <t>Imaging-Based Resistance Assay Using Enhanced Luminescence-Tagged Pseudomonas syringae Reveals a Complex Epigenetic Network in Plant Defense Signaling Pathways</t>
  </si>
  <si>
    <t>MOLECULAR PLANT-MICROBE INTERACTIONS</t>
  </si>
  <si>
    <t>High-throughput resistance assays in plants have a limited selection of suitable pathogens. In this study, we developed a Pseudomonas syringae strain chromosomally tagged with the Nanoluc luciferase (NL) from the deep-sea shrimp Oplophorus gracilirostris, a bioluminescent marker significantly brighter than the conventional firefly luciferase. Our reporter strain tagged with NL was more than 100 times brighter than P. syringae tagged with the luxCDABE operon from Photorhabdus luminescens, one of the existing luciferase-based strains. In planta imaging was improved by using the surfactant Silwet L-77, particularly at a lower reporter concentration. Using this imaging system, more than 30 epigenetic mutants were analyzed for their resistance traits because the defense signaling pathway is known to be epigenetically regulated. SWC1, a defense-related chromatin remodeling complex, was found to be a positive defense regulator, which supported one of two earlier conflicting reports. Compromises in DNA methylation in the CG context led to enhanced resistance against virulent Pseudomonas syringae pv. tomato. Dicer-like and Argonaute proteins, important in the biogenesis and exerting the effector function of small RNAs, respectively, showed modest but distinct requirements for effector-triggered immunity and basal resistance to P. syringae pv. tomato. In addition, the transcriptional expression of an epigenetic component was found to be a significant predictor of its immunity contribution. In summary, this study showcased how a high throughput resistance assay enabled by a pathogen strain with an improved luminescent reporter could provide insightful knowledge about complex defense signaling pathways.</t>
  </si>
  <si>
    <t>10.1094/MPMI-12-20-0351-TA</t>
  </si>
  <si>
    <t>Florean, C; Schnekenburger, M; Lee, JY; Kim, KR; Mazumder, A; Song, S; Kim, JM; Grandjenette, C; Kim, JG; Yoon, AY; Dicato, M; Kim, KW; Christov, C; Han, BW; Proksch, P; Diederich, M</t>
  </si>
  <si>
    <t>Discovery and characterization of Isofistularin-3, a marine brominated alkaloid, as a new DNA demethylating agent inducing cell cycle arrest and sensitization to TRAIL in cancer cells</t>
  </si>
  <si>
    <t>ONCOTARGET</t>
  </si>
  <si>
    <t>We characterized the brominated alkaloid Isofistularin-3 (Iso-3), from the marine sponge Aplysina aerophoba, as a new DNA methyltransferase (DNMT) 1 inhibitor. Docking analysis confirmed our in vitro DNMT inhibition data and revealed binding of Iso-3 within the DNA binding site of DNMT1. Subsequent increased expression of tumor suppressor gene aryl hydrocarbon receptor (AHR) could be correlated to decreased methylation of CpG sites within the essential Sp1 regulatory region of its promoter. Iso-3 induced growth arrest of cancer cells in G0/G1 concomitant with increased p21 and p27 expression and reduced cyclin E1, PCNA and c-myc levels. Reduced proliferation was accompanied by morphological changes typical of autophagy revealed by fluorescent and transmission electron microscopy and validated by LC3I-II conversion. Furthermore, Iso-3 strongly synergized with tumor-necrosis-factor related apoptosis inducing ligand (TRAIL) in RAJI [combination index (CI) = 0.22] and U-937 cells (CI = 0.21) and increased TRAIL-induced apoptosis via a mechanism involving reduction of survivin expression but not of Bcl-2 family proteins nor X-linked inhibitor of apoptosis protein (XIAP). Iso-3 treatment decreased FLIP L expression and triggered activation of endoplasmatic reticulum (ER) stress with increased GRP78 expression, eventually inducing TRAIL receptor death receptor (DR) 5 surface expression. Importantly, as a potential candidate for further anticancer drug development, Iso-3 reduced the viability, colony and in vivo tumor forming potential without affecting the viability of PBMCs from healthy donors or zebrafish development.</t>
  </si>
  <si>
    <t>APR 26</t>
  </si>
  <si>
    <t>10.18632/oncotarget.8210</t>
  </si>
  <si>
    <t>Signorini, SG; Munari, M; Cannavacciuolo, A; Nannini, M; Dolfini, D; Chiarore, A; Farè, F; Fontana, M; Caruso, D; Gambi, MC; Della Torre, C</t>
  </si>
  <si>
    <t>Investigation of the molecular mechanisms which contribute to the survival of the polychaete Platynereis spp. under ocean acidification conditions in the CO2 vent system of Ischia Island (Italy)</t>
  </si>
  <si>
    <t>The continuous increase of CO2 emissions in the atmosphere due to anthropogenic activities is one of the most important factors that contribute to Climate Change and generates the phenomenon known as Ocean Acidification (OA). Research conducted at the CO2 vents of Castello Aragonese (Ischia, Italy), which represents a natural laboratory for the study of OA, demonstrated that some organisms, such as polychaetes, thrive under acidified conditions through different adaptation mechanisms. Some functional and ecological traits promoting tolerance to acidification in these organisms have been identified, while the molecular and physiological mechanisms underlying acclimatisation or genetic adaptation are still largely unknown. Therefore, in this study we investigated epigenetic traits, as histone acetylation and methylation, in Platynereis spp. individuals coming from the Castello vent, and from a nearby control site, in two different periods of the year (November-June). Untargeted metabolomics analysis was also carried out in specimens from the two sites. We found a different profile of acetylation of H2B histone in the control site compared to the vent as a function of the sampling period. Metabolomic analysis showed clear separation in the pattern of metabolites in polychaetes from the control site with respect to those from the Castello vent. Specifically, a significant reduction of lipid/sterols and nucleosides was measured in polychaetes from the vent. Overall results contribute to better understand the potential metabolic pathways involved in the tolerance to OA.</t>
  </si>
  <si>
    <t>JAN 18</t>
  </si>
  <si>
    <t>10.3389/fmars.2022.1067900</t>
  </si>
  <si>
    <t>Zhang, Y; Chen, H; Lian, C; Cao, L; Guo, Y; Wang, MX; Zhong, ZS; Li, MN; Zhang, H; Li, CL</t>
  </si>
  <si>
    <t>Insights into phage-bacteria interaction in cold seep Gigantidas platifrons through metagenomics and transcriptome analyses</t>
  </si>
  <si>
    <t>Viruses are crucial for regulating deep-sea microbial communities and biogeochemical cycles. However, their roles are still less characterized in deep-sea holobionts. Bathymodioline mussels are endemic species inhabiting cold seeps and harboring endosymbionts in gill epithelial cells for nutrition. This study unveiled a diverse array of viruses in the gill tissues of Gigantidas platifrons mussels and analyzed the viral metagenome and transcriptome from the gill tissues of Gigantidas platifrons mussels collected from a cold seep in the South Sea. The mussel gills contained various viruses including Baculoviridae, Rountreeviridae, Myoviridae and Siphovirdae, but the active viromes were Myoviridae, Siphoviridae, and Podoviridae belonging to the order Caudovirales. The overall viral community structure showed significant variation among environments with different methane concentrations. Transcriptome analysis indicated high expression of viral structural genes, integrase, and restriction endonuclease genes in a high methane concentration environment, suggesting frequent virus infection and replication. Furthermore, two viruses (GP-phage-contig14 and GP-phage-contig72) interacted with Gigantidas platifrons methanotrophic gill symbionts (bathymodiolin mussels host intracellular methanotrophic Gammaproteobacteria in their gills), showing high expression levels, and have huge different expression in different methane concentrations. Additionally, single-stranded DNA viruses may play a potential auxiliary role in the virus-host interaction using indirect bioinformatics methods. Moreover, the Cro and DNA methylase genes had phylogenetic similarity between the virus and Gigantidas platifrons methanotrophic gill symbionts. This study also explored a variety of viruses in the gill tissues of Gigantidas platifrons and revealed that bacteria interacted with the viruses during the symbiosis with Gigantidas platifrons. This study provides fundamental insights into the interplay of microorganisms within Gigantidas platifrons mussels in deep sea.</t>
  </si>
  <si>
    <t>MAY 8</t>
  </si>
  <si>
    <t>10.1038/s41598-024-61272-3</t>
  </si>
  <si>
    <t>Dorant, Y; Cayuela, H; Wellband, K; Laporte, M; Rougemont, Q; Mérot, C; Normandeau, E; Rochette, R; Bernatchez, L</t>
  </si>
  <si>
    <t>Copy number variants outperform SNPs to reveal genotype-temperature association in a marine species</t>
  </si>
  <si>
    <t>Copy number variants (CNVs) are a major component of genotypic and phenotypic variation in genomes. To date, our knowledge of genotypic variation and evolution has largely been acquired by means of single nucleotide polymorphism (SNPs) analyses. Until recently, the adaptive role of structural variants (SVs) and particularly that of CNVs has been overlooked in wild populations, partly due to their challenging identification. Here, we document the usefulness of Rapture, a derived reduced-representation shotgun sequencing approach, to detect and investigate copy number variants (CNVs) alongside SNPs in American lobster (Homarus americanus) populations. We conducted a comparative study to examine the potential role of SNPs and CNVs in local adaptation by sequencing 1,141 lobsters from 21 sampling sites within the southern Gulf of St. Lawrence, which experiences the highest yearly thermal variance of the Canadian marine coastal waters. Our results demonstrated that CNVs account for higher genetic differentiation than SNP markers. Contrary to SNPs, for which no significant genetic-environment association was found, 48 CNV candidates were significantly associated with the annual variance of sea surface temperature, leading to the genetic clustering of sampling locations despite their geographic separation. Altogether, we provide a strong empirical case that CNVs putatively contribute to local adaptation in marine species and unveil stronger spatial signal of population structure than SNPs. Our study provides the means to study CNVs in nonmodel species and highlights the importance of considering structural variants alongside SNPs to enhance our understanding of ecological and evolutionary processes shaping adaptive population structure.</t>
  </si>
  <si>
    <t>10.1111/mec.15565</t>
  </si>
  <si>
    <t>Chille, E; Strand, E; Neder, M; Schmidt, V; Sherman, M; Mass, T; Putnam, H</t>
  </si>
  <si>
    <t>Developmental series of gene expression clarifies maternal mRNA provisioning and maternal-to-zygotic transition in a reef-building coral</t>
  </si>
  <si>
    <t>Background: Maternal mRNA provisioning of oocytes regulates early embryogenesis. Maternal transcripts are degraded as zygotic genome activation (ZGA) intensifies, a phenomenon known as the maternal-to-zygotic transition (MZT). Here, we examine gene expression over nine developmental stages in the Pacific rice coral, Montipora capitata, from eggs and embryos at 1, 4, 9, 14, 22, and 36 h-post-fertilization (hpf), as well as swimming larvae (9d), and adult colonies. Results: Weighted Gene Coexpression Network Analysis revealed four expression peaks, identifying the maternal complement, two waves of the MZT, and adult expression. Gene ontology enrichment revealed maternal mRNAs are dominated by cell division, methylation, biosynthesis, metabolism, and protein/RNA processing and transport functions. The first MZT wave occurs from similar to 4-14 hpf and is enriched in terms related to biosynthesis, methylation, cell division, and transcription. In contrast, functional enrichment in the second MZT wave, or ZGA, from 22 hpf-9dpf, includes ion/peptide transport and cell signaling. Finally, adult expression is enriched for functions related to signaling, metabolism, and ion/peptide transport. Our proposed MZT timing is further supported by expression of enzymes involved in zygotic transcriptional repression (Kaiso) and activation (Sox2), which peak at 14 hpf and 22 hpf, respectively. Further, DNA methylation writing (DNMT3a) and removing (TET1) enzymes peak and remain stable past similar to 4 hpf, suggesting that methylome programming occurs before 4 hpf. Conclusions: Our high-resolution insight into the coral maternal mRNA and MZT provides essential baseline information to understand parental carryover effects and the sensitivity of developmental success under increasing environmental stress.</t>
  </si>
  <si>
    <t>NOV 11</t>
  </si>
  <si>
    <t>10.1186/s12864-021-08114-y</t>
  </si>
  <si>
    <t>Arcanjo, C; Colin, Y; Giusti-Petrucciani, N; Duflot, A; Ravanat, JL; Tremolet, G; Coulaud, R; Vivant, AL; Xuereb, B; Berthe, T; Forget-Leray, J; Boulange-Lecomte, C</t>
  </si>
  <si>
    <t>Ecotoxicological risk assessment using a multi-scale approach in the estuarine copepod Eurytemora affinis applied to an ecdysone agonist</t>
  </si>
  <si>
    <t>Previous transcriptomic analyses have demonstrated that exposure to tebufenozide (TEB) induces significant alterations in gene expression in the crustacean Eurytemora affinis (calanoid copepod; E. affinis), supporting its suitability as a model organism for investigating the ecotoxicological effects of ecdysone agonists in estuarine environments. Based on these findings, we hypothesized that TEB exposure may disrupt biological processes across multiple levels of organization in E. affinis. We conducted an integrated assessment of upstream (epigenetics) and downstream (locomotion, larval development) endpoints through multiple assays. Additionally, we examine the indirect effects of TEB by evaluating the changes in the copepod microbiota. We showed that TEB had no impact on global DNA methylation (HPLC-MS/MS) in both males and females. In contrast, significant effects were observed on the swimming behaviour of males, with copepods exposed to TEB being more affected by the light/dark transition and showing hyperactivity after 4 days. The larval development was also shown to be accelerated by TEB after 4 days. Finally, significant changes in microbiota were highlighted, including a decrease in both alpha and beta diversity indices, along with an increase in the abundance of the Gammaproteobacteria class. The effects observed in E. affinis show that TEB could impact fitness and increase vulnerability of nontarget organisms. The strategy of prioritising the responses to be investigated on the basis of gene expression has proven effective. The study reinforces the relevance of using E. affinis for environmental risk assessment in estuaries, as it can be used to assess multiple endpoints at different biological scales.</t>
  </si>
  <si>
    <t>10.1016/j.ecoenv.2025.119081</t>
  </si>
  <si>
    <t>Parker, LM; Scanes, E; O'Connor, WA; Dove, M; Vengatesen, T; Roberts, S; Ross, PM</t>
  </si>
  <si>
    <t>Transgenerational plasticity responses differ across genetically distinct families in the Sydney rock oyster, Saccostrea glomerata</t>
  </si>
  <si>
    <t>Across the globe, marine organisms need to rapidly respond to climate change. Acclimation through the mechanism of transgenerational plasticity (TGP) is now at the forefront of research, providing hope that some marine organisms may persist into the future. To date, however, because most studies have focussed on the average phenotypic species response to climate change, we do not know whether phenotypic responses vary among genotypes. Here, we take a next critical step in TGP research to assess whether TGP responses to ocean acidification (OA) differ among genotypes of the culturally significant and iconic Sydney Rock Oyster (SRO), Saccostrea glomerata. Adults of four genetically distinct families of the SRO were exposed to ambient (410 mu atm) and elevated (1000 mu atm) pCO2 for 9 weeks during reproductive conditioning. Following this exposure, we performed a within family cross of each family and measured the percentage development, abnormality, shell length and respiration rate of D-veliger larvae after 48 h in the same ambient and elevated pCO2 treatments. We found significant variability in TGP responses among families to elevated pCO2, with positive, negative, and neutral responses in larval offspring. How well we understand the adaptive potential of oysters and their capacity to mount fast responses through TGP to climate change will determine our ability to ensure the sustainability of SRO populations, marine food security and the cultural heritage of this iconic species. Combined approaches quantifying both genetic and non-genetic TGP responses are needed to determine the total adaptive potential of other marine organisms to climate change.</t>
  </si>
  <si>
    <t>10.1016/j.marenvres.2025.107540</t>
  </si>
  <si>
    <t>Caburlotto, G; Gennari, M; Ghidini, V; Tafi, M; Lleo, MM</t>
  </si>
  <si>
    <t>Presence of T3SS2 and other virulence-related genes in tdh-negative Vibrio parahaemolyticus environmental strains isolated from marine samples in the area of the Venetian Lagoon, Italy</t>
  </si>
  <si>
    <t>FEMS MICROBIOLOGY ECOLOGY</t>
  </si>
  <si>
    <t>Vibrio parahaemolyticus-mediated disease has traditionally been associated with two virulence factors, thermostable direct haemolysin (TDH) and TDH-related haemolysin (TRH), which are present in most clinical isolates. Recently, it has been suggested that other virulence-related factors, such as some type III secretion system (T3SS) proteins, urease and DNA-methyltransferase, among others, might also play a role in disease caused by this bacterial species and have been shown to be carried by clinical, but not by environmental strains. Screening for a number of virulence and virulence-related genes in a collection of V parahaemolyticus strains isolated from the Italian Adriatic coast indicates that in addition to the trh-positive strains isolated (6%), a significant percentage (18%) of these strains contain one or more genes with a possible role in pathogenicity. Specifically, some of the V. parahaemolyticus strains described in this study are the first environmental strains ever detected carrying T3SS2 genes. Data obtained by reverse transcription-PCR on environmental strain RNA indicate that at least some of these genes are functional. On the basis of the results obtained, it is suggested that such strains might constitute an environmental reservoir of genes possibly contributing to V parahaemolyticus pathogenicity and to the spread, in the marine environment, of virulence-related genes usually found in clinical strains.</t>
  </si>
  <si>
    <t>10.1111/j.1574-6941.2009.00764.x</t>
  </si>
  <si>
    <t>Pinto, A; Macário, IPE; Marques, SM; Lourenco, J; Domingues, I; Botelho, MJ; Asselman, J; Pereira, P; Pereira, JL</t>
  </si>
  <si>
    <t>A short-term exposure to saxitoxin triggers a multitude of deleterious effects in Daphnia magna at levels deemed safe for human health</t>
  </si>
  <si>
    <t>Harmful algal blooms and the toxins produced during these events are a human and environmental health concern worldwide. Saxitoxin and its derivatives are potent natural aquatic neurotoxins produced by certain freshwater cyanobacteria and marine algae species during these bloom events. Saxitoxins effects on human health are well studied, however its effects on aquatic biota are still largely unexplored. This work aims at evaluating the effects of a pulse acute exposure (24 h) of the model cladoceran Daphnia magna to 30 mu g saxitoxin L- 1 , which corresponds to the safety guideline established by the World Health Organization (WHO) for these toxins in recreational freshwaters. Saxitoxin effects were assessed through a comprehensive array of biochemical (antioxidant enzymes activity and lipid peroxidation), genotoxicity (alkaline comet assay), neurotoxicity (total cholinesterases activity), behavioral (swimming patterns), physiological (feeding rate and heart rate), and epigenetic (total 5-mC DNA methylation) biomarkers. Exposure resulted in decreased feeding rate, heart rate, total cholinesterases activity and catalase activity. Contrarily, other antioxidant enzymes, namely glutathione-S transferases and selenium-dependent Glutathione peroxidase had their activity increased, together with lipid peroxidation levels. The enhancement of the antioxidant enzymes was not sufficient to prevent oxidative damage, as underpinned by lipid peroxidation enhancement. Accordingly, average DNA damage level was significantly increased in STX-exposed daphnids. Total DNA 5-mC level was significantly decreased in exposed organisms. Results showed that even a short-term exposure to saxitoxin causes significant effects on critical molecular and cellular pathways and modulates swimming patterns in D. magna individuals. This study highlights sub-lethal effects caused by saxitoxin in D. magna, suggesting that these toxins may represent a marked challenge to their thriving even at a concentration deemed safe for humans by the WHO.</t>
  </si>
  <si>
    <t>10.1016/j.scitotenv.2024.175431</t>
  </si>
  <si>
    <t>Gurr, SJ; Trigg, SA; Vadopalas, B; Roberts, SB; Putnam, HM</t>
  </si>
  <si>
    <t>Acclimatory gene expression of primed clams enhances robustness to elevated pCO2</t>
  </si>
  <si>
    <t>Sublethal exposure to environmental challenges may enhance ability to cope with chronic or repeated change, a process known as priming. In a previous study, pre-exposure to seawater enriched with pCO(2) improved growth and reduced antioxidant capacity of juvenile Pacific geoduck Panopea generosa clams, suggesting that transcriptional shifts may drive phenotypic modifications post-priming. To this end, juvenile clams were sampled and TagSeq gene expression data were analysed after (i) a 110-day acclimation under ambient (921 mu atm, naive) and moderately elevated pCO(2) (2870 mu atm, pre-exposed); then following (ii) a second 7-day exposure to three pCO(2) treatments (ambient: 754 mu atm; moderately elevated: 2750 mu atm; severely elevated: 4940 mu atm), a 7-day return to ambient pCO(2) and a third 7-day exposure to two pCO(2) treatments (ambient: 967 mu atm; moderately elevated: 3030 mu atm). Pre-exposed geoducks frontloaded genes for stress and apoptosis/innate immune response, homeostatic processes, protein degradation and transcriptional modifiers. Pre-exposed geoducks were also responsive to subsequent encounters, with gene sets enriched for mitochondrial recycling and immune defence under elevated pCO(2) and energy metabolism and biosynthesis under ambient recovery. In contrast, gene sets with higher expression in naive clams were enriched for fatty-acid degradation and glutathione components, suggesting naive clams could be depleting endogenous fuels, with unsustainable energetic requirements if changes in carbonate chemistry persist. Collectively, our transcriptomic data indicate that pCO(2) priming during post-larval periods could, via gene expression regulation, enhance robustness in bivalves to environmental change. Such priming approaches may be beneficial for aquaculture, as seafood demand intensifies concurrent with increasing climate change in marine systems.</t>
  </si>
  <si>
    <t>10.1111/mec.16644</t>
  </si>
  <si>
    <t>Andersson, ER; Day, RD; Work, TM; Anderson, PE; Woodley, CM; Schock, TB</t>
  </si>
  <si>
    <t>Identifying metabolic alterations associated with coral growth anomalies using 1H NMR metabolomics</t>
  </si>
  <si>
    <t>CORAL REEFS</t>
  </si>
  <si>
    <t>Coral growth anomalies (GAs) are tumor-like protrusions that are detrimental to coral health, affecting both the coral skeleton and soft tissues. These lesions are increasingly found throughout the tropics and are commonly associated with high human population density, yet little is known about the molecular pathology of the disease. Here, we investigate the metabolic impacts of GAs through H-1 nuclear magnetic resonance (NMR) metabolomics in Porites compressa tissues from a site of high disease prevalence (Coconut Island, Hawaii). We putatively identified 18 metabolites (8.1% of total annotated features) through complementary H-1 and H-1-C-13 heteronuclear single quantum correlation NMR data that increase confidence in pathway analyses and may bolster future coral metabolite annotation efforts. Extract yield was elevated in both GA and unaffected (normal tissue from a diseased colony) compared to reference (normal tissue from GA-free colony) samples, potentially indicating elevated metabolic activity in GA-impacted colonies. Relatively high variation in metabolomic profiles among coral samples of the same treatment (i.e., inter-colony variation) confounded data interpretation, however, analyses of paired GA and unaffected samples identified 73 features that differed between these respective metabolome types. These features were largely annotated as unknowns, but 1-methylnicotinamide and trigonelline were found to be elevated in GA samples, while betaine, glycine, and histamine were lower in GA samples. Pathway analyses indicate decreased choline oxidation in GA samples, making this a pathway of interest for future targeted studies. Collectively, our results provide unique insights into GA pathophysiology by showing these lesions alter both the absolute and relative metabolism of affected colonies and by identifying features (metabolites and unknowns) and metabolic pathways of interest in GA pathophysiology going forward.</t>
  </si>
  <si>
    <t>10.1007/s00338-021-02125-7</t>
  </si>
  <si>
    <t>Sahoo, AK; Madgaonkar, SR; Chivukula, N; Karthikeyan, P; Ramesh, K; Marigoudar, SR; Sharma, KV; Samal, A</t>
  </si>
  <si>
    <t>Network-based investigation of petroleum hydrocarbons-induced ecotoxicological effects and their risk assessment</t>
  </si>
  <si>
    <t>ENVIRONMENT INTERNATIONAL</t>
  </si>
  <si>
    <t>Petroleum hydrocarbons (PHs) are compounds composed mostly of carbon and hydrogen, originating from crude oil and its derivatives. PHs are primarily released into the environment through the diffusion of oils, resulting from anthropogenic activities like transportation and offshore drilling, and accidental incidents such as oil spills. Once released, these PHs can persist in different ecosystems and cause long-term detrimental ecological impacts. While the hazards associated with such PH contaminations are often assessed by the concentrations of total petroleum hydrocarbons in the environment, studies focusing on the risks associated with individual PHs are limited. In this study, different network-based frameworks were utilized to explore and understand the adverse ecological effects associated with PH exposure. First, a list of 320 PHs was systematically curated from published reports. Next, biological endpoint data from toxicological databases was systematically integrated, and a stressorcentric adverse outcome pathway (AOP) network, linking 75 PHs with 177 ecotoxicologically-relevant high confidence AOPs within AOP-Wiki, was constructed. Further, stressor-species networks, based on reported toxicity concentrations and bioconcentration factors data within ECOTOX, were constructed for 80 PHs and 28 PHs, respectively. It was found that crustaceans are documented to be affected by many of these PHs. Finally, the aquatic toxicity data within ECOTOX was used to construct species sensitivity distributions for PHs, and their corresponding hazard concentrations (HC05), that are harmful to 5% of species in the aquatic ecosystem, were derived. Further, the predicted no-effect concentrations (PNECs) and risk quotients for the US EPA priority polycyclic aromatic hydrocarbons (PAHs) were computed by using their environmental concentration data for Indian coastal and river waters. Overall, this study highlights the importance of using network-based approaches and risk assessment methods to understand the PH-induced toxicities effectively.</t>
  </si>
  <si>
    <t>10.1016/j.envint.2024.109163</t>
  </si>
  <si>
    <t>Gurr, SJ; Vadopalas, B; Roberts, SB; Putnam, HM</t>
  </si>
  <si>
    <t>Metabolic recovery and compensatory shell growth of juvenile Pacific geoduck Panopea generosa following short-term exposure to acidified seawater</t>
  </si>
  <si>
    <t>CONSERVATION PHYSIOLOGY</t>
  </si>
  <si>
    <t>While acute stressors can be detrimental, environmental stress conditioning can improve performance. To test the hypothesis that physiological status is altered by stress conditioning, we subjected juvenile Pacific geoduck, Panopea generosa, to repeated exposures of elevated pCO(2) in a commercial hatchery setting followed by a period in ambient common garden. Respiration rate and shell lengthwere measured for juvenile geoduck periodically throughout short-term repeated reciprocal exposure periods in ambient (similar to 550 mu atm) or elevated (similar to 2400 mu atm) pCO(2) treatments and in common, ambient conditions, 5 months after exposure. Short-term exposure periods comprised an initial 10-day exposure followed by 14 days in ambient before a secondary 6-day reciprocal exposure. The initial exposure to elevated pCO(2) significantly reduced respiration rate by 25% relative to ambient conditions, but no effect on shell growth was detected. Following 14 days in common garden, ambient conditions, reciprocal exposure to elevated or ambient pCO(2) did not alter juvenile respiration rates, indicating ability for metabolic recovery under subsequent conditions. Shell growth was negatively affected during the reciprocal treatment in both exposure histories; however, clams exposed to the initial elevated pCO(2) showed compensatory growth with 5.8% greater shell length (on average between the two secondary exposures) after 5 months in ambient conditions. Additionally, clams exposed to the secondary elevated pCO(2) showed 52.4% increase in respiration rate after 5 months in ambient conditions. Early exposure to low pH appears to trigger carryover effects suggesting bioenergetic re-allocation facilitates growth compensation. Life stage-specific exposures to stress can determine when it may be especially detrimental, or advantageous, to apply stress conditioning for commercial production of this long-lived burrowing clam.</t>
  </si>
  <si>
    <t>APR 4</t>
  </si>
  <si>
    <t>10.1093/conphys/coaa024</t>
  </si>
  <si>
    <t>Olguín-Jacobson, C; Pitt, KA; Carroll, AR; Melvin, SD</t>
  </si>
  <si>
    <t>Chronic pesticide exposure elicits a subtle carry-over effect on the metabolome of Aurelia coerulea ephyrae</t>
  </si>
  <si>
    <t>Chemical pollutants, such as pesticides, often leach into aquatic environments and impact non-target organisms. Marine invertebrates have complex life cycles with multiple life-history stages. Exposure to pesticides during one life-history stage potentially influences subsequent stages; a process known as a carry-over effect. Here, we investigated carry-over effects on the jellyfish Aurelia coerulea. We exposed polyps to individual and combined concentrations of atrazine (2.5 mu g/L) and chlorpyrifos (0.04 mu g/L) for four weeks, after which they were induced to strobilate. The resultant ephyrae were then redistributed and exposed to either the same conditions as their parent-polyps or to filtered seawater to track potential carry-over effects. The percentage of deformities, ephyrae size, pulsation and respiration rates, as well as the metabolic profile of the ephyrae, were measured. We detected a subtle carry-over effect in two metabolites, acetoacetate and glycerophosphocholine, which are precursors of the neurotransmitter acetylcholine, important for energy metabolism and osmoregulation of the ephyrae. Although these carry-over effects were not reflected in the other response variables in the short-term, a persistent reduction of these two metabolites could have negative physiological consequences on A. coerulea jellyfish in the long-term. Our results highlight the importance of considering more than one life-history stage in ecotoxicology, and measuring a range of variables with different sensitivities to detect sub-lethal effects caused by anthropogenic stressors. Furthermore, since we identified few effects when using pesticides concentrations corresponding to Australian water quality guidelines, we suggest that future studies consider concentrations detected in the environment, which are higher than the water quality guidelines, to obtain a more realistic scenario by possible risk from pesticide exposure. (C) 2021 Elsevier Ltd. All rights reserved.</t>
  </si>
  <si>
    <t>10.1016/j.envpol.2021.116641</t>
  </si>
  <si>
    <t>Shih, YL; Shyu, RY; Hsieh, CB; Lai, HC; Liu, KY; Chu, TY; Lin, YW</t>
  </si>
  <si>
    <t>Promoter methylation of the secreted frizzled-related protein 1 gene SFRP1 is frequent in hepatocellular carcinoma</t>
  </si>
  <si>
    <t>CANCER</t>
  </si>
  <si>
    <t>BACKGROUND. The secreted frizzled-related protein 1 gene (SFRP1) encodes a Wnt/beta-catenin signaling antagonist and frequently is inactivated by promoter methylation in many tumors. However, the role of SFRP1 in hepatocellular carcinoma (HCC) is not clear. Therefore, the authors investigated whether methylation of the SFRP1 promoter is common in HCC and whether it may influence SFRP1 expression. METHODS. Four HCC cell lines, 54 HCCs, 42 cirrhotic livers, 21 livers with chronic hepatitis, and 15 normal control tissues were analyzed for 1) SFRP1 promoter methylation by using methylation-specific polymerase chain reaction analysis and bisulfite sequencing, 2) SFRP1 messenger RNA expression by using quantitative reverse transcriptase-polymerase chain reaction analysis, and 3) loss of heterozygosity (LOH) by using microsatellite markers flanking the SFRP1 locus. HCC cells were treated with the demethylating agent 5-aza-2'-deoxycytidine to determine whether it could restore SFRP1 expression. RESULTS. SFRP1 promoter methylation was observed in 75%, 48.2%, 21.4%, 14.3% and 0% in HCC cell lines, primary HCCs, cirrhotic livers, livers with chronic hepatitis, and normal control tissues, respectively. Methylation of the SFRP1 promoter region in HCCs increased significantly compared with control tissues. All samples with SFRP1 methylation showed down-regulation of SFRP1 expression. Demethylation treatment with 5-aza-2'-deoxycytidine in HCC cells restored SFRP1 expression. Moreover, LOH of markers D8S505 and D8S1722 was found in 25% and 27.6% of the informative samples, respectively. CONCLUSIONS. The current results suggested that promoter hypermethylation of SFRP1 is a common event in HCC and plays an important role in the regulation of SFRP1 expression. In addition to methylation-mediated down-regulation of SFRP1, LOH also may play a role.</t>
  </si>
  <si>
    <t>10.1002/cncr.22023</t>
  </si>
  <si>
    <t>Harney, E; Paterson, S; Collin, H; Chan, BHK; Bennett, D; Plaistow, SJ</t>
  </si>
  <si>
    <t>Pollution induces epigenetic effects that are stably transmitted across multiple generations</t>
  </si>
  <si>
    <t>EVOLUTION LETTERS</t>
  </si>
  <si>
    <t>It has been hypothesized that the effects of pollutants on phenotypes can be passed to subsequent generations through epigenetic inheritance, affecting populations long after the removal of a pollutant. But there is still little evidence that pollutants can induce persistent epigenetic effects in animals. Here, we show that low doses of commonly used pollutants induce genome-wide differences in cytosine methylation in the freshwater crustacean Daphnia pulex. Uniclonal populations were either continually exposed to pollutants or switched to clean water, and methylation was compared to control populations that did not experience pollutant exposure. Although some direct changes to methylation were only present in the continually exposed populations, others were present in both the continually exposed and switched to clean water treatments, suggesting that these modifications had persisted for 7 months (&gt;15 generations). We also identified modifications that were only present in the populations that had switched to clean water, indicating a long-term legacy of pollutant exposure distinct from the persistent effects. Pollutant-induced differential methylation tended to occur at sites that were highly methylated in controls. Modifications that were observed in both continually and switched treatments were highly methylated in controls and showed reduced methylation in the treatments. On the other hand, modifications found just in the switched treatment tended to have lower levels of methylation in the controls and showed increase methylation in the switched treatment. In a second experiment, we confirmed that sublethal doses of the same pollutants generate effects on life histories for at least three generations following the removal of the pollutant. Our results demonstrate that even low doses of pollutants can induce transgenerational epigenetic effects that are stably transmitted over many generations. Persistent effects are likely to influence phenotypic development, which could contribute to the rapid adaptation, or extinction, of populations confronted by anthropogenic stressors.</t>
  </si>
  <si>
    <t>2022 FEB 3</t>
  </si>
  <si>
    <t>10.1002/ev13.273</t>
  </si>
  <si>
    <t>Stephens, TG; González-Pech, RA; Cheng, YY; Mohamed, A; Burt, DW; Bhattacharya, D; Ragan, MA; Chan, CX</t>
  </si>
  <si>
    <t>Genomes of the dinoflagellate Polarella glacialis encode tandemly repeated single-exon genes with adaptive functions</t>
  </si>
  <si>
    <t>Background Dinoflagellates are taxonomically diverse and ecologically important phytoplankton that are ubiquitously present in marine and freshwater environments. Mostly photosynthetic, dinoflagellates provide the basis of aquatic primary production; most taxa are free-living, while some can form symbiotic and parasitic associations with other organisms. However, knowledge of the molecular mechanisms that underpin the adaptation of these organisms to diverse ecological niches is limited by the scarce availability of genomic data, partly due to their large genome sizes estimated up to 250 Gbp. Currently available dinoflagellate genome data are restricted to Symbiodiniaceae (particularly symbionts of reef-building corals) and parasitic lineages, from taxa that have smaller genome size ranges, while genomic information from more diverse free-living species is still lacking. Results Here, we present two draft diploid genome assemblies of the free-living dinoflagellate Polarella glacialis, isolated from the Arctic and Antarctica. We found that about 68% of the genomes are composed of repetitive sequence, with long terminal repeats likely contributing to intra-species structural divergence and distinct genome sizes (3.0 and 2.7 Gbp). For each genome, guided using full-length transcriptome data, we predicted &gt; 50,000 high-quality protein-coding genes, of which similar to 40% are in unidirectional gene clusters and similar to 25% comprise single exons. Multi-genome comparison unveiled genes specific to P. glacialis and a common, putatively bacterial origin of ice-binding domains in cold-adapted dinoflagellates. Conclusions Our results elucidate how selection acts within the context of a complex genome structure to facilitate local adaptation. Because most dinoflagellate genes are constitutively expressed, Polarella glacialis has enhanced transcriptional responses via unidirectional, tandem duplication of single-exon genes that encode functions critical to survival in cold, low-light polar environments. These genomes provide a foundational reference for future research on dinoflagellate evolution.</t>
  </si>
  <si>
    <t>MAY 24</t>
  </si>
  <si>
    <t>10.1186/s12915-020-00782-8</t>
  </si>
  <si>
    <t>10.1002/evl3.273</t>
  </si>
  <si>
    <t>Ungvari, Z; Sosnowska, D; Mason, JB; Gruber, H; Lee, SW; Schwartz, TS; Brown, MK; Storm, NJ; Fortney, K; Sowa, J; Byrne, AB; Kurz, T; Levy, E; Sonntag, WE; Austad, SN; Csiszar, A; Ridgway, I</t>
  </si>
  <si>
    <t>Resistance to Genotoxic Stresses in Arctica islandica, the Longest Living Noncolonial Animal: Is Extreme Longevity Associated With a Multistress Resistance Phenotype?</t>
  </si>
  <si>
    <t>JOURNALS OF GERONTOLOGY SERIES A-BIOLOGICAL SCIENCES AND MEDICAL SCIENCES</t>
  </si>
  <si>
    <t>Bivalve molluscs are newly discovered models of successful aging. Here, we test the hypothesis that extremely long-lived bivalves are not uniquely resistant to oxidative stressors (eg, tert-butyl hydroperoxide, as demonstrated in previous studies) but exhibit a multistress resistance phenotype. We contrasted resistance (in terms of organismal mortality) to genotoxic stresses (including topoisomerase inhibitors, agents that cross-link DNA or impair genomic integrity through DNA alkylation or methylation) and to mitochondrial oxidative stressors in three bivalve mollusc species with dramatically differing life spans: Arctica islandica (ocean quahog), Mercenaria mercenaria (northern quahog), and the Atlantic bay scallop, Argopecten irradians irradians (maximum species life spans: &gt;500, &gt;100, and similar to 2 years, respectively). With all stressors, the short-lived A i irradians were significantly less resistant than the two longer lived species. Arctica islandica were consistently more resistant than M mercenaria to mortality induced by oxidative stressors as well as DNA methylating agent nitrogen mustard and the DNA alkylating agent methyl methanesulfonate. The same trend was not observed for genotoxic agents that act through cross-linking DNA. In contrast, M mercenaria tended to be more resistant to epirubicin and genotoxic stressors, which cause DNA damage by inhibiting topoisomerases. To our knowledge, this is the first study comparing resistance to genotoxic stressors in bivalve mollusc species with disparate longevities. In line with previous studies of comparative stress resistance and longevity, our data extends, at least in part, the evidence for the hypothesis that an association exists between longevity and a general resistance to multiplex stressors, not solely oxidative stress. This work also provides justification for further investigation into the interspecies differences in stress response signatures induced by a diverse array of stressors in short-lived and long-lived bivalves, including pharmacological agents that elicit endoplasmic reticulum stress and cellular stress caused by activation of innate immunity.</t>
  </si>
  <si>
    <t>10.1093/gerona/gls193</t>
  </si>
  <si>
    <t>Fellous, A; Favrel, P; Riviere, G</t>
  </si>
  <si>
    <t>Temperature influences histone methylation and mRNA expression of the Jmj-C histone-demethylase orthologues during the early development of the oyster Crassostrea gigas</t>
  </si>
  <si>
    <t>MARINE GENOMICS</t>
  </si>
  <si>
    <t>In many groups, epigenetic mechanisms influence developmental gene regulation under environmental inputs. The Pacific oyster Crassostrea gigas belongs to lophotrochozoans and its larval development is highly dependent on temperature, but the role of epigenetic mechanisms in this context is unknown despite high levels of the recently characterized Jumonji histone demethylase (JHDM) orthologues (Cgjumonji) suggesting a physiological relevance of histone methylation in the oyster development. Because in other species alterations of the histone methylation pattern have deleterious outcomes, we investigated the influence of temperature during the oyster larval life on histone methylation and JFIDM expression. To shed light on this point, oyster embryonic and early larval development experiments were carried out at different temperatures (18 degrees C, 25 degrees C and 32 degrees C). Histone methylation levels were investigated using fluorescent ELISA at 6 and 24 h post-fertilization. When compared to the 25 degrees C group, at 18 degrees C H3K4, H3K9 and H3K27 residues were hypomethylated at 6 h post fertilization (hpf) and hypermethylated at 24 hpf. In contrast, at 32 C, 6 hpf animals present a dramatic hypermethylation (ca. 4-fold) of all examined residues, which is minored but sustained at 24 hpf. RT-qPCR investigations of the mRNA expression of the nine oyster JI-IDNIs, showed gene- and stage-specific temperature sensitivities throughout the early life of oysters. This study provides evidence of the biological significance of histone methylation during development in a lophotrochozoan species. Our results also indicate that temperature influences histone methylation, possibly through the expression level of putative actors of its regulation, which might participate in developmental control. To our knowledge, this is the first report indicating a direct relationship between an epigenetic mark and an environmental parameter in marine molluscs. Such investigations could help better understand the molecular mechanisms of development and adaptation in lophotrochozoans. (C) 2014 Elsevier B.V. All rights reserved.</t>
  </si>
  <si>
    <t>10.1016/j.margen.2014.09.002</t>
  </si>
  <si>
    <t>Chen, CH; Lin, HY; Pan, CL; Chen, FC</t>
  </si>
  <si>
    <t>The genomic features that affect the lengths of 5′ untranslated regions in multicellular eukaryotes</t>
  </si>
  <si>
    <t>Background: The lengths of 5'UTRs of multicellular eukaryotes have been suggested to be subject to stochastic changes, with upstream start codons (uAUGs) as the major constraint to suppress 5'UTR elongation. However, this stochastic model cannot fully explain the variations in 5'UTR length. We hypothesize that the selection pressure on a combination of genomic features is also important for 5'UTR evolution. The ignorance of these features may have limited the explanatory power of the stochastic model. Furthermore, different selective constraints between vertebrates and invertebrates may lead to differences in the determinants of 5'UTR length, which have not been systematically analyzed. Methods: Here we use a multiple linear regression model to delineate the correlation between 5'UTR length and the combination of a series of genomic features (G+C content, observed-to-expected (OE) ratios of uAUGs, upstream stop codons (uSTOPs), methylation-related CG/UG dinucleotides, and mRNA-destabilizing UU/UA dinucleotides) in six vertebrates (human, mouse, rat, chicken, African clawed frog, and zebrafish) and four invertebrates (fruit fly, mosquito, sea squirt, and nematode). The relative contributions of each feature to the variation of 5'UTR length were also evaluated. Results: We found that 14%similar to 33% of the 5'UTR length variations can be explained by a linear combination of the analyzed genomic features. The most important genomic features are the OE ratios of uSTOPs and G+C content. The surprisingly large weightings of uSTOPs highlight the importance of selection on upstream open reading frames (which include both uAUGs and uSTOPs), rather than on uAUGs per se. Furthermore, G+C content is the most important determinants for most invertebrates, but for vertebrates its effect is second to uSTOPs. We also found that shorter 5'UTRs are affected more by the stochastic process, whereas longer 5'UTRs are affected more by selection pressure on genomic features. Conclusions: Our results suggest that upstream open reading frames may be the real target of selection, rather than uAUGs. We also show that the selective constraints on genomic features of 5'UTRs differ between vertebrates and invertebrates, and between longer and shorter 5'UTRs. A more comprehensive model that takes these findings into consideration is needed to better explain 5'UTR length evolution.</t>
  </si>
  <si>
    <t>10.1186/1471-2105-12-S9-S3</t>
  </si>
  <si>
    <t>Wang, DP; Zhang, YB; Fan, ZH; Liu, GM; Yu, J</t>
  </si>
  <si>
    <t>LCGbase: A Comprehensive Database for Lineage-Based Co-regulated Genes</t>
  </si>
  <si>
    <t>EVOLUTIONARY BIOINFORMATICS</t>
  </si>
  <si>
    <t>Animal genes of different lineages, such as vertebrates and arthropods, are well-organized and blended into dynamic chromosomal structures that represent a primary regulatory mechanism for body development and cellular differentiation. The majority of genes in a genome are actually clustered, which are evolutionarily stable to different extents and biologically meaningful when evaluated among genomes within and across lineages. Until now, many questions concerning gene organization, such as what is the minimal number of genes in a cluster and what is the driving force leading to gene co-regulation, remain to be addressed. Here, we provide a user-friendly database-LCGbase (a comprehensive database for lineage-based co-regulated genes)-hosting information on evolutionary dynamics of gene clustering and ordering within animal kingdoms in two different lineages: vertebrates and arthropods. The database is constructed on a web-based Linux-Apache-MySQL-PHP framework and effective interactive user-inquiry service. Compared to other gene annotation databases with similar purposes, our database has three comprehensible advantages. First, our database is inclusive, including all high-quality genome assemblies of vertebrates and representative arthropod species. Second, it is human-centric since we map all gene clusters from other genomes in an order of lineage-ranks (such as primates, mammals, warm-blooded, and reptiles) onto human genome and start the database from well-defined gene pairs (a minimal cluster where the two adjacent genes are oriented as co-directional, convergent, and divergent pairs) to large gene clusters. Furthermore, users can search for any adjacent genes and their detailed annotations. Third, the database provides flexible parameter definitions, such as the distance of transcription start sites between two adjacent genes, which is extendable to genes that flanking the cluster across species. We also provide useful tools for sequence alignment, gene ontology (GO) annotation, promoter identification, gene expression (co-expression), and evolutionary analysis. This database not only provides a way to define lineage-specific and species-specific gene clusters but also facilitates future studies on gene co-regulation, epigenetic control of gene expression (DNA methylation and histone marks), and chromosomal structures in a context of gene clusters and species evolution. LCGbase is freely available at http://lcgbase.big.ac.cn/LCGbase.</t>
  </si>
  <si>
    <t>10.4137/EBO.S8540</t>
  </si>
  <si>
    <t>Wong, JM; Hofmann, GE</t>
  </si>
  <si>
    <t>Gene expression patterns of red sea urchins (Mesocentrotus franciscanus) exposed to different combinations of temperature and pCO2 during early development</t>
  </si>
  <si>
    <t>BackgroundThe red sea urchin Mesocentrotus franciscanus is an ecologically important kelp forest herbivore and an economically valuable wild fishery species. To examine how M. franciscanus responds to its environment on a molecular level, differences in gene expression patterns were observed in embryos raised under combinations of two temperatures (13 degrees C or 17 degrees C) and two pCO(2) levels (475 mu atm or 1050 mu atm). These combinations mimic various present-day conditions measured during and between upwelling events in the highly dynamic California Current System with the exception of the 17 degrees C and 1050 mu atm combination, which does not currently occur. However, as ocean warming and acidification continues, warmer temperatures and higher pCO(2) conditions are expected to increase in frequency and to occur simultaneously. The transcriptomic responses of the embryos were assessed at two developmental stages (gastrula and prism) in light of previously described plasticity in body size and thermotolerance under these temperature and pCO(2) treatments.ResultsAlthough transcriptomic patterns primarily varied by developmental stage, there were pronounced differences in gene expression as a result of the treatment conditions. Temperature and pCO(2) treatments led to the differential expression of genes related to the cellular stress response, transmembrane transport, metabolic processes, and the regulation of gene expression. At each developmental stage, temperature contributed significantly to the observed variance in gene expression, which was also correlated to the phenotypic attributes of the embryos. On the other hand, the transcriptomic response to pCO(2) was relatively muted, particularly at the prism stage.ConclusionsM. franciscanus exhibited transcriptomic plasticity under different temperatures, indicating their capacity for a molecular-level response that may facilitate red sea urchins facing ocean warming as climate change continues. In contrast, the lack of a robust transcriptomic response, in combination with observations of decreased body size, under elevated pCO(2) levels suggest that this species may be negatively affected by ocean acidification. High present-day pCO(2) conditions that occur due to coastal upwelling may already be influencing populations of M. franciscanus.</t>
  </si>
  <si>
    <t>JAN 7</t>
  </si>
  <si>
    <t>10.1186/s12864-020-07327-x</t>
  </si>
  <si>
    <t>Fabrello, J; Dalla Fontana, M; Gaiani, N; Ciscato, M; Roverso, M; Bogialli, S; Matozzo, V</t>
  </si>
  <si>
    <t>Assessing the Effects of a Diet of BPA Analogue-Exposed Microalgae in the Clam Ruditapes philippinarum</t>
  </si>
  <si>
    <t>JOURNAL OF XENOBIOTICS</t>
  </si>
  <si>
    <t>In our previous study, we demonstrated that the microalgae Phaeodactylum tricornutum can bioaccumulate bisphenol A analogues. Since this microalgae species is part of the diet of marine filter-feeding organisms, such as bivalves, in this study we tested the hypothesis that a diet based on exposed microalgae can exert negative effects on the clam Ruditapes philippinarum. Microalgae were exposed for 7 days to 300 ng/L of bisphenol AF (BPAF), bisphenol F (BPF), and bisphenol S (BPS), alone or as a mixture (MIX), to allow bioaccumulation. Microalgae were then supplied as food to bivalves. After 7 and 14 days of diet, the effects of exposed microalgae were evaluated on a battery of biomarkers measured in haemolymph/haemocytes, gills and digestive glands of clams. In addition, bioaccumulation of the three bisphenols was investigated in clams by UHPLC-HRMS. The results obtained demonstrated that total haemocyte count (THC) increased in clams following ingestion for 7 days of BPAF- and BPF-exposed microalgae, while BPS-exposed microalgae significantly reduced THC after 14 days of diet. MIX- and BPS-exposed microalgae increased haemocyte proliferation. The diet of exposed microalgae affected acid and alkaline phosphatase activity in clams, with an opposite response between haemolymph and haemocytes. Regarding antioxidants, an increase in catalase activity was observed in clams after ingestion of BPA analogue-exposed microalgae. The results also demonstrated marked oxidative stress in gills, the first tissue playing an important role in the feeding process. Oxidative damage was recorded in both the gills and digestive glands of clams fed BPA analogue-exposed microalgae. Alterations in epigenetic-involved enzyme activity were also found, demonstrating for the first time that BPA analogue-exposed food can alter epigenetic mechanisms in marine invertebrates. No bioaccumulation of BPA analogues was detected in clam soft tissues. Overall, this study demonstrated that a diet of BPA analogue-exposed microalgae can induce significant alterations of some important biological responses of R. philippinarum. To our knowledge, this is the first study demonstrating the effects of ingestion of BPA analogue-exposed microalgae in the clam R. philippinarum, suggesting a potential ecotoxicological risk for the marine food chain, at least at the first levels.</t>
  </si>
  <si>
    <t>10.3390/jox14030069</t>
  </si>
  <si>
    <t>Shao, YA; Duan, XM; Zhao, XL; Lv, ZM; Li, CH</t>
  </si>
  <si>
    <t>Global N6-methyladenosine methylation analysis reveals the positive correlation between m6A modification and mRNA abundance during Apostichopus japonicus disease development</t>
  </si>
  <si>
    <t>DEVELOPMENTAL AND COMPARATIVE IMMUNOLOGY</t>
  </si>
  <si>
    <t>N-6-methyladenosine (m(6)A), the most abundant epitranscriptomic modification in eukaryotic messenger RNA (mRNA), plays important roles in regulation of gene expression for fundamental biological processes and diverse physiological functions, including combating with pathogen infection. Here, we were first profile transcriptome-wide m(6)A sequencing in four stages of skin ulceration syndrome-diseased Apostichopus japonicus following Vibrio splendidus infection, including Control (healthy), Early (small ulcer), Later (extensive ulcer), and Resistant (no ulcer) groups. Our results revealed that three experimental groups were all extensively methylated by m(6)A and the proportion of the m(6)A modified genes were also significantly increased to 28.90% (Early), 27.97% (Later), and 29.98% (Resistant) when compared with Control group (15.15%), indicating m(6)A modification could be induced by V. splendidus infection. Intriguingly, we discovered a positive correlation between the m(6)A methylation level and mRNA abundance, indicating a positive regulatory role of m(6)A in sea cucumber gene expression during V. splendidus infection. Moreover, genes with specific and differentially expressed m(6)A methylation in Later group were both enriched in cell adhesion, while Early and Resistant groups were both mainly involved in DNA conformation change and chromosome organization when compared with Control, suggesting the higher-methylated m(6)A might serve as conformational marker  and associated to the initiation of related anti-disease genes transcription in order to improve disease resistance of sea cucumber. Subsequently, we selected the pivotal genes enriched in cell adhesion pathway and found that the IggFc-binding protein (FcGBP) and Fibrocystin-L both had higher levels of m(6)A methylation and higher level of mRNA expressions in Later group. Conversely, Fibrinogen C domain-containing protein 1 (F1BCD1) gene presented as an antibacterial role in sea cucumber and showed higher mRNA expression and higher m(6)A methylation in Resistant group and lower mRNA level in Later group. The levels of m(6)A methylation and mRNA abundance of FcGBP and F1BCD1 genes indicates disease occurrence or disease resistant were also verified by MeRIP-qPCR. Overall, our study presents the first comprehensive characterize of dynamic m(6)A methylation modification in the different stages of disease in sea cucumber. These data provide an invaluable resource for future studies of function and biological significance of m(6)A in mRNA in marine invertebrates.</t>
  </si>
  <si>
    <t>10.1016/j.dci.2022.104434</t>
  </si>
  <si>
    <t>Yu, DL; Liu, SC; Yu, YQ; Wang, YH; Li, LZ; Peijnenburg, WJGM; Yuan, YF; Peng, X</t>
  </si>
  <si>
    <t>Transcriptomic analysis reveals interactive effects of polyvinyl chloride microplastics and cadmium on Mytilus galloprovincialis: Insights into non-coding RNA responses and environmental implications</t>
  </si>
  <si>
    <t>Despite increasing concerns regarding the interactions of microplastic and heavy metal pollution, there is limited knowledge on the molecular responses of marine organisms to these stressors. In this study, we used whole-transcriptome sequencing to investigate the molecular responses of the ecologically and economically important bivalve Mytilus galloprovincialis to individual and combined exposures of environmentally relevant concentrations of PVC microplastics and cadmium (Cd). Our results revealed distinct transcriptional changes in M. galloprovincialis, with significant overlap in the differentially expressed genes between the individual and combined exposure groups. Genes involved in cellular senescence, oxidative stress, and galactose metabolism were differentially expressed. Additionally, key signaling pathways related to apoptosis and drug metabolism were significantly modulated. Notably, the interaction of PVC microplastics and Cd resulted in differential expression of genes involved in drug metabolism and longevity regulating compared to single exposures. This suggests that the interaction between these two stressors may have amplified effects on mussel health. Overall, this comprehensive transcriptomic analysis provides valuable insights into the adaptive and detrimental responses of M. galloprovincialis to PVC microplastics and Cd in the environment.</t>
  </si>
  <si>
    <t>10.1016/j.aquatox.2024.107062</t>
  </si>
  <si>
    <t>Urdes, L; Alcivar-Warren, A</t>
  </si>
  <si>
    <t>A COMPARATIVE STUDY ON METALS AND PARASITES IN SHELLFISH OF FRESHWATER AND MARINE ECOSYSTEMS</t>
  </si>
  <si>
    <t>Little has been published about the interactions of metals and parasites in economically important aquaculture species, particularly shellfish. Metal bioaccumulation and parasitic diseases could vary in different species depending on temperature changes and other environmental factors. Most studies conducted on endoparasites, such as acanthocephalans, cestodes, nematodes, and trematodes, indicate that only cestodes and acanthocephalans could absorb heavy metals successfully in their hosts, and that only adult worms could be used as indicators of environmental pollution. In Artemia parthenogenetica, cestodes increased resistance to arsenic (As) pollution and temperature changes; and infection was associated with improved antioxidant defense system without oxidative damage. The most serious parasite of Penaeus spp. is Enterocytozoon hepatopenaei (Microsporidia: Enterocytozoonidae). Apostome ciliates are negatively impacting Pandalus borealis of the northeastern United States (Synophrya sp. that causes white eggs or Black Spot Gill Syndrome) and Penaeus spp. from the South Atlantic and Gulf of Mexico (Hyalophysa lynni that causes shrimp black gill). In freshwater fish, the larvae of the nematode Eustrongylides spp. Jagerskiold, 1909 (Nematoda: Dioctophymidae) absorbed lead (Pb), mercury, and cadmium, when the metal levels were close to zero in water and sediment. The concentration of Pb in the larvae was approximately 17 times higher than in the fish. Like the antioxidant defense reactions in the parasitized A. parthenogenetica exposed to As, an improved antioxidant defense system may be available in parasitized fish, limiting oxidative damage caused by metals. This study presents baseline concentrations of 30 metals in wild Penaeus vannamei Boone, 1931 from Ecuador and other species, as well as the current taxonomy for selected shellfish species and their parasites. Research is needed to assess the relationship of metals in parasites and host tissues, and oxidative stress in shellfish. The tools of One Health including molecular ecology, population genomics, proteomics, and epigenetic epidemiology should be used to detect parasites and environmental pollution indicators that could threaten aquatic species from freshwater and marine ecosystems, particularly considering climate change and pollution threats.</t>
  </si>
  <si>
    <t>10.2983/035.040.0313</t>
  </si>
  <si>
    <t>Rotolo, F; Roncalli, V; Cieslak, M; Gallo, A; Buttino, I; Carotenuto, Y</t>
  </si>
  <si>
    <t>Transcriptomic analysis reveals responses to a polluted sediment in the Mediterranean copepod Acartia clausi</t>
  </si>
  <si>
    <t>Marine sediments are regarded as sinks for several classes of contaminants. Characterization and effects of sediments on marine biota now require a multidisciplinary approach, which includes chemical and ecotoxicological analyses and molecular biomarkers. Here, a gene expression study was performed to measure the response of adult females of the Mediterranean copepod Acartia clausi to elutriates of polluted sediments (containing high concentrations of polycyclic aromatic hydrocarbons, PAHs, and heavy metals) from an industrial area in the Southern Tyrrhenian Sea (Bagnoli-Coroglio). Functional annotation of the A. clausi transcriptome generated as reference here, showed a good quality of the assembly and great homology with other copepod and crustacean sequences in public databases. This is one of the few available transcriptomic resources for this widespread copepod species of great ecological relevance in temperate coastal areas. Differential expression analysis between females exposed to the elutriate and those in control seawater identified 1000 differentially expressed genes, of which 743 up- and 257 down-regulated. Within the up-regulated genes, the most represented functions were related to proteolysis (lysosomal protease, peptidase, cathepsin), response to stress and detoxification (heat-shock protein, superoxide dismutase, glutathione-S-transferase, cytochrome P450), and cytoskeleton structure (alpha- and beta-tubulin). Down-regulated genes were mostly involved with ribosome structure (ribosomal proteins) and DNA binding (histone proteins, transcription factors). Overall, these results suggest that processes such as transcription, translation, protein degradation, metabolism of biomolecules, reproduction, and xenobiotic detoxification were altered in the copepod in response to polluted elutriates. In conclusion, our results contribute to gaining information on the transcriptomic responses of copepods to polluted sediments. They will also prompt the selection of genes of interest to be used as biomarkers of exposure to PAHs and heavy metals in molecular toxicology studies on copepods, and in general, in comparative functional genomic studies on marine zooplankton.</t>
  </si>
  <si>
    <t>10.1016/j.envpol.2023.122284</t>
  </si>
  <si>
    <t>Gerspacher, C; Scheuber, U; Schiera, G; Proia, P; Gygax, D; Di Liegro, I</t>
  </si>
  <si>
    <t>The effect of cadmium on brain cells in culture</t>
  </si>
  <si>
    <t>INTERNATIONAL JOURNAL OF MOLECULAR MEDICINE</t>
  </si>
  <si>
    <t>Cadmium is a long-living heavy metal, abundantly present in the environment, which accumulates in the body. In this study, we investigated the effects of cadmium on the expression of molecular chaperones, and of certain cell-specific proteins, in a variety of brain cell types in culture, namely primary cultures of rat cortical neurons and astrocytes, a brain capillary endothelial cell line (RB4E.B cells), and pheochromocytoma cells (PC12), induced or not to differentiate by NGF treatment. The metal induces a dose-dependent increase of Hsp70 in all cell types. Responses to the metal are cell-specific in the case of Hsc70 and Hsp90: i) in astrocytes, as well as in PC 12 cells, cadmium has no significant effect; ii) in endothelial cells, an increase of both proteins is clearly observable from 20 mu M cadmium; iii) both Hsp90 and Hsc70 decrease in neurons treated with high doses of cadmium. Damage to the cytoskeleton in treated cells was also evident. Finally, we report that the metal at high doses induces a decrease of PIPPin (also known as CSD-C2), a putative RNA-binding protein highly expressed in neurons and probably involved in the regulation of histone replacement variant expression.</t>
  </si>
  <si>
    <t>10.3892/ijmm_00000234</t>
  </si>
  <si>
    <t>Xu, P; Guo, HQ; Wang, HH; Xie, YX; Lee, SC; Liu, M; Zheng, J; Mao, XL; Wang, H; Liu, FT; Wan, CL; Qin, SY; Liu, Y; Zhao, MR; Wang, L</t>
  </si>
  <si>
    <t>Identification and profiling of microRNAs responsive to cadmium toxicity in hepatopancreas of the freshwater crab Sinopotamon henanense</t>
  </si>
  <si>
    <t>HEREDITAS</t>
  </si>
  <si>
    <t>Background Cadmium (Cd) is a ubiquitous environmental toxicant for aquatic animals. The freshwater crab, Sinopotamon henanense (S. henanense), is a useful model for monitoring Cd exposure since it is widely distributed in sediments whereby it tends to accumulate several toxicants, including Cd. In the recent years, the toxic effects of Cd in the hepatopancreas of S. henanense have been demonstrated by a series of biochemical analysis and ultrastructural observations as well as the deep sequencing approaches and gene expression profile analysis. However, the post-transcriptional regulatory network underlying Cd toxicity in S.henanense is still largely unknown. Results The miRNA transcriptional profile of the hepatopancreas of S. henanense was used to investigate the expression levels of miRNAs in response to Cd toxicity. In total, 464 known miRNAs and 191 novel miRNAs were identified. Among these 656 miRNAs, 126 known miRNAs could be matched with the miRNAs of Portunus trituberculatus, Eriocheir sinensis and Scylla paramamosain. Furthermore, a total of 24 conserved miRNAs were detected in these four crab species. Fifty-one differentially expressed miRNAs were identified in the Cd-exposed group, with 31 up-regulated and 20 down-regulated. Eight of the differentially expressed miRNAs were randomly selected and verified by the quantitative real-time PCR (qRT-PCR), and there was a general consistency (87.25%) between the qRT-PCR and miRNA transcriptome data. A total of 5258 target genes were screened by bioinformatics prediction. GO term analysis showed that, 17 GO terms were significantly enriched, which were mainly related to the regulation of oxidoreductase activity. KEGG pathway analysis showed that 18 pathways were significantly enriched, which were mainly associated with the biosynthesis, modification and degradation of proteins. Conclusion In response to Cd toxicity, in the hepatopancreas of S. henanense, the expressions of significant amount of miRNAs were altered, which may be an adaptation to resist the oxidative stress induced by Cd. These results provide a basis for further studies of miRNA-mediated functional adaptation of the animal to combat Cd toxicity.</t>
  </si>
  <si>
    <t>NOV 4</t>
  </si>
  <si>
    <t>10.1186/s41065-019-0110-z</t>
  </si>
  <si>
    <t>Bowden, TJ; Kraev, I; Lange, S</t>
  </si>
  <si>
    <t>Extracellular Vesicles and Post-Translational Protein Deimination Signatures in Mollusca-The Blue Mussel (Mytilus edulis), Soft Shell Clam (Mya arenaria), Eastern Oyster (Crassostrea virginica) and Atlantic Jacknife Clam (Ensis leei)</t>
  </si>
  <si>
    <t>BIOLOGY-BASEL</t>
  </si>
  <si>
    <t>Simple Summary Oysters and clams form an important component of the food chain and food security and are of considerable commercial value worldwide. They are affected by pollution and climate change, as well as a range of infections, some of which are opportunistic. For aquaculture purposes they are furthermore of great commercial value and changes in their immune responses can also serve as indicators of changes in ocean environments. Therefore, studies into understanding new factors in their immune systems may aid new biomarker discovery and are of considerable value. This study assessed new biomarkers relating to changes in protein function in four economically important marine molluscs, the blue mussel, soft shell clam, Eastern oyster, and Atlantic jacknife clam. These findings indicate novel regulatory mechanisms of important metabolic and immunology related pathways in these mollusks. The findings provide new understanding to how these pathways function in diverse ways in different animal species as well as aiding new biomarker discovery for Mollusca aquaculture. Oysters and clams are important for food security and of commercial value worldwide. They are affected by anthropogenic changes and opportunistic pathogens and can be indicators of changes in ocean environments. Therefore, studies into biomarker discovery are of considerable value. This study aimed at assessing extracellular vesicle (EV) signatures and post-translational protein deimination profiles of hemolymph from four commercially valuable Mollusca species, the blue mussel (Mytilus edulis), soft shell clam (Mya arenaria), Eastern oyster (Crassostrea virginica), and Atlantic jacknife clam (Ensis leei). EVs form part of cellular communication by transporting protein and genetic cargo and play roles in immunity and host-pathogen interactions. Protein deimination is a post-translational modification caused by peptidylarginine deiminases (PADs), and can facilitate protein moonlighting in health and disease. The current study identified hemolymph-EV profiles in the four Mollusca species, revealing some species differences. Deiminated protein candidates differed in hemolymph between the species, with some common targets between all four species (e.g., histone H3 and H4, actin, and GAPDH), while other hits were species-specific; in blue mussel these included heavy metal binding protein, heat shock proteins 60 and 90, 2-phospho-D-glycerate hydrolyase, GTP cyclohydrolase feedback regulatory protein, sodium/potassium-transporting ATPase, and fibrinogen domain containing protein. In soft shell clam specific deimination hits included dynein, MCM3-associated protein, and SCRN. In Eastern oyster specific deimination hits included muscle LIM protein, beta-1,3-glucan-binding protein, myosin heavy chain, thaumatin-like protein, vWFA domain-containing protein, BTB domain-containing protein, amylase, and beta-catenin. Deiminated proteins specific to Atlantic jackknife clam included nacre c1q domain-containing protein and PDZ domain-containing protein In addition, some proteins were common as deiminated targets between two or three of the Bivalvia species under study (e.g., EP protein, C1q domain containing protein, histone H2B, tubulin, elongation factor 1-alpha, dominin, extracellular superoxide dismutase). Protein interaction network analysis for the deiminated protein hits revealed major pathways relevant for immunity and metabolism, providing novel insights into post-translational regulation via deimination. The study contributes to EV characterization in diverse taxa and understanding of roles for PAD-mediated regulation of immune and metabolic pathways throughout phylogeny.</t>
  </si>
  <si>
    <t>10.3390/biology9120416</t>
  </si>
  <si>
    <t>Zhang, MS; Zhao, JL; Li, A; Zhao, MJ; Huo, MT; Deng, JH; Wang, LP; Wang, W; Zhang, GF; Li, L</t>
  </si>
  <si>
    <t>LncRNA-Mediated Tissue-Specific Plastic Responses to Salinity Changes in Oysters</t>
  </si>
  <si>
    <t>INTERNATIONAL JOURNAL OF MOLECULAR SCIENCES</t>
  </si>
  <si>
    <t>Salinity is a key environmental factor influencing the survival of aquatic organisms, and transcriptional plasticity is a crucial emergency response to environmental changes. However, most transcriptomic studies on salinity responses have not explored the expression patterns and regulatory mechanisms across different tissues. The Suminoe oyster (Crassostrea ariakensis), a sessile estuarine species that inhabits fluctuating salinity environments, provides an excellent model for studying the molecular basis of salinity response divergence. All eight tissues responded to acute salinity stresses and exhibited distinct tissue-specific expression patterns in both mRNA and long non-coding RNA (lncRNA) profiles across three salinity conditions. The hepatopancreas and striated muscle were identified as tissues specifically sensitive to hyper- and hypo-saline stress, respectively, based on the number, expression pattern, and plasticity of differentially expressed genes (DEGs). We established lncRNA-mRNA regulatory relationships that environmentally responsive lncRNAs enhanced DEGs' expression and underpinning tissue-specific responses. Under moderate stress, the hepatopancreas and striated muscle initiated positive responses related to water transport and shell closure, respectively. Under severe stress, the hepatopancreas activated cellular resistance pathways, while the striated muscle experienced significant cell death. Our findings provide insights into lncRNA-mediated, tissue-specific environmental responses and lay the foundation for further research into the adaptive evolution of tissue-specific regulation.</t>
  </si>
  <si>
    <t>10.3390/ijms26104523</t>
  </si>
  <si>
    <t>Turner, LM; Thorpe, CJ; Collins, M; Raj, S; Shukla, T; Spicer, JI; Knight, ME; Sharma, D; Kunte, K</t>
  </si>
  <si>
    <t>Metabolic Diversity of a Widely Distributed Tropical Freshwater Crab Is Not Underpinned by Genetic Differences</t>
  </si>
  <si>
    <t>JOURNAL OF BIOGEOGRAPHY</t>
  </si>
  <si>
    <t>Aim: The aim of this study was to understand the interplay between local and regional factors as drivers of population physiological diversity in a tropical freshwater crab species. Location:Western Ghats, south-west India. Taxon:Barytelphusa cunicularis, Brachyura, Crustacea. Methods: We applied an integrative approach combining population genetics and whole animal physiology, using the tropical freshwater crab Barytelphusa cunicularis as our model species. We tested for effects of population location (e.g., latitude, altitude), season (as a proxy for rainfall and water temperature) and/or warming on indices of whole animal respiratory physiology (metabolic rate, MO2) and hypoxic performance (P-crit, i.e., the PO2 at which routine MO2 can no longer be sustained) in five widely distributed populations of this species. We also generated population genetic data (mtDNA COI and nDNA histone H3 sequences) to determine the extent of any population genetic structuring and/or cryptic species diversity present to verify that we were investigating a single species. Results: Despite a high level of genetic structuring between the different populations of B. cunicularis examined, the genetic distances observed were consistent with intra- and not interspecific differences in freshwater crabs. Populations varied in the diversity of the physiological (MO2) responses observed. There were significant effects of season and population on respiration in response to temperature and P-crit in response to acute hypoxia. Main Conclusions: We conclude that local environmental factors are important in shaping physiological diversity between populations in tropical freshwater species and systems. This highlights the need to include population-level responses in any projections we make on how biodiversity will respond to ongoing and future environmental changes, including those caused by climate change.</t>
  </si>
  <si>
    <t>10.1111/jbi.15147</t>
  </si>
  <si>
    <t>Casuso, A; Valenzuela-Muñoz, V; Sáez-Vera, C; Gallardo-Escárate, C</t>
  </si>
  <si>
    <t>Environmental Changes Drives the Transcriptome and Gene Regulation Plasticity During Sea Lice Infestation</t>
  </si>
  <si>
    <t>The sea louse, Caligus rogercresseyi, is one of the main concerns in the Chilean salmon industry. The free-living copepodid stage can recognize the host and initiate the parasitic phase, where environmental factors can shape the host recognition process. This study aimed to explore the ecological influence on the transcriptome of copepodids infesting Atlantic salmon experimentally exposed to different salinity and temperature (S/T) conditions. Herein, 200 salmon were infested with 35 copepodids per fish previously acclimatized to four S/T treatments: 32 and 26 PSU; 8 and 16 degrees C. After 48 h of infestation, the attached copepodids from each experimental group were counted and digitalized for geometric morphometric analysis. Copepodids were then collected for RNA sequencing to analyze transcriptome modulation and gene regulation. Morphological changes in copepodids were mainly associated with temperature rather than salinity conditions. The transcriptome survey revealed molecular signatures related to salinity and temperature changes, where salinity drives the gene expression of copepodids. Notably, specific genes, such as those encoding cuticle proteins and trypsin-like kinases, were regulated by all three post-transcriptional mechanisms assessed: alternative splicing, miRNA, and gene fusion. The transcriptome analysis revealed that trypsin-like kinase genes exhibited upregulation and downregulation across the various S/T conditions. In contrast, cuticle protein genes were consistently downregulated in the 32 PSU/8 degrees C, 26 PSU/8 degrees C, and 26 PSU/16 degrees C groups compared to the 32 PSU/16 degrees C control. This suggests that the three post-transcriptional mechanisms may exert a combined influence on the expression of specific genes, potentially driven by salinity and temperature environmental conditions in sea lice biology.</t>
  </si>
  <si>
    <t>10.1007/s10126-025-10459-4</t>
  </si>
  <si>
    <t>Ho, PT; Rhee, H; Kim, J; Seo, C; Park, JK; Young, CR; Won, YJ</t>
  </si>
  <si>
    <t>Impacts of Salt Stress on Locomotor and Transcriptomic Responses in the Intertidal Gastropod Batillaria attramentaria</t>
  </si>
  <si>
    <t>BIOLOGICAL BULLETIN</t>
  </si>
  <si>
    <t>Salinity is one of the most crucial environmental factors that structures biogeographic boundaries of aquatic organisms, affecting distribution, abundance, and behavior. However, the association between behavior and gene regulation underlying acclimation to changes in salinity remains poorly understood. In this study, we investigated the effects of salinity stress on behavior (movement distance) and patterns of gene expression (using RNA sequencing) of the intertidal gastropod Batillaria attramentaria. We examined responses to short-term (1-hour) and long-term (30-day) acclimation to a range of salinities (43, 33 [control], 23, 13, and 3 psu). We found that the intertidal B. attramentaria is able to tolerate a broad range of salinity from 13 to 43 psu but not the acute low salinity of 3 psu. Behavioral experiments showed that salt stress significantly influenced snails' movement, with lower salinity resulting in shorter movement distance. Transcriptomic analyses revealed critical metabolic pathways and genes potentially involved in acclimation to salinity stress, including ionic and osmotic regulation, signal and hormonal transduction pathways, water exchange, cell protection, and gene regulation or epigenetic modification. In general, our study presents a robust, integrative laboratory-based approach to investigate the effects of salt stress on a nonmodel gastropod facing detrimental consequences of environmental change. The current genetic results provide a wealth of reference data for further research on mechanisms of ionic and osmotic regulation and adaptive evolution of this coastal gastropod.</t>
  </si>
  <si>
    <t>10.1086/703186</t>
  </si>
  <si>
    <t>Wang, X; Wang, WJ; Li, Z; Sun, GH; Xu, T; Xu, XH; Feng, YW; Luo, QH; Li, B; Yang, JM</t>
  </si>
  <si>
    <t>Comprehensive Analysis of Differentially Expressed mRNA, Non-coding RNA, and Their Competitive Endogenous RNA Network of Pacific Oyster Crassostrea gigas With Different Glycogen Content Between Different Environments</t>
  </si>
  <si>
    <t>Glycogen content is a quantitative trait, its phenotype differences are found between individual oysters due to genetic effects and environmental factors which were including food, water temperature, salinity, and so on. In this study, a full sibling family of Pacific oyster Crassostrea gigas showed different phenotypes with high and low glycogen content between South Huanghai Sea (Rizhao offshore area, RZ) and North Huanghai Sea (Kongtong Dao area, KTD), respectively. At the same time, the content of 11 glucogenic amino acids and 13 fatty acids were also significant differences between RZ and KTD. RNA-seq and small RNA-seq technologies were used for transcriptome sequencing and functional enrichment analysis of differentially expressed RNA were used by Gene Ontology (GO) and Kyoto Encyclopedia of Genes and Genomes (KEGG) pathway. A total of 2,084 mRNAs, 1,080 long non-coding RNAs (lncRNAs), 34 circular RNAs (circRNAs), and 7 microRNAs (miRNAs) were differentially expressed. Based on these differentially expressed genes (DEGs), miRNA target interactions (lncRNA/circRNA-miRNA pairs and miRNA-mRNA pairs) were predicted using the miRanda software. The differentially expressed mRNAs in this network were mainly shown to be involved in calcium signaling pathway and insulin signaling pathway. These findings could help to speculate that environmental factors may be epigenetically regulated by non-coding RNA in C. gigas, thereby further affecting glycogen content.</t>
  </si>
  <si>
    <t>OCT 28</t>
  </si>
  <si>
    <t>10.3389/fmars.2021.725628</t>
  </si>
  <si>
    <t>Kang, JL; Chung, AR; Suresh, S; Bonzi, LC; Sourisse, JM; Ramirez-Calero, S; Romeo, D; Petit-Marty, N; Pegueroles, C; Schunter, C</t>
  </si>
  <si>
    <t>Long non-coding RNAs mediate fish gene expression in response to ocean acidification</t>
  </si>
  <si>
    <t>The majority of the transcribed genome does not have coding potential but these non-coding transcripts play crucial roles in transcriptional and post-transcriptional regulation of protein-coding genes. Regulation of gene expression is important in shaping an organism's response to environmental changes, ultimately impacting their survival and persistence as population or species face global change. However, the roles of long non-coding RNAs (lncRNAs), when confronted with environmental changes, remain largely unclear. To explore the potential role of lncRNAs in fish exposed to ocean acidification (OA), we analyzed publicly available brain RNA-seq data from a coral reef fish Acanthochromis polyacanthus. We annotated the lncRNAs in its genome and examined the expression changes of intergenic lncRNAs (lincRNAs) between A. polyacanthus samples from a natural CO2 seep and a nearby control site. We identified 4728 lncRNAs, including 3272 lincRNAs in this species. Remarkably, 93.03% of these lincRNAs were species-specific. Among the 125 highly expressed lincRNAs and 403 differentially expressed lincRNAs in response to elevated CO2, we observed that lincRNAs were either neighboring or potentially trans-regulating differentially expressed coding genes associated with pH regulation, neural signal transduction, and ion transport, which are known to be important in the response to OA in fish. In summary, lncRNAs may facilitate fish acclimation and mediate the responses of fish to OA by modulating the expression of crucial coding genes, which offers insight into the regulatory mechanisms underlying fish responses to environmental changes.</t>
  </si>
  <si>
    <t>10.1111/eva.13655</t>
  </si>
  <si>
    <t>Huo, D; Sun, L; Sun, JC; Zhang, LB; Liu, SL; Su, F; Yang, HS</t>
  </si>
  <si>
    <t>Sea cucumbers in a high temperature and low dissolved oxygen world: Roles of miRNAs in the regulation of environmental stresses</t>
  </si>
  <si>
    <t>The exacerbation of global warming has driven changes in environmental factors, including water temperature and oxygen concentration. The sea cucumber Apostichopus japonicus, an economically important aquatic animal, is constantly and directly challenged by heat and hypoxia. In this study, 12 small RNA libraries were constructed for this species, and a total of 21, 26 and 22 differentially expressed (DE) miRNAs were clarified in A. japonicus under thermal (26 degrees C), hypoxic (2 mg/L) and the combined stresses. Comparative miRNA sequencing analysis and real-time PCR were used to identify and validate the representative miRNAs, including Aja-miR-novel-299, Aja-let-7b-3p, Aja-miR-71b-5p, Aja-miRnovel-13218 and Aja-miR-2004 in response to high temperature, and Aja-miR-92b-3p, Aja-miR-210-5p and Aja-miR-novel-26331 in response to oxygen limitation. GO and KEGG pathway analysis revealed that the potential target genes of DE-miRNAs involved in biosynthesis, metabolism, immunity, cell growth and death, translation and signaling transduction. Key DE-miRNAs with potentially targeted genes associated with heat shock and hypoxia response were also determined. These results may help explaining the role of miRNA regulation in stress resistance, as well as the potential molecular regulation mechanism of the echinoderm A. japonicus in the context of global warming. (C) 2020 Elsevier Ltd. All rights reserved.</t>
  </si>
  <si>
    <t>10.1016/j.envpol.2020.115509</t>
  </si>
  <si>
    <t>Xing, LL; Liu, SL; Zhang, LB; Yang, HS; Sun, LN</t>
  </si>
  <si>
    <t>Landscape and dynamics of accessible chromatin during pigmentation process in green, white and purple sea cucumber Apostichopus japonicus</t>
  </si>
  <si>
    <t>Cis-regulatory sequences, such as enhancers, control development and physiology by regulating gene expression. The identification and functional characterization of these distal regulatory elements remains challenging, especially in non-model aquatic organisms like sea cucumbers. Apostichopus japonicus, an important echinoderm species, exhibits diverse body colour. Pigmentation is an important stage of growth and development in this species, but the regulatory mechanism remains poorly understood, especially the extent to which epigenetic changes regulate pigmentation. Herein, we globally profiled chromatin accessibility using the assay for transposase-accessible chromatin sequencing technique during pigmentation in green, white and purple sea cucumbers. We have got 27, 817 peaks in total and discovered 1427 peaks showing differentially accessed DNA sites across the genome, which were categorized into four distinct clusters via unsupervised hierarchical clustering. Among three colour morphs, white sea cucumber exhibited the most extensive changes and the greatest differences from the other two colour morphs. Global increases in chromatin accessibility occur in the late pigmentation stage suggesting that active function in the late pigmentation stage drives body colour formation. The screened key cis-regulatory elements KIT, RPS6KB2 and IRF8 may contributed to the albinism, slow growth and poor disease resistance of white sea cucumber. In conclusion, our study provides a framework for understanding the accessible chromatin dynamics of body colour diversity during echinoderm pigmentation process and a new avenue to unravel the transcriptional regulatory mechanisms that facilitate the occurrence of relevant molecular events.</t>
  </si>
  <si>
    <t>10.1016/j.aqrep.2022.101040</t>
  </si>
  <si>
    <t>Weizman, EN; Tannenbaum, M; Tarrant, AM; Hakim, O; Levy, O</t>
  </si>
  <si>
    <t>Chromatin dynamics enable transcriptional rhythms in the cnidarian Nematostella vectensis</t>
  </si>
  <si>
    <t>Author summary The phenotype of an organism cannot be fully explained by its genome; it is now clear that other factors contribute to the ecology and evolution of animals. The DNA molecule is exceptionally long and has to fit into a small nucleus; therefore, the DNA is wound around proteins called histones in a unique architectural complex called a nucleosome (that further forms the chromatin). This DNA structure plays a crucial role in gene regulation, as nucleosomes alternate accessibility to regulatory sites, that in turn navigate expression patterns that allow gene expression or suppression. It is well known that chromatin remodeling is associated with circadian regulation in mammals, but it was uncertain whether cycles in chromatin accessibility are a conserved feature of clock-regulated genes throughout the animal kingdom. We used ATAC-seq and RNA-seq data to show that the association between chromatin remodeling and circadian regulation arose early in animal evolution as reflected in the sea anemone, Nematostella vectensis, model organism. In animals, circadian rhythms are driven by oscillations in transcription, translation, and proteasomal degradation of highly conserved genes, resulting in diel cycles in the expression of numerous clock-regulated genes. Transcription is largely regulated through the binding of transcription factors to cis-regulatory elements within accessible regions of the chromatin. Chromatin remodeling is linked to circadian regulation in mammals, but it is unknown whether cycles in chromatin accessibility are a general feature of clock-regulated genes throughout evolution. To assess this, we applied an ATAC-seq approach using Nematostella vectensis, grown under two separate light regimes (light:dark (LD) and constant darkness (DD)). Based on previously identified N. vectensis circadian genes, our results show the coupling of chromatin accessibility and circadian transcription rhythmicity under LD conditions. Out of 180 known circadian genes, we were able to list 139 gene promoters that were highly accessible compared to common promoters. Furthermore, under LD conditions, we identified 259 active enhancers as opposed to 333 active enhancers under DD conditions, with 171 enhancers shared between the two treatments. The development of a highly reproducible ATAC-seq protocol integrated with published RNA-seq and ChIP-seq databases revealed the enrichment of transcription factor binding sites (such as C/EBP, homeobox, and MYB), which have not been previously associated with circadian signaling in cnidarians. These results provide new insight into the regulation of cnidarian circadian machinery. Broadly speaking, this supports the notion that the association between chromatin remodeling and circadian regulation arose early in animal evolution as reflected in this non-bilaterian lineage.</t>
  </si>
  <si>
    <t>10.1371/journal.pgen.1008397</t>
  </si>
  <si>
    <t>Jensen, N; Allen, RM; Marshall, DJ</t>
  </si>
  <si>
    <t>Adaptive maternal and paternal effects: gamete plasticity in response to parental stress</t>
  </si>
  <si>
    <t>FUNCTIONAL ECOLOGY</t>
  </si>
  <si>
    <t>Transgenerational phenotypic plasticity is increasingly recognized as an important buffer of environmental change - many studies show that mothers alter the phenotype of their offspring so as to maximize their performance in their local environment. Fewer studies have examined the capacity of parents to alter the phenotype of their gametes to cope with environmental change. In organisms that shed their gametes externally, gametes are extremely vulnerable to local stresses and transgenerational plasticity in the phenotypes of gametes seems likely in this group. In a marine tubeworm, Hydroides diramphus, we manipulated the salinity environment that mothers and fathers experienced before reproduction and then examined the phenotype of their gametes, as well as the performance of those gametes and the resultant larvae in different salinities. We found strong evidence for gamete plasticity - both mothers and fathers adaptively adjust the phenotype of their gametes to maximize the performance of those gametes in the salinity regime experienced by their parents. Parents were quite flexible in the phenotype of gametes that they produced: they could switch the salinity tolerance of their gametes back and forth depending on their most recent experience. Gamete plasticity was not without risks, however. We observed strong trade-offs in performance when gametes experienced an environment that did not match that of their parents. These effects of the parental environment persist for the duration of the larval phase such that larvae may not be able to disperse to environments that do not match their parents. Gamete plasticity may therefore represent an important source of phenotype-environment mismatches. Gamete plasticity may represent an important mechanism for coping with environmental change and an important source of maternal and paternal effects in species with external fertilization. Studies that seek to predict the impacts of stresses that persist across generations (e.g. ocean acidification) should include parental exposures to the stress of interest.</t>
  </si>
  <si>
    <t>10.1111/1365-2435.12195</t>
  </si>
  <si>
    <t>Li, FJ; Fu, CP; Li, ZZ; Wang, AL</t>
  </si>
  <si>
    <t>MicroRNA transcriptome analysis of oriental river prawn Macrobrachium nipponense in responding to starvation stress</t>
  </si>
  <si>
    <t>Food deprivation or fasting is an important environmental factor, and a regular occurrence in both natural aquatic habitats and artificial ponds. However, the potential immunoregulatory mechanisms underlying starvation stress in crustaceans remain unclear. MicroRNAs (miRNAs) are a new class of non-coding RNAs that can regulate various biological processes, such as stress and immune responses. In the present work, miRNAs related to starvation stress responses and immune properties were identified and characterised in oriental river prawn Macrobrachium nipponense using high-throughput sequencing and bioinformatics analyses. Twelve small RNA libraries from hepatopancreas tissue were sequenced across four fasting stages lasting 0, 7, 14 or 21 days. In total, 550 miRNAs were identified including 198 putative novel miRNAs and 352 conserved miRNAs belonging to 57 families. Moreover, compared with expression levels at 0 days, 27, 27 and 43 miRNAs were differentially expressed (DE-miRNAs) at 7, 14 and 21 days, respectively. Among these, four DE-miRNAs (ame-miR-190-5p, dme-miR-307a-3p, hme-miR-2788-3p and novel_68) were co-expressed at all three timepoints. Furthermore, 661 target genes regulated by these DE-miRNAs were identified, and associated functional annotations were derived by GO enrichment and KEGG pathway analyses, which showed that most DE-miRNAs were mainly participated in metabolic processes and immune responses. Furthermore, 26 host DE-miRNAs potentially participated in interactions with white spot syndrome virus (WSSV) were identified by predicting and analysing target genes from WSSV. The further WSSV challenge under starvation stress showed that dme-miR-307a-3p played a part in the antiviral responses against WSSV. Our results demonstrate that dme-miR-307a-3p may play vital regulatory roles in responding to starvation stress and WSSV infection. The findings contribute new insight into the molecular mechanisms associated with immune responses to environmental stress in crustaceans.</t>
  </si>
  <si>
    <t>10.1016/j.cbd.2021.100820</t>
  </si>
  <si>
    <t>Arenas-Mena, C; Miljovska, S; Rice, EJ; Gurges, J; Shashikant, T; Wang, ZH; Ercan, S; Danko, CG</t>
  </si>
  <si>
    <t>Identification and prediction of developmental enhancers in sea urchin embryos</t>
  </si>
  <si>
    <t>Background The transcription of developmental regulatory genes is often controlled by multiple cis-regulatory elements. The identification and functional characterization of distal regulatory elements remains challenging, even in tractable model organisms like sea urchins. Results We evaluate the use of chromatin accessibility, transcription and RNA Polymerase II for their ability to predict enhancer activity of genomic regions in sea urchin embryos. ATAC-seq, PRO-seq, and Pol II ChIP-seq from early and late blastula embryos are manually contrasted with experimental cis-regulatory analyses available in sea urchin embryos, with particular attention to common developmental regulatory elements known to have enhancer and silencer functions differentially deployed among embryonic territories. Using the three functional genomic data types, machine learning models are trained and tested to classify and quantitatively predict the enhancer activity of several hundred genomic regions previously validated with reporter constructs in vivo. Conclusions Overall, chromatin accessibility and transcription have substantial power for predicting enhancer activity. For promoter-overlapping cis-regulatory elements in particular, the distribution of Pol II is the best predictor of enhancer activity in blastula embryos. Furthermore, ATAC- and PRO-seq predictive value is stage dependent for the promoter-overlapping subset. This suggests that the sequence of regulatory mechanisms leading to transcriptional activation have distinct relevance at different levels of the developmental gene regulatory hierarchy deployed during embryogenesis.</t>
  </si>
  <si>
    <t>OCT 19</t>
  </si>
  <si>
    <t>10.1186/s12864-021-07936-0</t>
  </si>
  <si>
    <t>Tian, Y; Shang, YP; Guo, R; Ding, J; Li, XY; Chang, YQ</t>
  </si>
  <si>
    <t>miR-10 involved in salinity-induced stress responses and targets TBC1D5 in the sea cucumber, Apostichopus japonicas</t>
  </si>
  <si>
    <t>The sea cucumber is an economically important aquaculture species in China, where it encounter hypo-saline conditions caused by freshwater outflow from rivers and rainfall. MicroRNAs (miRNA) are small noncoding RNAs of about 22 nucleotides, which are crucial regulators of gene expression at the post-transcriptional level and are involved in a variety of physiological and pathophysiological processes. miR-10 is differentially expressed in salinity acclimation, and has a seed-region match with TBC1D5. The expression profiles of miR-10 and TBC1D5 indicate that miR-10 negatively regulates the expression of TBC1D5 in coelomocytes and sea cucumbers with a miR-10 agomir or antagomir. During salinity acclimation, up-regulation of miR-10 was induced after transfection in coelomocytes with a miR-10 inhibitor, while down-regulation of TBC1D5 was induced. The miR-10 expression maximum in coelomocytes appeared at 48 h post-transfection with a miR-10 inhibitor, was later than that of in sea cucumbers, which appeared 24 h after miR-10 antagomir injection. There was no longer a negative relationship between miR-10 and TBC1D5 expression in coelomocytes and sea cucumbers with miR-10 mimics or agomir during salinity acclimation. The miR-10 antagomir or agomir only affected sodium and NKA enzyme activities, and has little effect on other chloride and potassium ions. Our results demonstrate miR-10 directly regulates TBC1D5 by targeting its 3'-UTR, and that miR-10 suppression substantially increases TBC1D5 mRNA levels in vivo and in vitro. Furthermore, miR-10 and TBC1D5 fluctuating expression patterns after treatment with a miR-10 inhibitor or mimics during salinity acclimation may indicate that they are required for adaptation to salinity stress caused by environmental change. Especially, the miR-10 up-regulation in coelomocytes with miR-10 inhibitor during salinity acclimation indicated that they are required for adaptation to salinity stress caused by environmental change. We propose that miR-10 participates in a regulatory circuit that allows for rapid gene program transitions in response to osmotic stress.</t>
  </si>
  <si>
    <t>10.1016/j.cbpb.2019.110406</t>
  </si>
  <si>
    <t>Weizman, E; Rinsky, M; Simon-Blecher, N; Lampert-Karako, S; Yaron, O; Tarrant, AM; Levy, O</t>
  </si>
  <si>
    <t>Chromatin Dynamics and Gene Expression Response to Heat Exposure in Field-Conditioned versus Laboratory-Cultured Nematostella vectensis</t>
  </si>
  <si>
    <t>Organisms' survival is associated with the ability to respond to natural or anthropogenic environmental stressors. Frequently, these responses involve changes in gene regulation and expression, consequently altering physiology, development, or behavior. Here, we present modifications in response to heat exposure that mimics extreme summertime field conditions of lab-cultured and field-conditioned Nematostella vectensis. Using ATAC-seq and RNA-seq data, we found that field-conditioned animals had a more concentrated reaction to short-term thermal stress, expressed as enrichment of the DNA repair mechanism pathway. By contrast, lab animals had a more diffuse reaction that involved a larger number of differentially expressed genes and enriched pathways, including amino acid metabolism. Our results demonstrate that pre-conditioning affects the ability to respond efficiently to heat exposure in terms of both chromatin accessibility and gene expression and reinforces the importance of experimentally addressing ecological questions in the field.</t>
  </si>
  <si>
    <t>10.3390/ijms22147454</t>
  </si>
  <si>
    <t>Mu, HW; Sun, J; Cheung, SG; Fang, L; Zhou, HY; Luan, TG; Zhang, HM; Wong, CKC; Qiu, JW</t>
  </si>
  <si>
    <t>Comparative proteomics and codon substitution analysis reveal mechanisms of differential resistance to hypoxia in congeneric snails</t>
  </si>
  <si>
    <t>JOURNAL OF PROTEOMICS</t>
  </si>
  <si>
    <t>Although high-throughput proteomics has been widely applied to study mechanisms of environmental adaptation, the conclusions from studies that are based on one species can be confounded by phylogeny. We compare the freshwater snail Pomacea canaliculata (a notorious invasive species) and its congener Pomacea diffuse (a no-ninvasive species) to understand the molecular mechanisms of their differential resistance to hypoxia. A 72-h acute exposure experiment showed that P. canaliculata is more tolerant to hypoxia than P. diffusa. The two species were then exposed to three levels of dissolved oxygen (6.7, 2.0 and 1.0 mg L-1) for 8 h, and their gill proteins were analyzed using iTRAQ-coupled LC-MS/MS. The two species showed striking differences in protein expression profiles, with the more hypoxia tolerant P. canaliculata having more up-regulated proteins in signal transduction and down-regulated proteins in glycolysis and the tricarboxylic acid cycle. Evolutionary analysis revealed five orthologous genes encoding differentially expressed proteins having clear signal of positive selection, indicating selection has acted on some of the hypoxia responsive genes. Our case study has highlighted the potential of integrated proteomics and comparative evolutionary analysis for understanding the genetic basis of adaptation to global environmental change in non-model species. Significance: Rapid globalization in recent decades has greatly facilitated species introduction around the world. Successfully established introduced species, so-called invasive species, have threatened the invaded ecosystems. There has been substantial interest in studying how invasive species respond to extreme environmental conditions because the results can help not only predict their range of expansion and manage their impact, but also may reveal the adaptive mechanisms underlying their invasiveness. Our study has adopted a comparative approach to study the differential physiological and proteomic responses of two congeneric snails to various hypoxic conditions, as well as codon substitution analysis at transcriptomic level to detect signals of positive selection in hypoxia-responsive genes. The integrated physiological, proteomic and transcriptomic approach can be applied in other non-model species to understand the molecular mechanisms of adaptation to global environmental change.</t>
  </si>
  <si>
    <t>FEB 10</t>
  </si>
  <si>
    <t>10.1016/j.jprot.2017.11.002</t>
  </si>
  <si>
    <t>Rothenberg, EV</t>
  </si>
  <si>
    <t>Fitting structure to function in gene regulatory networks</t>
  </si>
  <si>
    <t>HISTORY AND PHILOSOPHY OF THE LIFE SCIENCES</t>
  </si>
  <si>
    <t>Cascades of transcriptional regulation are the common source of the forward drive in all developmental systems. Increases in complexity and specificity of gene expression at successive stages are based on the collaboration of varied combinations of transcription factors already expressed in the cells to turn on new genes, and the logical relationships between the transcription factors acting and becoming newly expressed from stage to stage are best visualized as gene regulatory networks. However, gene regulatory networks used in different developmental contexts underlie processes that actually operate through different sets of rules, which affect the kinetics, synchronicity, and logical properties of individual network nodes. Contrasting early embryonic development in flies and sea urchins with adult mammalian hematopoietic development from stem cells, major differences are seen in transcription factor dosage dependence, the silencing or damping impacts of repression, and the impact of cellular regulatory history on the parts of the genome that are accessible to transcription factor action in a given cell type. These different features not only affect the kinds of models that can illuminate developmental mechanisms in the respective biological systems, but also reflect the evolutionary needs of these biological systems to optimize different aspects of development.</t>
  </si>
  <si>
    <t>10.1007/s40656-017-0164-z</t>
  </si>
  <si>
    <t>Luquet, E; Tariel, J</t>
  </si>
  <si>
    <t>Offspring reaction norms shaped by parental environment: interaction between within- and trans-generational plasticity of inducible defenses</t>
  </si>
  <si>
    <t>BMC EVOLUTIONARY BIOLOGY</t>
  </si>
  <si>
    <t>Background: Within-generational plasticity (WGP) and transgenerational plasticity (TGP) are mechanisms allowing rapid adaptive responses to fluctuating environments without genetic change. These forms of plasticity have often been viewed as independent processes. Recent evidence suggests that WGP is altered by the environmental conditions experienced by previous generations (i.e., TGP). In the context of inducible defenses, one of the most studied cases of plasticity, the WGP x TGP interaction has been poorly investigated. Results: We provide evidence that TGP can alter the reaction norms of inducible defenses in a freshwater snail. The WGP x TGP interaction patterns are trait-specific and lead to decreased slope of reaction norms (behaviour and shell thickness). Offspring from induced parents showed a higher predator avoidance behaviour and a thicker shell than snails from non-induced parents in no predator-cue environment while they reached similar defenses in predator-cue environment. The WGP x TGP interaction further lead to a switch from a plastic towards a constitutive expression of defenses for shell dimensions (flat reaction norm). Conclusions: WGP-alteration by TGP may shape the adaptive responses to environmental change and then has a substantial importance to understand the evolution of plasticity.</t>
  </si>
  <si>
    <t>OCT 12</t>
  </si>
  <si>
    <t>10.1186/s12862-016-0795-9</t>
  </si>
  <si>
    <t>Long non-coding RNA LncMPEG1 responds to multiple environmental stressors by affecting biomineralization in pearl oyster Pinctada fucata martensii</t>
  </si>
  <si>
    <t>Marine environmental change directly affects bivalve growth and survival. Exoskeleton formation, the main energy dissipation in the physiological metabolism, typically reflects the body growth of the bivalve. However, how bivalves regulate the biomineralization of the exoskeleton under environmental stressors is not yet clear. Long non-coding RNA regulates various life processes through complex mechanisms in vertebrates and invertebrates. In this research, we cloned the complete sequence of a mantle-specific expressed long non-coding RNA (designated as LncMPEG1) from a pearl oyster, Pinctada fucata martensii. A quantitative real-time PCR analysis showed that LncMPEG1 expression was significantly high in early umbo larvae and juveniles, which would be the critical periods of shell development. LncMPEG1 was identified in the outer epithelium of the middle fold from the mantle edge, mantle pallial, and mantle center by using in situ hybridization. Additionally, the expression of LncMPEG1 was stimulated by shell damage, alien invasion, heat and cold temperature stress, and hypoxia stress. In the mantle, a decreased in LncMPEG1 expression was detected by RNA interference, which can cause the irregular growth of crystals on the inner surface of the prismatic layer and nacre in the shells. Therefore, we propose that LncMPEG1 could be a key regulator in biomineralization and responds to environmental stress in the mantle .</t>
  </si>
  <si>
    <t>SEP 26</t>
  </si>
  <si>
    <t>10.3389/fmars.2022.1014810</t>
  </si>
  <si>
    <t>Rodriguez-Casariego, JA; Mercado-Molina, A; Lemos, LS; Quinete, NS; Bellantuono, A; Rodriguez-Lanetty, M; Sabat, A; Eirin-Lopez, JM</t>
  </si>
  <si>
    <t>Multi-omic characterization of mechanisms contributing to rapid phenotypic plasticity in the coral Acropora cervicornis under divergent environments</t>
  </si>
  <si>
    <t>Phenotypic plasticity is defined as a property of individual genotypes to produce different phenotypes when exposed to different environmental conditions. This ability may be expressed at behavioral, biochemical, physiological, and/or developmental levels, exerting direct influence over species' demographic performance. In reef-building corals, a group critically threatened by global change in the Anthropocene, non-genetic mechanisms (i.e., epigenetic and microbiome variation) have been shown to participate in plastic physiological responses to environmental change. Yet, the precise way in which these mechanisms interact, contribute to such responses, and their adaptive potential is still obscure. The present work aims to fill this gap by using a multi-omics approach to elucidate the contribution and interconnection of the mechanisms modulating phenotypic plasticity in staghorn coral (Acropora cervicornis) clones subject to different depth conditions. Results show changes in lipidome, epigenome and transcriptome, but not in symbiotic and microbial communities. In addition, a potential shift toward a more heterotrophic feeding behavior was evidenced in corals at the deeper site. These observations are consistent with a multi-mechanism modulation of rapid acclimation in corals, underscoring the complexity of this process and the importance of a multifactorial approach to inform potential intervention to enhance coral adaptive capacity.</t>
  </si>
  <si>
    <t>10.1007/s00338-023-02446-9</t>
  </si>
  <si>
    <t>García-Souto, D; Pasantes, JJ</t>
  </si>
  <si>
    <t>Cytogenetics in Arctica islandica (Bivalvia, Arctidae): the Longest Lived Non-Colonial Metazoan</t>
  </si>
  <si>
    <t>Due to its extraordinary longevity and wide distribution, the ocean quahog Arctica islandica has become an important species model in both aging and environmental change research. Notwithstanding that, most genetic studies on ocean quahogs have been focused on fishery related, phylogeographic and phylogenetic aspects but nothing is known about their chromosomes. In this work, the chromosomes of the ocean quahog Arctica islandica were analysed by means of 4,6-diamidino-2-phenylindole (DAPI)/propidium iodide (PI) staining and fluorescent in situ hybridization (FISH) with rDNA, histone gene and telomeric probes. Whilst both 5S rDNA and 45S rDNA were clustered at single subcentromeric locations on the long arms of chromosome pairs 2 and 12, respectively, histone gene clusters located on the short arms of chromosome pairs 7, 10 and 17. As happens with most bivalves, the location of the vertebrate type telomeric sequence clusters was restricted to chromosome ends. The knowledge of the karyotype can facilitate the anchoring of genomic sequences to specific chromosome pairs in this species.</t>
  </si>
  <si>
    <t>10.3390/genes9060299</t>
  </si>
  <si>
    <t>Davidson, PL; Guo, HB; Swart, JS; Massri, AJ; Edgar, A; Wang, LY; Berrio, A; Devens, HR; Koop, D; Cisternas, P; Zhang, H; Zhang, YL; Byrne, M; Fan, GY; Wray, GA</t>
  </si>
  <si>
    <t>Recent reconfiguration of an ancient developmental gene regulatory network in Heliocidaris sea urchins</t>
  </si>
  <si>
    <t>NATURE ECOLOGY &amp; EVOLUTION</t>
  </si>
  <si>
    <t>Changes in developmental gene regulatory networks (dGRNs) underlie much of the diversity of life, but the evolutionary mechanisms that operate on regulatory interactions remain poorly understood. Closely related species with extreme phenotypic divergence provide a valuable window into the genetic and molecular basis for changes in dGRNs and their relationship to adaptive changes in organismal traits. Here we analyse genomes, epigenomes and transcriptomes during early development in two Heliocidaris sea urchin species that exhibit highly divergent life histories and in an outgroup species. Positive selection and chromatin accessibility modifications within putative regulatory elements are enriched on the branch leading to the derived life history, particularly near dGRN genes. Single-cell transcriptomes reveal a dramatic delay in cell fate specification in the derived state, which also has far fewer open chromatin regions, especially near conserved cell fate specification genes. Experimentally perturbing key transcription factors reveals profound evolutionary changes to early embryonic patterning events, disrupting regulatory interactions previously conserved for similar to 225 million years. These results demonstrate that natural selection can rapidly reshape developmental gene expression on a broad scale when selective regimes abruptly change. More broadly, even highly conserved dGRNs and patterning mechanisms in the early embryo remain evolvable under appropriate ecological circumstances.</t>
  </si>
  <si>
    <t>10.1038/s41559-022-01906-9</t>
  </si>
  <si>
    <t>Ruggeri, M; Zhang, YQ; Aglyamova, GV; Kenkel, CD</t>
  </si>
  <si>
    <t>Divergent transcriptional response to thermal stress among life stages could constrain coral adaptation to climate change</t>
  </si>
  <si>
    <t>The ability for adaptation to track environmental change depends on how efficiently selection can act on heritable genetic variation. Complex life cycles may promote or constrain adaptation depending on the integration or independence of fitness-related traits over development. Reef-building corals exhibit life cycle complexity and are sensitive to increasing temperatures, highlighting the need to understand heritable potential of the thermal stress response and its developmental regulation. We used tag-based RNA-seq to profile holobiont gene expression of inshore and offshore Porites astreoides adults and recruit offspring in response to a 16-day heat stress, and larvae in response to a 4-day heat stress. Host developmental stage affected both broad patterns of host and symbiont expression, and modulated the stress response in both partners, suggesting that symbiotic interactions could vary between host developmental stages and influence the thermal stress response. Populations also exhibited origin-specific treatment responses, but response magnitude differed among life-stages. Inshore parents and recruit offspring exhibited a more robust stress response, exhibiting greater expression profile divergence and differentially expressing more genes compared to offshore-origin corals. This suggests genetic or epigenetic inheritance of regulatory mechanisms giving rise to expression plasticity, although ontogenetic plasticity as a result of the local reef environment during larval development could also explain the origin effect. However, larval populations exhibited the opposite response, with offshore larvae exhibiting a more robust stress response, possibly due to stage-specific effects or exposure duration. Overall, these results show that putatively adaptive regulatory variation persists in thermally naive life stages, but thermally responsive genes are stage-specific, which could complicate the evolutionary response of corals to climate change.</t>
  </si>
  <si>
    <t>JUL 11</t>
  </si>
  <si>
    <t>10.3389/fmars.2023.1163552</t>
  </si>
  <si>
    <t>Hammer, MP; Whiterod, NS; Grandjean, F; Tromp, JJ; Horner, SK; Austin, CM</t>
  </si>
  <si>
    <t>Rediscovery, systematics and conservation of an enigmatic freshwater crayfish (Parastacidae) from the Australian monsoon tropics</t>
  </si>
  <si>
    <t>AQUATIC CONSERVATION-MARINE AND FRESHWATER ECOSYSTEMS</t>
  </si>
  <si>
    <t>Freshwater wetlands are among the world's most valuable ecosystems, supporting diverse biota and critical ecological services, yet these habitats have suffered extensive and pervasive anthropogenic disturbance. Northern Australia represents a rare example of a relatively unmodified, vast wetland habitat. The freshwater crayfishes of the region are poorly documented, with one enigmatic species, the nutcracker yabby Cherax nucifraga, described from a single individual sampled opportunistically from the stomach of a predatory fish. Here we report on the rediscovery of C. nucifraga from a relatively limited distribution in semi-permanent coastal freshwater wetlands. Field studies were conducted to inform natural resource management and conservation. Genome skimming to recover mitogenomes, 18S-28S and histone sequences demonstrated a sister relationship with two congeners from the tropics, and moderate molecular genetic substructure was apparent within C. nucifraga between mainland and Melville Island locations. Cherax nucifraga is characterised by the presence of a strawberry-coloured soft patch on the outer margin of the claw, uniquely present in both mature males and females. Meristic and multivariate morphometric comparisons are made with the co-occurring redclaw Cherax quadricarinatus and the allopatric whiteclaw yabby Cherax bicarinatus, with a summary of diagnostic traits developed into a visual guide and key. Programs to further understand ecology, threats and traditional ecological knowledge will help to inform the future conservation management of the species in the face of increasing development and environmental change to northern Australian coastal freshwater wetlands. Specific conservation actions include identifying and protecting refuge habitats and preventing incursions by other Cherax species.</t>
  </si>
  <si>
    <t>10.1002/aqc.4172</t>
  </si>
  <si>
    <t>Han, LS; Wu, YL; Hao, PF; Ding, BC; Li, YX; Wang, WP; Zhang, XL; Gao, C; Wang, H; Wang, L; Zhang, WJ; Chang, YQ; Ding, DW; Ding, J</t>
  </si>
  <si>
    <t>Sea Urchins in Acute High Temperature and Low Oxygen Environments: The Regulatory Role of microRNAs in Response to Environmental Stress</t>
  </si>
  <si>
    <t>Strongylocentrotus intermedius is an economically valuable sea urchin species in China. However, its growth and survival are severely constrained by ocean warming and the hypoxia that often accompanies high water temperatures. MicroRNAs (miRNAs) are important regulators of gene expression in response to environmental change. In this study, high-throughput RNA sequencing was used to investigate changes in miRNA expression in S. intermedius under heat (25 degrees C), hypoxia (2 mg/L O-2), and combined heat and hypoxia stresses. Twelve small RNAs libraries were constructed and 17, 14, and 23 differentially expressed miRNAs (DEMs) were identified in the heat, hypoxia, and combined stress groups (P&lt;0.05), respectively. Gene ontology and Kyoto Encyclopedia of Genes and Genomes pathway functional analyses of putative target genes of the DEMs suggested that these miRNAs were important in basal metabolism, apoptosis, oxidative stress, and immune-related pathways. By co-analysis with published transcriptome data, key DEMs (miR-193, miR-184, miR-133, miR-125, miR-2008) and their key target genes (EGF3, ABCB4, CYCL, PAN2, CALN) were identified. Quantitative real-time PCR analysis of the expression of 10 DEMs and their key target genes confirmed the RNA sequencing results. These results provide information on gene expression regulation of the molecular mechanisms underlying the response of S. intermedius to multi-cause environmental stresses.</t>
  </si>
  <si>
    <t>JUN 30</t>
  </si>
  <si>
    <t>10.3389/fmars.2022.930156</t>
  </si>
  <si>
    <t>Granados-Cifuentes, C; Bellantuono, AJ; Ridgway, T; Hoegh-Guldberg, O; Rodriguez-Lanetty, M</t>
  </si>
  <si>
    <t>High natural gene expression variation in the reef-building coral Acropora millepora: potential for acclimative and adaptive plasticity</t>
  </si>
  <si>
    <t>Background: Ecosystems worldwide are suffering the consequences of anthropogenic impact. The diverse ecosystem of coral reefs, for example, are globally threatened by increases in sea surface temperatures due to global warming. Studies to date have focused on determining genetic diversity, the sequence variability of genes in a species, as a proxy to estimate and predict the potential adaptive response of coral populations to environmental changes linked to climate changes. However, the examination of natural gene expression variation has received less attention. This variation has been implicated as an important factor in evolutionary processes, upon which natural selection can act. Results: We acclimatized coral nubbins from six colonies of the reef-building coral Acropora millepora to a common garden in Heron Island (Great Barrier Reef, GBR) for a period of four weeks to remove any site-specific environmental effects on the physiology of the coral nubbins. By using a cDNA microarray platform, we detected a high level of gene expression variation, with 17% (488) of the unigenes differentially expressed across coral nubbins of the six colonies (jsFDR-corrected, p &lt; 0.01). Among the main categories of biological processes found differentially expressed were transport, translation, response to stimulus, oxidation-reduction processes, and apoptosis. We found that the transcriptional profiles did not correspond to the genotype of the colony characterized using either an intron of the carbonic anhydrase gene or microsatellite loci markers. Conclusion: Our results provide evidence of the high inter-colony variation in A. millepora at the transcriptomic level grown under a common garden and without a correspondence with genotypic identity. This finding brings to our attention the importance of taking into account natural variation between reef corals when assessing experimental gene expression differences. The high transcriptional variation detected in this study is interpreted and discussed within the context of adaptive potential and phenotypic plasticity of reef corals. Whether this variation will allow coral reefs to survive to current challenges remains unknown.</t>
  </si>
  <si>
    <t>APR 8</t>
  </si>
  <si>
    <t>10.1186/1471-2164-14-228</t>
  </si>
  <si>
    <t>Jeremias, G; Barbosa, J; Marques, SM; De Schamphelaere, KAC; Van Nieuwerburgh, F; Deforce, D; Gonçalves, FJM; Pereira, JL; Asselman, J</t>
  </si>
  <si>
    <t>Transgenerational Inheritance of DNA Hypomethylation in Daphnia magna in Response to Salinity Stress</t>
  </si>
  <si>
    <t>Epigenetic mechanisms have been found to play important roles in environmental stress response and regulation. These can, theoretically, be transmitted to future unexposed generations, yet few studies have shown persisting stress-induced transgenerational effects, particularly in invertebrates. Here, we focus on the aquatic microcrustacean Daphnia, a parthenogenetic model species, and its response to salinity stress. Salinity is a serious threat to freshwater ecosystems and a relevant form of environmental perturbation affecting freshwater ecosystems. We exposed one generation of D. magna to high levels of salinity (F0) and found that the exposure provoked specific methylation patterns that were transferred to the three consequent nonexposed generations (F1, F2, and F3). This was the case for the hypomethylation of six protein-coding genes with important roles in the organisms' response to environmental change: DNA damage repair, cytoskeleton organization, and protein synthesis. This suggests that epigenetic changes in Daphnia are particularly targeted to genes involved in coping with general cellular stress responses. Our results highlight that epigenetic marks are affected by environmental stressors and can be transferred to subsequent unexposed generations. Epigenetic marks could therefore prove to be useful indicators of past or historic pollution in this parthenogenetic model system. Furthermore, no life history costs seem to be associated with the maintenance of hypomethylation across unexposed generations in Daphnia following a single stress exposure.</t>
  </si>
  <si>
    <t>SEP 4</t>
  </si>
  <si>
    <t>10.1021/acs.est.8b03225</t>
  </si>
  <si>
    <t>Han, LS; Hao, PF; Wang, WP; Wu, YL; Ruan, SC; Gao, C; Tian, WR; Tian, Y; Li, XN; Wang, L; Zhang, WJ; Wang, H; Chang, YQ; Ding, J</t>
  </si>
  <si>
    <t>Molecular mechanisms that regulate the heat stress response in sea urchins (Strongylocentrotus intermedius) by comparative heat tolerance performance and whole-transcriptome RNA sequencing</t>
  </si>
  <si>
    <t>In the context of climate change and extreme high temperature, the commercially important sea urchin Strongylocentrotus intermedius suffers high mortality during summer in Northern China. How sea urchins respond to high temperatures is of great concern to academia and industry. How to understand the heat tolerance of sea urchin from the whole transcriptome level. In this study, the heat-resistant S. intermedius bred by our team and its control group were used as the research objects, then we applied whole-transcriptome RNA sequencing to detect differentially expressed mRNAs, microRNAs, long noncoding RNAs that respond to heat stress in the heat resistant and control S. intermedius. A competitive endogenous RNA (ceRNA) regulatory network was constructed with predicted pairs of differentially expressed mRNAs and noncoding RNAs and revealed the molecular regulatory mechanisms in S. intermedius responding to heat stress. A functional analysis suggested that the ceRNAs were involved in basal metabolism, calcium ion transport, endoplasmic reticulum stress, and apoptosis. This is the whole-transcriptomic analysis of S. intermedius under heat stress to propose ceRNA networks that will provide a basis for studying the potential functions of long noncoding RNAs and miRNAs in the heat stress response in S. intermedius and provide a theoretical basis for the study of the molecular mechanism of sea urchins in response to environmental changes.</t>
  </si>
  <si>
    <t>NOV 25</t>
  </si>
  <si>
    <t>10.1016/j.scitotenv.2023.165846</t>
  </si>
  <si>
    <t>Liew, YJ; Aranda, M; Carr, A; Baumgarten, S; Zoccola, D; Tambutte, S; Allemand, D; Micklem, G; Voolstra, CR</t>
  </si>
  <si>
    <t>Identification of MicroRNAs in the Coral Stylophora pistillata</t>
  </si>
  <si>
    <t>Coral reefs are major contributors to marine biodiversity. However, they are in rapid decline due to global environmental changes such as rising sea surface temperatures, ocean acidification, and pollution. Genomic and transcriptomic analyses have broadened our understanding of coral biology, but a study of the microRNA (miRNA) repertoire of corals is missing. miRNAs constitute a class of small non-coding RNAs of similar to 22 nt in size that play crucial roles in development, metabolism, and stress response in plants and animals alike. In this study, we examined the coral Stylophora pistillata for the presence of miRNAs and the corresponding core protein machinery required for their processing and function. Based on small RNA sequencing, we present evidence for 31 bona fide microRNAs, 5 of which (miR-100, miR-2022, miR-2023, miR-2030, and miR-2036) are conserved in other metazoans. Homologues of Argonaute, Piwi, Dicer, Drosha, Pasha, and HEN1 were identified in the transcriptome of S. pistillata based on strong sequence conservation with known RNAi proteins, with additional support derived from phylogenetic trees. Examination of putative miRNA gene targets indicates potential roles in development, metabolism, immunity, and biomineralisation for several of the microRNAs. Here, we present first evidence of a functional RNAi machinery and five conserved miRNAs in S. pistillata, implying that miRNAs play a role in organismal biology of scleractinian corals. Analysis of predicted miRNA target genes in S. pistillata suggests potential roles of miRNAs in symbiosis and coral calcification. Given the importance of miRNAs in regulating gene expression in other metazoans, further expression analyses of small non-coding RNAs in transcriptional studies of corals should be informative about miRNA-affected processes and pathways.</t>
  </si>
  <si>
    <t>MAR 21</t>
  </si>
  <si>
    <t>10.1371/journal.pone.0091101</t>
  </si>
  <si>
    <t>Monteiro, HJA; Brahmi, C; Mayfield, AB; Vidal-Dupiol, J; Lapeyre, B; Le Luyer, J</t>
  </si>
  <si>
    <t>Molecular mechanisms of acclimation to long-term elevated temperature exposure in marine symbioses</t>
  </si>
  <si>
    <t>Seawater temperature rise in French Polynesia has repeatedly resulted in the bleaching of corals and giant clams. Because giant clams possess distinctive ectosymbiotic features, they represent a unique and powerful model for comparing molecular pathways involved in (a) maintenance of symbiosis and (b) acquisition of thermotolerance among coral reef organisms. Herein, we explored the physiological and transcriptomic responses of the clam hosts and their photosynthetically active symbionts over a 65 day experiment in which clams were exposed to either normal or environmentally relevant elevated seawater temperatures. Additionally, we used metabarcoding data coupled with in situ sampling/survey data to explore the relative importance of holobiont adaptation (i.e., a symbiont community shift) versus acclimation (i.e., physiological changes at the molecular level) in the clams' responses to environmental change. We finally compared transcriptomic data to publicly available genomic datasets for Symbiodiniaceae dinoflagellates (both cultured and in hospite with the coral Pocillopora damicornis) to better tease apart the responses of both hosts and specific symbiont genotypes in this mutualistic association. Gene module preservation analysis revealed that the function of the symbionts' photosystem II was impaired at high temperature, and this response was also found across all holobionts and Symbiodiniaceae lineages examined. Similarly, epigenetic modulation appeared to be a key response mechanism for symbionts in hospite with giant clams exposed to high temperatures, and such modulation was able to distinguish thermotolerant from thermosensitive Cladocopium goreaui ecotypes; epigenetic processes may, then, represent a promising research avenue for those interested in coral reef conservation in this era of changing global climate.</t>
  </si>
  <si>
    <t>10.1111/gcb.14907</t>
  </si>
  <si>
    <t>Venkataraman, YR; Huffmyer, AS</t>
  </si>
  <si>
    <t>Interrogating Metabolic Plasticity in Marine Organisms: A Framework for Best Practices Using Metabolomic and Lipidomic Approaches</t>
  </si>
  <si>
    <t>Understanding the mechanisms that underlie resilience in marine invertebrates is critical as climate change and human impacts transform coastal ecosystems. Metabolic plasticity, or an organism's capacity to modulate energy production, allocation, and use, plays a central role in mediating resilience under environmental stress. While research on marine invertebrate stress responses has grown, integrative studies that examine metabolic plasticity by connecting molecular, physiological, and organismal scales remain limited. In this Perspective, we advocate for the rigorous and thoughtful use of metabolomic and lipidomic approaches to understand resilience in marine systems through the lens of metabolic plasticity. We provide recommendations for experimental design, summarize current methodologies, and provide an overview of commonly used data analysis approaches. Advances in other molecular approaches such as genomics, epigenomics, and transcriptomics can be harnessed to further explore stress responses through multi-omic integrative analyses. As quantitative integrative analysis remains limited in marine fields, we call for a stronger integration of molecular, metabolomic, physiological, and organismal data sets to link mechanisms to phenotypes. We explore the use of these approaches in studies of marine invertebrates and highlight promising areas of multi-omic research that deserve exploration. By embracing metabolic complexity and scaling from molecules to phenotypes, we suggest that the marine invertebrate research community will be better equipped to understand, anticipate, and mitigate the impacts of environmental change on marine ecosystems.</t>
  </si>
  <si>
    <t>10.1093/icb/icaf138</t>
  </si>
  <si>
    <t>Ge, LF; Wei, Y; Ye, ZQ; Jiang, ZJ; Liu, YT; Wang, YB; Xu, XW; Wang, JX; Yang, JW; Sun, LA; Wang, TM</t>
  </si>
  <si>
    <t>Non-coding RNA regulatory networks underlying intestinal degradation in Apostichopus japonicus under starvation stress: Insights from transcriptome analysis</t>
  </si>
  <si>
    <t>INTERNATIONAL JOURNAL OF BIOLOGICAL MACROMOLECULES</t>
  </si>
  <si>
    <t>Starvation stress is one of the most common environmental challenges faced by aquatic animals, often leading to compensatory growth, a widespread phenomenon in the animal kingdom, especially among aquatic species. The sea cucumber (Apostichopus japonicus), a key marine economic species in China, has been shown to utilize long non-coding RNAs (lncRNAs) in responding to environmental changes, pathogen infections, and tissue regeneration. In this study, strand-specific high-throughput sequencing was employed to analyze transcriptomic data from degenerated intestines of A. japonicus under starvation conditions. High-quality lncRNAs were identified and classified, and key differentially expressed mRNAs and lncRNAs associated with intestinal degradation were screened. A gene interaction network model based on the competing endogenous RNA (ceRNA) theory was then constructed. The analysis revealed that the AjSOX9/Aja-miR-2012-5p/MSTRG.2956.1 and MSTRG.5699.1 axes, as well as the AjWNT9B/Aja-miR-200-3p/MSTRG.19757.1 and MSTRG.21788.1 axes, play significant roles in degraded intestines and may promote intestinal regeneration during compensatory growth. Additionally, the AjFABP2/Aja-miR-9-5p/MSTRG.9667.1 axis appears to regulate energy metabolism under starvation stress. These findings provide valuable insights into the non-coding gene regulatory networks in invertebrates under starvation stress and offer a scientific foundation for developing stress-resistant sea cucumber strains, contributing to the sustainable development of the sea cucumber aquaculture industry.</t>
  </si>
  <si>
    <t>10.1016/j.ijbiomac.2025.142069</t>
  </si>
  <si>
    <t>Li, C; Wang, HY; Guo, XM</t>
  </si>
  <si>
    <t>Regulation of the Cell Cycle, Apoptosis, and Proline Accumulation Plays an Important Role in the Stress Response of the Eastern Oyster Crassostrea Virginica</t>
  </si>
  <si>
    <t>BackgroundUnderstanding how organisms respond and adapt to environmental changes is central to evolutionary biology. As a sessile organism that has adapted to life in estuaries and intertidal zones, the eastern oyster Crassostrea virginica can tolerate wide fluctuations in temperature and salinity and survive for weeks out of water. To understand the molecular mechanisms underlying the remarkable stress tolerance of the eastern oyster, we studied the transcriptomic changes induced by exposure to air and cold stress. Eastern oysters were maintained for 7 days under four conditions, namely, in seawater (normal) at 22 degrees C, in air at 22 degrees C, in seawater at 5 degrees C and in air at 5 degrees C, and then sampled for RNA sequencing. ResultsTranscriptomic analysis revealed that many genes involved in cell cycle progression and DNA replication were downregulated in oysters exposed to air and cold, which indicates that stress inhibits cell division. Exposure to air at 22 degrees C induced a concerted inhibition of apoptosis through the upregulation of expanded inhibitors of apoptosis and the downregulation of caspases. Interactions between TNF and NF-kappa B signalling implied a reduction in the inflammatory response and immune functions. Key genes for proline production, fatty acid synthesis and chromosomal proteins were upregulated during exposure to low temperatures, which suggested that proline accumulation, energy conservation, and epigenetic modification of chromosomes are important for coping with cold stress. The upregulation of melatonin, FMRFamide, and neural acetylcholine receptors indicate the significance of the neurohormonal regulation of homeostasis. ConclusionThese results show that air exposure and cold stress alter the expression of key genes for cell division, apoptosis, proline accumulation, fatty acid metabolism, neurohormonal signalling, and epigenetic modifications, suggesting regulation of these processes plays an important role in the stress response of the eastern oyster and possibly other marine molluscs. This study provides new insights into molecular mechanisms of stress response that are essential for understanding the adaptive potential of marine organisms under climate change.</t>
  </si>
  <si>
    <t>JUN 17</t>
  </si>
  <si>
    <t>10.3389/fmars.2022.921877</t>
  </si>
  <si>
    <t>D'Alessio, S; Buckley, KM; Kraev, I; Hayes, P; Lange, S</t>
  </si>
  <si>
    <t>Extracellular Vesicle Signatures and Post-Translational Protein Deimination in Purple Sea Urchin (Strongylocentrotus purpuratus) Coelomic Fluid-Novel Insights into Echinodermata Biology</t>
  </si>
  <si>
    <t>Simple Summary The purple sea urchin (Strongylocentrotus purpuratus) is a marine invertebrate that populates the east side of the Pacific Ocean from Mexico to Alaska, inhabiting intertidal and near-shore subtidal waters. Due to their ancient relationship with vertebrates, sea urchins are an important research model for developmental biology, cell biology, and immunology, as well as for understanding regenerative responses and ageing. This study assessed a specific protein modification called deimination/citrullination, which can alter protein function, allowing proteins to take on multiple and variable roles in different processes related to health and disease. This study also identified how extracellular vesicles, which are lipid blebs released from cells that participate in key processes for cell communication in health and disease, can carry proteins, including such modified protein cargo. This study may furthermore provide a platform for novel biomarker development to assess sea urchin health, which could be further applied, including for the monitoring of environmental changes. The purple sea urchin (Strongylocentrotus purpuratus) is a marine invertebrate of the class Echinoidea that serves as an important research model for developmental biology, cell biology, and immunology, as well as for understanding regenerative responses and ageing. Peptidylarginine deiminases (PADs) are calcium-dependent enzymes that mediate post-translational protein deimination/citrullination. These alterations affect protein function and may also play roles in protein moonlighting. Extracellular vesicles (EVs) are membrane-bound vesicles that are released from cells as a means of cellular communication. Their cargo includes a range of protein and RNA molecules. EVs can be isolated from many body fluids and are therefore used as biomarkers in physiological and pathological responses. This study assessed EVs present in the coelomic fluid of the purple sea urchin (Strongylocentrotus purpuratus), and identified both total protein cargo as well as the deiminated protein cargo. Deiminated proteins in coelomic fluid EVs were compared with the total deiminated proteins identified in coelomic fluid to assess putative differences in deiminated protein targets. Functional protein network analysis for deiminated proteins revealed pathways for immune, metabolic, and gene regulatory functions within both total coelomic fluid and EVs. Key KEGG and GO pathways for total EV protein cargo furthermore showed some overlap with deimination-enriched pathways. The findings presented in this study add to current understanding of how post-translational deimination may shape immunity across the phylogeny tree, including possibly via PAD activity from microbiota symbionts. Furthermore, this study provides a platform for research on EVs as biomarkers in sea urchin models.</t>
  </si>
  <si>
    <t>10.3390/biology10090866</t>
  </si>
  <si>
    <t>Lee, YH; Kang, HM; Kim, MS; Lee, JS; Wang, MH; Hagiwara, A; Jeong, CB; Lee, JS</t>
  </si>
  <si>
    <t>Multigenerational Mitigating Effects of Ocean Acidification on In Vivo Endpoints, Antioxidant Defense, DNA Damage Response, and Epigenetic Modification in an Asexual Monogonont Rotifer</t>
  </si>
  <si>
    <t>Ocean acidification (OA) is caused by changes in ocean carbon chemistry due to increased atmospheric pCO(2) and is predicted to have deleterious effects on marine ecosystems. While the potential impacts of OA on many marine species have been studied, the multigenerational effects on asexual organisms remain unknown. We found that low seawater pH induced oxidative stress and DNA damage, decreasing growth rates, fecundity, and lifespans in the parental generation, whereas deleterious effects on in vivo endpoints in F1 and F2 offspring were less evident. The findings suggest that multigenerational adaptive effects play a role in antioxidant abilities and other defense mechanisms. OA-induced DNA damage, including double-strand breaks (DSBs), was fully repaired in F1 offspring of parents exposed to OA for 7 days, indicating that an adaptation mechanism may be the major driving force behind multigenerational adaptive effects. Analysis of epigenetic modification in response to OA involved examination of histone modification of DNA repair genes and a chromatin immunoprecipitation assay, as Bornbus koreanus has no methylation pattern for CpG in its genome. We conclude that DSBs, DNA repair, and histone modification play important roles in multigenerational plasticity in response to OA in an asexual monogonont rotifer.</t>
  </si>
  <si>
    <t>JUL 7</t>
  </si>
  <si>
    <t>10.1021/acs.est.0c01438</t>
  </si>
  <si>
    <t>Duncan, EM; Allis, CD</t>
  </si>
  <si>
    <t>Errors in Erasure: Links Between Histone Lysine Methylation Removal and Disease</t>
  </si>
  <si>
    <t>EPIGENETICS AND DISEASE: PHARMACEUTICAL OPPORTUNITIES</t>
  </si>
  <si>
    <t>Many studies have demonstrated that covalent histone modifications are dynamically regulated to cause both chemical and physical changes to the chromatin template. Such changes in the chromatin template lead to biologically significant consequences, including differential gene expression. Histone lysine methylation, in particular, has been shown to correlate with gene expression both positively and negatively, depending on the specific site and degree (i.e., mono-, di-, or tri-) of methylation within the histone sequence. Although genetic alterations in the proteins that establish, or write, methyl modifications and their effect in various human pathologies have been documented, connections between the misregulation of proteins that remove, or erase, histone methylation and disease have emerged more recently. Here we discuss three mechanisms through which histone methylation can be removed from the chromatin template. We describe how these erasure mechanisms are linked to pathways that are known to be misregulated in diseases, such as cancer. We further describe how errors in the removal of histone methylation can and do lead to human pathologies, both directly and indirectly.</t>
  </si>
  <si>
    <t>10.1007/978-3-7643-8989-5_4</t>
  </si>
  <si>
    <t>Jiang, F; Liu, Q; Wang, YL; Zhang, J; Wang, HM; Song, TQ; Yang, ML; Wang, XH; Kang, L</t>
  </si>
  <si>
    <t>Comparative genomic analysis of SET domain family reveals the origin, expansion, and putative function of the arthropod-specific SmydA genes as histone modifiers in insects</t>
  </si>
  <si>
    <t>GIGASCIENCE</t>
  </si>
  <si>
    <t>The SET domain is an evolutionarily conserved motif present in histone lysine methyltransferases, which are important in the regulation of chromatin and gene expression in animals. In this study, we searched for SET domain-containing genes (SET genes) in all of the 147 arthropod genomes sequenced at the time of carrying out this experiment to understand the evolutionary history by which SET domains have evolved in insects. Phylogenetic and ancestral state reconstruction analysis revealed an arthropod-specific SET gene family, named SmydA, that is ancestral to arthropod animals and specifically diversified during insect evolution. Considering that pseudogenization is the most probable fate of the new emerging gene copies, we provided experimental and evolutionary evidence to demonstrate their essential functions. Fluorescence in situ hybridization analysis and in vitro methyltransferase activity assays showed that the SmydA-2 gene was transcriptionally active and retained the original histone methylation activity. Expression knockdown by RNA interference significantly increased mortality, implying that the SmydA genes may be essential for insect survival. We further showed predominantly strong purifying selection on the SmydA gene family and a potential association between the regulation of gene expression and insect phenotypic plasticity by transcriptome analysis. Overall, these data suggest that the SmydA gene family retains essential functions that may possibly define novel regulatory pathways in insects. This work provides insights into the roles of lineage-specific domain duplication in insect evolution.</t>
  </si>
  <si>
    <t>10.1093/gigascience/gix031</t>
  </si>
  <si>
    <t>D'Apolito, D; Baiamonte, E; Bagliesi, M; Di Marzo, R; Calzolari, R; Ferro, L; Franco, V; Spinelli, G; Maggio, A; Acuto, S</t>
  </si>
  <si>
    <t>The Sea Urchin sns5 Insulator Protects Retroviral Vectors From Chromosomal Position Effects by Maintaining Active Chromatin Structure</t>
  </si>
  <si>
    <t>MOLECULAR THERAPY</t>
  </si>
  <si>
    <t>Silencing and position-effect (PE) variegation (PEV), which is due to integration of viral vectors in heterochromatin regions, are considered significant obstacles to obtaining a consistent level of transgene expression in gene therapy. The inclusion of chromatin insulators into vectors has been proposed to counteract this position-dependent variegation of transgene expression. Here, we show that the sea urchin chromatin insulator, sns5, protects a recombinant gamma-retroviral vector from the negative influence of chromatin in erythroid milieu. This element increases the probability of vector expression at different chromosomal integration sites, which reduces both silencing and PEV. By chromatin immunoprecipitation (ChIP) analysis, we demonstrated the specific binding of GATA1 and OCT1 transcription factors and the enrichment of hyperacetylated nucleosomes to sns5 sequences. The results suggest that this new insulator is able to maintain a euchromatin state inside the provirus locus with mechanisms that are common to other characterized insulators. On the basis of its ability to function as barrier element in erythroid milieu and to bind the erythroid specific factor GATA1, the inclusion of sns5 insulator in viral vectors may be of practical benefit in gene transfer applications and,</t>
  </si>
  <si>
    <t>10.1038/mt.2009.74</t>
  </si>
  <si>
    <t>Xu, DX; Fang, HH; Liu, J; Chen, YR; Gu, YX; Sun, GH; Xia, B</t>
  </si>
  <si>
    <t>ChIP-seq assay revealed histone modification H3K9ac involved in heat shock response of the sea cucumber Apostichopus japonicus</t>
  </si>
  <si>
    <t>Heat stress poses an increasing threat for the marine invertebrate Apostichopus japonicus. Histone lysine acetylation is a central chromatin modification for epigenetic regulation of gene expression during stress response. In this study, a genome-wide characterization for acetylated lysine 9 on histone H3 (H3K9ac) binding regions in normal temperature (18 degrees C) and heat-stress conditions (26 degrees C) via ChIP-seq were carried out. The results that revealed H3K9ac was an extensive epigenetic modulation in A. japonicus. The GO terms regulation of transcription, DNA-templated and transcription coactivator activity were significantly enriched in both groups. Particularly, various transcriptional factors (TFs) families showed notable modification of H3K9ac. Differentially acetylated regions (DARs) with H3K9ac modification under heat stress were identified with 24 hyperacetylated and 23 hypoacetylated peaks, respectively. We further examined the transcriptional expression for 13 genes with dysregulated H3K9ac level in the promoter regions by qRT-PCR. Combined H3K9ac ChIP-seq characteristics with the transcriptional expression, 5 up-up genes (ZCCHC3, RPA70, MTRR, beta-Gal and PHTF2) and 2 down-down genes (PRPF39 and BSL78_10147) were identified. Surprisingly, the increasing mRNA expression of NECAP1 under heat stress was negatively related to the decreasing H3K9ac level in its promoter region. Our research is the first genome-wide characterization for the epigenetic modification H3K9ac in A. japonicus, and will help to advance the understanding of the roles of H3K9ac in transcriptional regulation under heat-stress condition.</t>
  </si>
  <si>
    <t>10.1016/j.scitotenv.2022.153168</t>
  </si>
  <si>
    <t>Jiang, F; Liu, Q; Liu, X; Wang, XH; Kang, L</t>
  </si>
  <si>
    <t>Genomic data reveal high conservation but divergent evolutionary pattern of Polycomb/Trithorax group genes in arthropods</t>
  </si>
  <si>
    <t>INSECT SCIENCE</t>
  </si>
  <si>
    <t>Epigenetic gene control is maintained by chromatin-associated Polycomb group (PcG) and Trithorax group (TrxG) genes, which act antagonistically via the interplay between PcG and TrxG regulation to generate silenced or permissive transcriptional states. In this study, we searched for PcG/TrxG genes in 180 arthropod genomes, covering all the sequenced arthropod genomes at the time of conducting this study, to perform a global investigation of PcG/TrxG genes in a phylogenetic frame. Results of ancestral state reconstruction analysis revealed that the ancestor of arthropod species has an almost complete repertoire of PcG/TrxG genes, and most of these genes were seldom lost above order level. The domain diversity analysis indicated that the PcG/TrxG genes show variable extent of domain structure changes; some of these changes could be associated with lineage-specific events. The likelihood ratio tests for selection pressure detected a number of PcG/TrxG genes which underwent episodic positive selection on the branch leading to the insects with holometabolous development. These results suggest that, despite their high conservation across arthropod species, different members of PcG/TrxG genes showed considerable differences in domain structure and sequence divergence in arthropod evolution. Our cross species comparisons using large-scale genomic data provide insights into divergent evolutionary pattern on highly conserved genes in arthropods.</t>
  </si>
  <si>
    <t>10.1111/1744-7917.12558</t>
  </si>
  <si>
    <t>Ottaviani, E; Accorsi, A; Rigillo, G; Malagoli, D; Blom, JMC; Tascedda, F</t>
  </si>
  <si>
    <t>Epigenetic modification in neurons of the mollusc Pomacea canaliculata after immune challenge</t>
  </si>
  <si>
    <t>BRAIN RESEARCH</t>
  </si>
  <si>
    <t>In human and rodents, the transcriptional response of neurons to stress is related to epigenetic modifications of both DNA and histone proteins. To assess the suitability of simple invertebrate models in studying the basic mechanisms of stress-related epigenetic modifications, we analyzed epigenetic modifications in neurons of the freshwater snail Pomacea canaliculata after the injection of Escherichia coli-derived lipopolysaccharide (LPS). The phospho-acetylation of histone H3, together with the induction of stress-related factors, c-Fos and HSP70, were evaluated in large and small neurons of the pedal ganglia of sham- and LPS-injected snails. Immunocytochemical investigations showed that after LPS injection, the immunopositivity towards phospho (Ser10)-acetyl (Lys14)-histone H3 and c-Fos increases in the nuclei of small gangliar neurons. Western blot analysis confirmed a significant increase of phospho (Ser10)-acetyl (Lys14)-histone H3 in nuclear extracts from 2 h LPS-injected animals. c-Fos protein levels were significantly augmented 6 h after LPS injection. Immunocytochemistry and western blot indicated that no changes occurred in HSP70 distribution and protein levels. To our knowledge this is the first demonstration of epigenetic changes in molluscan neurons after an immune challenge and indicate the gastropod P. canaliculata as a suitable model for evolutionary and translational studies on stress-related epigenetic modifications. (C) 2013 Elsevier B.V. All rights reserved.</t>
  </si>
  <si>
    <t>NOV 6</t>
  </si>
  <si>
    <t>10.1016/j.brainres.2013.09.009</t>
  </si>
  <si>
    <t>Pérez-Toledo, K; Rojas-Meza, AP; Mancio-Silva, L; Hernández-Cuevas, N; Delgadillo, DM; Vargas, M; Martínez-Calvillo, S; Scherf, A; Hernandez-Rivas, R</t>
  </si>
  <si>
    <t>Plasmodium falciparum heterochromatin protein 1 binds to tri-methylated histone 3 lysine 9 and is linked to mutually exclusive expression of var genes</t>
  </si>
  <si>
    <t>NUCLEIC ACIDS RESEARCH</t>
  </si>
  <si>
    <t>Increasing experimental evidence shows a prominent role of histone modifications in the coordinated control of gene expression in the human malaria parasite Plasmodium falciparum. The search for the histone-mark-reading machinery that translates histone modifications into biological processes, such as formation of heterochromatin and antigenic variation is of foremost importance. In this work, we identified the first member of a histone modification specific recognition protein, an orthologue of heterochromatin protein 1 (PfHP1). Analysis of the PfHP1 amino-acid sequence revealed the presence of the two characteristic HP1 domains: a chromodomain (CD) and a chromo shadow domain (CSD). Recombinant CD binds to di- and tri-methylated lysine 9 from histone H3, but not to unmodified or methylated histone H3 in lysine 4. PfHP1 is able to interact with itself to form dimers, underlying its potential role in aggregating nucleosomes to form heterochromatin. Antibodies raised against PfHP1 detect this molecule in foci at the perinuclear region. ChIP analysis using anti-PfHP1 shows that this protein is linked to heterochromatin of subtelomeric non-coding repeat regions and monoallelic expression of the major virulence var gene family. This is the first report implicating an HP1 protein in the control of antigenic variation of a protozoan parasite.</t>
  </si>
  <si>
    <t>10.1093/nar/gkp115</t>
  </si>
  <si>
    <t>Leeuwis, RHJ; Gamperl, AK</t>
  </si>
  <si>
    <t>ADAPTATIONS AND PLASTIC PHENOTYPIC RESPONSES OF MARINE ANIMALS TO THE ENVIRONMENTAL CHALLENGES OF THE HIGH INTERTIDAL ZONE</t>
  </si>
  <si>
    <t>OCEANOGRAPHY AND MARINE BIOLOGY: AN ANNUAL REVIEW, VOL 60</t>
  </si>
  <si>
    <t>The high intertidal zone is home to an incredible variety of marine animals, as it offers an escape from low intertidal/subtidal predation and competition, among other advantages. However, this area of the shore also comes with many tide-driven and emersion-associated environmental stressors, such as desiccation, high temperatures and freezing stress, hypoxia, salinity fluctuations, nitrogenous waste accumulation, ultraviolet (UV) radiation, wave and ice disturbance and hydrogen sulphide (H 2S) toxicity. This review explores the diversity of evolutionary adaptations and plastic phenotypic responses that high intertidal animals use to cope with these challenges. Examples are provided of behavioural, morphological, physiological and biochemical adaptations/responses, along with some of the underlying molecular mechanisms that have been elucidated to date. Adaptations of many different worms, anemones, molluscs, crustaceans and fishes are highlighted. Many adaptations and mechanisms of plasticity are universal among animal phyla, and some are multifunctional (serve more than one function) or provide tolerance to multiple stressors (i.e. 'cross-tolerance'). High intertidal animals have received considerable attention by scientists, given their accessibility and that they can provide valuable insights into the transition from a marine to a terrestrial lifestyle. Nevertheless, further research is needed to understand the adaptations/responses of these animals more thoroughly, and the future holds great promise for accomplishing this with recent advances in epigenetics, transcriptomics, protein biochemistry and other molecular tools.</t>
  </si>
  <si>
    <t>10.1201/9781003288602-13</t>
  </si>
  <si>
    <t>Wood, HL; Eriksson, SP; Nordborg, M; Styf, HK</t>
  </si>
  <si>
    <t>The effect of environmental stressors on the early development of the Norway lobster Nephrops norvegicus (L.)</t>
  </si>
  <si>
    <t>The marine environment is changing and becoming less stable as a result of direct (e.g. lower pH) and indirect (e.g. salinity fluctuations from changing rainfall) effects of climate change. The larval stages may be a bottleneck for reproductive success and recruitment, therefore the potential for environmental stressors to impact upon larval recruitment is high; the ability to tolerate environmental stress in early life history is crucial to an individual's overall fitness. This study investigated the effect of hypercapnia and salinity stress on the early life stages of the Norway Lobster Nephrops norvegicus. Sensitivity to hypercapnia was shown to be highly brood specific with large differences in mortality between broods under hypercapnic stress. Furthermore, this environmental stressor was demonstrated to increase the energetic demand on the larvae, which could potentially have a negative effect later in development. Salinity stress experiments were not designed to test brood specific effects but did demonstrate increased energy usage (higher MR and lower weight) under salinity stress. Although the larvae were tolerant to present levels of salinity stress future changes in this stressor may alter species distribution. This study demonstrated that environmental stressors have the potential to have a large effect on future recruitment. Further, future studies need to consider mechanisms that affect an individual's tolerance from conception, such as epigenetics, maternal provisioning and genetic factors, to determine what makes some individuals tolerant where others are not. (C) 2015 Elsevier B.V. All rights reserved.</t>
  </si>
  <si>
    <t>10.1016/j.jembe.2015.08.009</t>
  </si>
  <si>
    <t>Elling, AA; Mitreva, M; Gai, XW; Martin, J; Recknor, J; Davis, EL; Hussey, RS; Nettleton, D; McCarter, JP; Baum, TJ</t>
  </si>
  <si>
    <t>Sequence mining and transcript profiling to explore cyst nematode parasitism</t>
  </si>
  <si>
    <t>Background: Cyst nematodes are devastating plant parasites that become sedentary within plant roots and induce the transformation of normal plant cells into elaborate feeding cells with the help of secreted effectors, the parasitism proteins. These proteins are the translation products of parasitism genes and are secreted molecular tools that allow cyst nematodes to infect plants. Results: We present here the expression patterns of all previously described parasitism genes of the soybean cyst nematode, Heterodera glycines, in all major life stages except the adult male. These insights were gained by analyzing our gene expression dataset from experiments using the Affymetrix Soybean Genome Array GeneChip, which contains probeset sequences for 6,860 genes derived from preparasitic and parasitic H. glycines life stages. Targeting the identification of additional H. glycines parasitism-associated genes, we isolated 633 genes encoding secretory proteins using algorithms to predict secretory signal peptides. Furthermore, because some of the known H. glycines parasitism proteins have strongest similarity to proteins of plants and microbes, we searched for predicted protein sequences that showed their highest similarities to plant or microbial proteins and identified 156 H. glycines genes, some of which also contained a signal peptide. Analyses of the expression profiles of these genes allowed the formulation of hypotheses about potential roles in parasitism. This is the first study combining sequence analyses of a substantial EST dataset with microarray expression data of all major life stages (except adult males) for the identification and characterization of putative parasitism-associated proteins in any parasitic nematode. Conclusion: We have established an expression atlas for all known H. glycines parasitism genes. Furthermore, in an effort to identify additional H. glycines genes with putative functions in parasitism, we have reduced the currently known 6,860 H. glycines genes to a pool of 788 most promising candidate genes (including known parasitism genes) and documented their expression profiles. Using our approach to pre-select genes likely involved in parasitism now allows detailed functional analyses in a manner not feasible for larger numbers of genes. The generation of the candidate pool described here is an important enabling advance because it will significantly facilitate the unraveling of fascinating plant-animal interactions and deliver knowledge that can be transferred to other pathogen-host systems. Ultimately, the exploration of true parasitism genes verified from the gene pool delineated here will identify weaknesses in the nematode life cycle that can be exploited by novel anti-nematode efforts.</t>
  </si>
  <si>
    <t>JAN 30</t>
  </si>
  <si>
    <t>10.1186/1471-2164-10-58</t>
  </si>
  <si>
    <t>Shahid, N; Siddique, A; Liess, M</t>
  </si>
  <si>
    <t>Predicting the Combined Effects of Multiple Stressors and Stress Adaptation in Gammarus pulex</t>
  </si>
  <si>
    <t>Global change confronts organisms with multiple stressors causing nonadditive effects. Persistent stress, however, leads to adaptation and related trade-offs. The question arises: How can the resulting effects of these contradictory processes be predicted? Here we show that Gammarus pulex from agricultural streams were more tolerant to clothianidin (mean EC50 148 mu g/L) than populations from reference streams (mean EC50 67 mu g/L). We assume that this increased tolerance results from a combination of physiological acclimation, epigenetic effects, and genetic evolution, termed as adaptation. Further, joint exposure to pesticide mixture and temperature stress led to synergistic interactions of all three stressors. However, these combined effects were significantly stronger in adapted populations as shown by the model deviation ratio (MDR) of 4, compared to reference populations (MDR = 2.7). The pesticide adaptation reduced the General-Stress capacity of adapted individuals, and the related trade-off process increased vulnerability to combined stress. Overall, synergistic interactions were stronger with increasing total stress and could be well predicted by the stress addition model (SAM). In contrast, traditional models such as concentration addition (CA) and effect addition (EA) substantially underestimated the combined effects. We conclude that several, even very disparate stress factors, including population adaptations to stress, can act synergistically. The strong synergistic potential underscores the critical importance of correctly predicting multiple stresses for risk assessment.</t>
  </si>
  <si>
    <t>JUL 10</t>
  </si>
  <si>
    <t>10.1021/acs.est.4c02014</t>
  </si>
  <si>
    <t>Gurr, SJ; Meseck, SL; Bernatchez, G; Redman, D; Dixon, MS; Guy, L; Macdonald, A; Stiles, S; Mcfarland, K</t>
  </si>
  <si>
    <t>Transcriptome-To-Phenome Response of Larval Eastern Oysters Under Multiple Drivers of Aragonite Undersaturation</t>
  </si>
  <si>
    <t>Understanding how interactive environmental challenges affect marine species is critical to long-term ecological and economic stability under global change. Marine calcifiers are thought to be vulnerable to ocean acidification (OA; elevated pCO(2)); active dissolution of aragonite (Omega ar) is associated with disrupted development, survivorship, and gene expression in bivalve larvae, resulting in an early life-stage bottleneck. Dynamic carbonate chemistry in coastal systems emphasizes the importance of multiple stressors, e.g., warming and low salinity events may change organismal responses relative to OA alone. We exposed Eastern oyster larvae (Crassostrea virginica) to a full-factorial experimental design using two temperatures (23 degrees C and 27 degrees C), salinities (17 and 27), and pCO(2) levels (similar to 700 mu atm and 1850 mu atm pCO(2)), resulting in Omega ar conditions 0.3-1.7. Omega ar reduced by low salinity, elevated pCO(2), and low temperature, each slowed early development and reduced survival. Low salinity x elevated pCO(2) was linked to severe Omega ar undersaturation (&lt; 0.5) that suppressed expression of bicarbonate transport, biomineralization and augmented expression for ciliary locomotion, proteostasis, and histone modifiers. In isolation and under moderate Omega ar intensity (0.5 &lt; Omega ar &lt; 1), larvae increased transcription for osmoregulatory activity and endocytosis under low salinity, and suppressed transcription for iron metabolism under elevated pCO(2). Although shell growth and survival were affected by Omega ar undersaturation, gene expression patterns of D-stage oyster larvae and oyster juveniles suggests tolerance to dynamic estuarine environments. Genes and expression patterns that confer survival of postmetamorphosed oysters can improve our understanding of environmental-organismal interactions and improve breeding programs enabling sustainable production.</t>
  </si>
  <si>
    <t>10.1002/ece3.70953</t>
  </si>
  <si>
    <t>Li, HZ; Peng, CY; Zhu, CH; Nie, S; Qian, XT; Shi, Z; Shi, MY; Liang, Y; Ding, XW; Zhang, S; Zhang, B; Li, XH; Xu, GF; Lv, Y; Wang, L; Friess, H; Kong, B; Zou, XP; Shen, SS</t>
  </si>
  <si>
    <t>Hypoxia promotes the metastasis of pancreatic cancer through regulating NOX4/KDM5A-mediated histone methylation modification changes in a HIF1A-independent manner</t>
  </si>
  <si>
    <t>CLINICAL EPIGENETICS</t>
  </si>
  <si>
    <t>Background Hypoxia is a characteristic of the tumor microenvironments within pancreatic cancer (PC), which has been linked to its malignancy. Recently, hypoxia has been reported to regulate the activity of important carcinogenic pathways by changing the status of histone modification. NOX4, a member of NADPH oxidase (NOX), has been found to be activated by hypoxia and promote cancer progression in several cancers. But whether it is involved in the epigenetic changes of tumor cells induced by hypoxia is still unclear, and its biological roles in PC also need to be explored. Methods A hypoxic-related gene signature and its associated pathways in PC were identified by analyzing the pancreatic cancer gene expression data from GEO and TCGA database. Candidate downstream gene (NOX4), responding to hypoxia, was validated by RT-PCR and western blot. Then, we evaluated the relationship between NOX4 expression and clinicopathologic parameters in 56 PC patients from our center. In vitro and in vivo assays were preformed to explore the phenotype of NOX4 in PC. Immunofluorescence, western blot and chromatin immunoprecipitation assays were further applied to search for a detailed mechanism. Results We quantified hypoxia and developed a hypoxia signature, which was associated with worse prognosis and elevated malignant potential in PC. Furthermore, we found that NADPH oxidase 4 (NOX4), which was induced by hypoxia and upregulated in PC in a HIF1A-independent manner, caused inactivation of lysine demethylase 5A (KDM5A), increased the methylation modification of histone H3 and regulated the transcription of EMT-associated gene_ snail family transcriptional repressor 1 (SNAIL1). This served to promote the invasion and metastasis of PC. NOX4 deficiency repressed hypoxia-induced EMT, reduced expression of H3K4ME3 and impaired the invasion and metastasis of PC cells; however, knockdown of KDM5A reversed the poor expression of H3KEME3 induced by NOX4 deficiency, thereby promoting EMT. Conclusions This study highlights the prognostic role of hypoxia-related genes in PC and strong correlation with EMT pathway. Our results also creatively discovered that NOX4 was an essential mediator for hypoxia-induced histone methylation modification and EMT in PC cells.</t>
  </si>
  <si>
    <t>JAN 26</t>
  </si>
  <si>
    <t>10.1186/s13148-021-01016-6</t>
  </si>
  <si>
    <t>Padilla-Gamiño, JL; Kelly, MW; Evans, TG; Hofmann, GE</t>
  </si>
  <si>
    <t>Temperature and CO2 additively regulate physiology, morphology and genomic responses of larval sea urchins, Strongylocentrotus purpuratus</t>
  </si>
  <si>
    <t>PROCEEDINGS OF THE ROYAL SOCIETY B-BIOLOGICAL SCIENCES</t>
  </si>
  <si>
    <t>Ocean warming and ocean acidification, both consequences of anthropogenic production of CO2, will combine to influence the physiological performance of many species in the marine environment. In this study, we used an integrative approach to forecast the impact of future ocean conditions on larval purple sea urchins (Strongylocentrotus purpuratus) from the northeast Pacific Ocean. In laboratory experiments that simulated ocean warming and ocean acidification, we examined larval development, skeletal growth, metabolism and patterns of gene expression using an orthogonal comparison of two temperature (13 degrees C and 18 degrees C) and pCO(2) (400 and 1100 mu atm) conditions. Simultaneous exposure to increased temperature and pCO(2) significantly reduced larval metabolism and triggered a widespread downregulation of histone encoding genes. pCO(2) but not temperature impaired skeletal growth and reduced the expression of a major spicule matrix protein, suggesting that skeletal growth will not be further inhibited by ocean warming. Importantly, shifts in skeletal growth were not associated with developmental delay. Collectively, our results indicate that global change variables will have additive effects that exceed thresholds for optimized physiological performance in this keystone marine species.</t>
  </si>
  <si>
    <t>MAY 22</t>
  </si>
  <si>
    <t>10.1098/rspb.2013.0155</t>
  </si>
  <si>
    <t>Pechenik, JA</t>
  </si>
  <si>
    <t>Latent Effects: Surprising Consequences of Embryonic and Larval Experience on Life after Metamorphosis</t>
  </si>
  <si>
    <t>EVOLUTIONARY ECOLOGY OF MARINE INVERTEBRATE LARVAE</t>
  </si>
  <si>
    <t>10.1093/oso/9780198786962.003.0014</t>
  </si>
  <si>
    <t>Griffith, AW; Gobler, CJ</t>
  </si>
  <si>
    <t>Transgenerational exposure of North Atlantic bivalves to ocean acidification renders offspring more vulnerable to low pH and additional stressors</t>
  </si>
  <si>
    <t>While early life-stage marine bivalves are vulnerable to ocean acidification, effects over successive generations are poorly characterized. The objective of this work was to assess the transgenerational effects of ocean acidification on two species of North Atlantic bivalve shellfish, Mercenaria mercenaria and Argopecten irradians. Adults of both species were subjected to high and low pCO(2) conditions during gametogenesis. Resultant larvae were exposed to low and ambient pH conditions in addition to multiple, additional stressors including thermal stress, food-limitation, and exposure to a harmful alga. There were no indications of transgenerational acclimation to ocean acidification during experiments. Offspring of elevated pCO(2)-treatment adults were significantly more vulnerable to acidification as well as the additional stressors. Our results suggest that clams and scallops are unlikely to acclimate to ocean acidification over short time scales and that as coastal oceans continue to acidify, negative effects on these populations may become compounded and more severe.</t>
  </si>
  <si>
    <t>SEP 12</t>
  </si>
  <si>
    <t>10.1038/s41598-017-11442-3</t>
  </si>
  <si>
    <t>Pan, YJ; Zhao, ZL; Zhou, ZC</t>
  </si>
  <si>
    <t>Identification of miRNAs in sea urchin Strongylocentrotus purpuratus larvae response to pH stress</t>
  </si>
  <si>
    <t>AQUACULTURE RESEARCH</t>
  </si>
  <si>
    <t>MicroRNAs (miRNAs) are a class of small, endogenous, non-coding RNAs that regulate gene expression through transcriptional repression of messenger RNA. They play significant roles in many physiological and biochemical processes in eukaryotes. Ocean acidification can impact the development, survival, growth and physiology of many marine organisms. Here, we performed miRNA transcriptome analysis of the sea urchin Strongylocentrotus purpuratus larvae exposed to CO2-driven seawater acidification. We generated 10.6 and 10.8 million clean reads from the malformed S. purpuratus larva after CO2 treatment and the larvae with the normal bone development respectively. A total of 682 conserved and 17 novel miRNAs were identified. Target genes of the differential expression miRNAs were also predicted, which contained growth-related genes (collagenase, collagen and HSP70-binding protein 1), spicule formation-related gene (carbonic anhydrase transcript variant X1) and skeletogenesis-related genes (breast carcinoma amplified sequence 2). Target genes of the differentially expressed miRNAs were used to perform KEGG pathway analysis and were found to be involved in the proteasome and oxidative phosphorylation. These results provide a relatively large number of miRNAs transcriptome resource and provide a foundation for further analyses on the functional and molecular mechanisms of S. purpuratus larvae impacted by ocean acidification.</t>
  </si>
  <si>
    <t>10.1111/are.15307</t>
  </si>
  <si>
    <t>Cao, W; Dong, YH; Geng, YS; Bi, SQ; Liu, ZH; Zhou, LQ; Sun, XJ; Xia, SD; Chi, CF; Wu, B</t>
  </si>
  <si>
    <t>Comprehensive Analysis of Whole-Transcriptome Profiles in Response to Acute Hypersaline Challenge in Chinese Razor Clam Sinonovacula constricta</t>
  </si>
  <si>
    <t>Simple Summary Salinity can affect the physiological, reproductive, and developmental characteristics of marine molluscs. The Chinese razor clam (Sinonovacula constricta) is a marine bivalve that inhabits estuarine and intertidal habitats where salinity is usually lower when compared to open sea waters. The species is also an economically important subject of aquaculture in China. Here, RNA sequencing was used to study the internal mechanism of salt stress response in the Chinese razor clam. Differentially expressed RNAs were identified and lncRNA/circRNA-miRNA-mRNA regulatory networks were successfully constructed. Furthermore, the expression of four candidate genes in the Chinese razor clam subjected to different salinity stress were examined by qRT-PCR. The results of this study will improve our understanding of genetic-level responses to salinity changes in the Chinese razor clam. Moreover, the acquired information may be useful for optimization of the artificial breeding of the species under aquaculture conditions. The Chinese razor clam (Sinonovacula constricta) is an important for Chinese aquaculture marine bivalve that naturally occurs across intertidal and estuarine areas subjected to significant changes in salinity level. However, the information on the molecular mechanisms related to high salinity stress in the species remain limited. In this study, nine gill samples of S. constricta treated with 20, 30, and 40 ppt salinity for 24 h were used for whole-transcriptome RNA sequencing, and a regulatory network of competing endogenous RNAs (ceRNAs) was constructed to better understand the mechanisms responsible for adaptation of the species to high salinity. A total of 83,262 lncRNAs, 52,422 mRNAs, 2890 circRNAs, and 498 miRNAs were identified, and 4175 of them displayed differential expression pattern among the three groups examined. The KEGG analyses of differentially expressed RNAs evidenced that amino acid synthesis and membrane transport were the dominant factors involved in the adaptation of the Chinese razor clam to acute salinity increase, while lipid metabolism and signaling played only a supporting role. In addition, lncRNA/circRNA-miRNA-mRNA regulatory networks (ceRNA network) showed clearly regulatory relationships among different RNAs. Moreover, the expression of four candidate genes, including tyrosine aminotransferase (TAT), hyaluronidase 4 (HYAL4), cysteine sulfinic acid decarboxylase (CSAD), and increment (1)-pyrroline-5-carboxylate synthase (P5CS) at different challenge time were detected by qRT-PCR. The expression trend of TAT and HYAL4 was consistent with that of the ceRNA network, supporting the reliability of established network. The expression of TAT, CSAD, and P5CS were upregulated in response to increased salinity. This might be associated with increased amino acid synthesis rate, which seems to play an essential role in adaptation of the species to high salinity stress. In contrast, the expression level of HYAL4 gene decreased in response to elevated salinity level, which is associated with reduction Hyaluronan hydrolysis to help maintain water in the cell. Our findings provide a very rich reference for understanding the important role of ncRNAs in the salinity adaptation of shellfish. Moreover, the acquired information may be useful for optimization of the artificial breeding of the Chinese razor clam under aquaculture conditions.</t>
  </si>
  <si>
    <t>10.3390/biology12010106</t>
  </si>
  <si>
    <t>Seibel, BA; Luu, BE; Tessier, SN; Towanda, T; Storey, KB</t>
  </si>
  <si>
    <t>Metabolic suppression in the pelagic crab, Pleuroncodes planipes, in oxygen minimum zones</t>
  </si>
  <si>
    <t>The pelagic red crab, Pleuroncodes planipes, is abundant throughout the Eastern Tropical Pacific in both benthic and pelagic environments to depths of several hundred meters. The oxygen minimum zones in this region reaches oxygen levels as low as 0.1 kPa at depths within the crabs vertical range. Crabs maintain aerobic metabolism to a critical PO2 of similar to 0.27 +/- 0.2 kPa (10 degrees C), in part by increasing ventilation as oxygen declines. At subcritical oxygen levels, they enhance anaerobic ATP production slightly as indicated by modest increases in lactate levels. However, hypoxia tolerance is primarily mediated via a pronounced suppression of aerobic metabolism (similar to 70%). Metabolic suppression is achieved, primarily, via reduced protein synthesis, which is a major sink for metabolic energy. Posttranslational modifications on histone H3 suggest a condensed chromatin state and, hence, decreased transcription. Under hypoxia, p-H3S10, Ac-H3K9, Ac-H3K14 were 39, 68, and 36% of control values, respectively. We also report a net decrease in protein translation. In particular, eEF2 activity is reduced due to a similar to 5-fold increase in inhibitory phosphorylation and a significant decrease in protein level. Elevated heat shock proteins suggest that, despite impressive tolerance, the cellular stress response is triggered during hypoxia. We discuss the implications for pelagic ecology and biogeochemical cycles.</t>
  </si>
  <si>
    <t>10.1016/j.cbpb.2017.12.017</t>
  </si>
  <si>
    <t>Wang, YL; Zheng, YQ; Yin, YC; Sun, LD; Chen, MY</t>
  </si>
  <si>
    <t>miRNA-mRNA interaction mechanism in echinoderm Apostichopus japonicus in response to acute hypoxia</t>
  </si>
  <si>
    <t>The expanding low-oxygen areas in marine environments due to global climate change have posed a significant challenge to the survival of marine organisms and the health of ecosystems. The echinoderm Apostichopus japonicus, a sea cucumber species essential in benthic communities, has been experiencing annual mass mortality in summer in recent years due to hypoxia and other extreme events. Here, we observed sea cucumber behavioral plasticity and mortality in response to acute hypoxia, which was investigated at the molecular level using RNAseq and miRNA-seq of coelomocytes to determine transcriptional and post-transcriptional regulation. The results indicated that sea cucumbers extended their tentacles and elongated their bodies to acquire more oxygen from the water. The enrichment analysis of differentially expressed genes (DEGs) suggested that Ribosome biogenesis in eukaryotes pathway was significantly downregulated and GO item phagocytosis was significantly upregulated, indicating that energy consumption reduction and immune activities increase are key response strategies to tolerance to hypoxia stress. Then, we predicted the potential miRNA-mRNA regulatory network involved in both processes and identified the evolutionarily conserved miRNAs that may be responsible for hypoxia stress in marine invertebrates. Our study provides insights into the behavioral plasticity and regulatory mechanism of sea cucumbers immune system in response to limited oxygen conditions and offers implications for the development of strategies used for aquaculture and wild population protection in the context of global climate change.</t>
  </si>
  <si>
    <t>10.1016/j.aquaculture.2025.742487</t>
  </si>
  <si>
    <t>Yin, WL; Mai, WH; Cui, DY; Zhao, TJ; Song, J; Zhang, WJ; Chang, YQ; Zhan, YY</t>
  </si>
  <si>
    <t>Dynamic responses during early development of the sea urchin Strongylocentrotus intermedius to CO2-driven ocean acidification: A microRNA-mRNA integrated analysis</t>
  </si>
  <si>
    <t>To explore the dynamic molecular responses to CO2-driven ocean acidification (OA) during the early developmental stages of sea urchins, gametes of Strongylocentrotus intermedius were fertilized and developed to the fourarmed larva stage in either natural seawater (as a control; pHNBS = 7.99 +/- 0.01) or acidified conditions (Delta pHNBS = -0.3, -0.4, and - 0.5 units) according to the prediction for ocean pH by the end of this century. Specimens from five developmental stages (fertilization, cleavage, blastula, prism, and four-armed larva) were collected and comparative microRNA (miRNA) and mRNA transcriptome analyses were performed. The results showed that 1) a total of 22,224 differentially expressed genes (DEGs) and 51 differentially expressed miRNAs (DEMs) were identified in the OA-treated groups compared with the control group. 2) The numbers of both DEGs and DEMs were the largest at the blastula stage, indicating dramatic changes in gene expression. 3) Five miR-1/DEG modules were identified as potential biomarkers reflecting the response of sea urchins to OA during the early developmental period. 4) The PI3K/Akt signaling pathway was a key pathway involved in the response of S. intermedius to OA in its early developmental stages. This study deepens our understanding of the dynamic molecular regulatory mechanisms underlying sea urchin responses to CO2-driven OA.</t>
  </si>
  <si>
    <t>10.1016/j.marpolbul.2024.117514</t>
  </si>
  <si>
    <t>Shangguan, JB; Zhou, SS; Hu, XW; Xu, AL; Li, ZB</t>
  </si>
  <si>
    <t>miRNA-mRNA joint analysis reveals the response mechanism of Ruditapes philippinarum to CO2-driven ocean acidification</t>
  </si>
  <si>
    <t>To explore the response mechanism of Ruditapes philippinarum to CO2-driven 2-driven ocean acidification, 540 clams with healthy physique and consistent specifications were randomly divided into 3 groups, with 3 repetitions in each group, and 60 specimens in each repetition. Stress tests were then conducted under different pH conditions (8.0, 7.2, 6.4). After 96 hours of stress, gill tissues were collected for mRNA-seq and miRNA-seq analysis. The results show that when Philippine clams are stimulated by seawater acidification, the gene expression levels in the glycine, serine and threonine metabolism and arachidonic acid metabolism pathways in their gill tissue are increased, thereby inducing the occurrence of inflammation in the body and reducing the body's immunity and disease resistance. Philippine clams can also alleviate the adverse effects of seawater acidification on the body by regulating the expression of genes such as miR-184-3p. And when Philippine clams are stimulated by seawater acidification, they can also regulate the interferon-inducible GTPase (IIGP) by regulating the expression of Novelm0002-3p, which ultimately affects the cellular defense mechanism, material transport ability, and ion exchange ability with the external environment.</t>
  </si>
  <si>
    <t>10.1016/j.aqrep.2024.102272</t>
  </si>
  <si>
    <t>Zhou, LX; Zhao, F; Shi, YX; Liu, HY; Zhang, K; Zhang, C; Yin, SW; Ning, XH</t>
  </si>
  <si>
    <t>Comprehensive whole transcriptome analysis reveals specific lncRNA- and circRNA-ceRNA networks of Chinese mitten crab ( Eriocheir sinensis) in response to hypoxia stress</t>
  </si>
  <si>
    <t>The gills of aquatic animals exert important effects on respiration, immunity, metabolism and endocrine, representing the prime targets of hypoxia. The aim of this study was to examine the non-coding RNA responses of Chinese mitten crab to hypoxia, especially the specific response of lncRNA- and circRNA-mediated ceRNA networks. Hypoxia induced substantial damages in crab gills, morphologically reflected by the atrophic gill filaments, accumulated hemocytes, and increasing cell death. GSEA and PPI analyses further indicated that hypoxiainduced morphological injury was attributable to be regulated at the molecular level. LncRNA-mediated responses to hypoxia included inducing HIF-1 signaling and dysregulating phospholipid metabolism, as evidenced by ceRNA crosstalk lncRNA77-miR-1175-x-elF4E2 and lncRNA26-miR-205-x-SLC2A3, enhancing programmed cell death and immune effects. Exposure to hypoxia, circRNAs influenced Golgi-endoplasmic reticulum trafficking processes, reflected by circRNA12-novel-m0114-5p-TMEM41B and enriched pathway of GTPase regulator activity. Gill vasculature and endocrine hormone were also disrupted by hypoxia, according to the enrichment of apelin signaling and various sex steroid hormones by circRNA. As for the common response of lncRNA and circRNA, hyperimmunity was elicited and metabolic processes of polyamine and long-chain fatty acid were disordered during hypoxia. Our results will facilitate our understanding of gill adaptation to hypoxia regulated by ceRNA.</t>
  </si>
  <si>
    <t>10.1016/j.aquaculture.2024.742017</t>
  </si>
  <si>
    <t>Lee, HG; Stumpp, M; Yan, JJ; Tseng, YC; Heinzel, S; Hu, MYA</t>
  </si>
  <si>
    <t>Tipping points of gastric pH regulation and energetics in the sea urchin larva exposed to CO2-induced seawater acidification</t>
  </si>
  <si>
    <t>COMPARATIVE BIOCHEMISTRY AND PHYSIOLOGY A-MOLECULAR &amp; INTEGRATIVE PHYSIOLOGY</t>
  </si>
  <si>
    <t>Sea urchin larvae reduce developmental rates accompanied by changes in their energy budget when exposed to acidified conditions. The necessity to maintain highly alkaline conditions in their digestive systems led to the hypothesis that gastric pH homeostasis is a key trait affecting larval energy budgets leading to distinct tipping points for growth and survival. To test this hypothesis, sea urchin (Strongylocentrotus purpuratus) larvae were reared for 10 days in different pH conditions ranging from pH 7.0 to pH 8.2. Survival, development and growth rates were determined demonstrating severe impacts &lt; pH 7.2. To test the effects of pH on midgut alkalization we measured midgut pH and monitored the expression of acid-base transporters. While larvae were able to maintain their midgut pH at 8.9-9.1 up to an acidification level of pH 7.2, midgut pH was decreased in the lower pH treatments. The maintenance of midgut pH under low pH conditions was accompanied by dynamic changes in the expression level of midgut acid-base transporters. Metabolic rates of the larvae increased with decreasing pH and reached a threshold between pH 7.0 and pH 7.3 where metabolic rates decreased again. Methylation analyses on promoter CpG islands were performed for midgut acid-base transporter genes to test for possible epigenetic modifications after 10-day exposure to different pH conditions. This analysis demonstrated no correlation between methylation level and pH treatments suggesting low potential for epigenetic modification of acid-base transporters upon short-term exposure. Since a clear tipping point was identified at pH 7.2, which is much lower than near-future ocean acidification (OA) scenarios, this study suggests that the early development of the purple sea urchin larva has a comparatively high tolerance to seawater acidification with substantial acclimation capacity and plasticity in a key physiological trait under near-future OA conditions.</t>
  </si>
  <si>
    <t>10.1016/j.cbpa.2019.04.018</t>
  </si>
  <si>
    <t>Kim, MS; Lee, YH; Lee, Y; Byeon, E; Kim, DH; Wang, M; Hagiwara, A; Aranda, M; Wu, RSS; Park, HG; Lee, JS</t>
  </si>
  <si>
    <t>Transgenerational adaptation to ocean acidification determines the susceptibility of filter-feeding rotifers to nanoplastics</t>
  </si>
  <si>
    <t>The adaptation of marine organisms to the impending challenges presented by ocean acidification (OA) is essential for their future survival, and mechanisms underlying OA adaptation have been reported in several marine organisms. In the natural environment, however, marine organisms are often exposed to a combination of environmental stressors, and the interactions between adaptive responses have yet to be elucidated. Here, we investigated the susceptibility of filter-feeding rotifers to short-term (ST) and long-term (LT) (&gt;= 180 generations) high CO2 conditions coupled with nanoplastic (NPs) exposure (ST+ and LT+). Adaptation of rotifers to elevated CO2 caused differences in ingestion and accumulation of NPs, resulting in a significantly different mode of action on in vivo endpoints between the ST+ and LT+ groups. Moreover, microRNA-mediated epigenetic regulation was strongly correlated with the varied adaptive responses between the ST+ and LT+ groups, revealing novel regulatory targets and pathways. Our results indicate that pre-exposure history to increased CO2 levels is an important factor in the susceptibility of rotifers to NPs.</t>
  </si>
  <si>
    <t>JAN 5</t>
  </si>
  <si>
    <t>10.1016/j.jhazmat.2023.132593</t>
  </si>
  <si>
    <t>Seibel, BA; Häfker, NS; Trübenbach, K; Zhang, J; Tessier, SN; Pörtner, HO; Rosa, R; Storey, KB</t>
  </si>
  <si>
    <t>Metabolic suppression during protracted exposure to hypoxia in the jumbo squid, Dosidicus gigas, living in an oxygen minimum zone</t>
  </si>
  <si>
    <t>The jumbo squid, Dosidicus gigas, can survive extended forays into the oxygen minimum zone (OMZ) of the Eastern Pacific Ocean. Previous studies have demonstrated reduced oxygen consumption and a limited anaerobic contribution to ATP production, suggesting the capacity for substantial metabolic suppression during hypoxic exposure. Here, we provide a more complete description of energy metabolism and explore the expression of proteins indicative of transcriptional and translational arrest that may contribute to metabolic suppression. We demonstrate a suppression of total ATP demand under hypoxic conditions (1% oxygen, P-O2=0.8 kPa) in both juveniles (52%) and adults (35%) of the jumbo squid. Oxygen consumption rates are reduced to 20% under hypoxia relative to air-saturated controls. Concentrations of arginine phosphate (Arg-P) and ATP declined initially, reaching a new steady state (similar to 30% of controls) after the first hour of hypoxic exposure. Octopine began accumulating after the first hour of hypoxic exposure, once Arg-P breakdown resulted in sufficient free arginine for substrate. Octopine reached levels near 30 mmol g(-1) after 3.4 h of hypoxic exposure. Succinate did increase through hypoxia but contributed minimally to total ATP production. Glycogenolysis in mantle muscle presumably serves to maintain muscle functionality and balance energetics during hypoxia. We provide evidence that post-translational modifications on histone proteins and translation factors serve as a primary means of energy conservation and that select components of the stress response are altered in hypoxic squids. Reduced ATP consumption under hypoxia serves to maintain ATP levels, prolong fuel store use and minimize the accumulation of acidic intermediates of anaerobic ATP-generating pathways during prolonged diel forays into the OMZ. Metabolic suppression likely limits active, daytime foraging at depth in the core of the OMZ, but confers an energetic advantage over competitors that must remain in warm, oxygenated surface waters. Moreover, the capacity for metabolic suppression provides habitat flexibility as OMZs expand as a result of climate change.</t>
  </si>
  <si>
    <t>10.1242/jeb.100487</t>
  </si>
  <si>
    <t>Yan, XY; Wei, PY; Zhang, XZ; Guan, JL; Li, W; Zhang, L; Zheng, YS; Chen, YX; Zhu, P; He, PP; Peng, JX</t>
  </si>
  <si>
    <t>miRNA-seq provides novel insight into the response to hyper- and hyposalinity acclimation in Crassostrea hongkongensis</t>
  </si>
  <si>
    <t>GENE</t>
  </si>
  <si>
    <t>The Hong Kong oyster, Crassostrea hongkongensis, is a significant bivalve species with economic importance. It primarily inhabits the estuarine intertidal zones in southern China, making it susceptible to salinity fluctuations. Consequently, investigating the molecular mechanisms governing salinity regulation in C. hongkongensis is essential. In this study, we conducted miRNA-seq on C. hongkongensis to compare miRNA expression differences under varying salinities (5%o, 25%o, and 35%o). The miRNA sequencing revealed 51 known miRNAs and 95 novel miRNAs across nine small RNA libraries (S5, S25, and S35). Among these miRNAs, we identified 6 downregulated differentially expressed (DE) miRNAs in response to hypo-salinity stress (5%o), while 1 up-regulated DE miRNA and 5 down-regulated DE miRNAs were associated with hyper-salinity stress (35%o). Additionally, we predicted 931 and 768 potential target genes for hypo- and hyper-salinity stress, respectively. Functional gene annotation indicated that the target genes under hypo-salinity stress were linked to vesicle-mediated transport and metal ion binding. Conversely, those under hyper-salinity stress were primarily involved in signal transduction and metabolic processes. These findings have provided insights into the regulatory role of miRNAs, their potential target genes and associated pathways in oyster hypo- and hyper-salinity stress, which establish a foundation for future studies on the roles of miRNAs in salinity acclimation mechanisms in C. hongkongensis.</t>
  </si>
  <si>
    <t>10.1016/j.gene.2024.148555</t>
  </si>
  <si>
    <t>He, X; Liao, YS; Shen, YP; Shao, JF; Wang, S; Bao, YB</t>
  </si>
  <si>
    <t>Transcriptomic analysis of mRNA and miRNA reveals new insights into the regulatory mechanisms of Anadara granosa responses to heat stress</t>
  </si>
  <si>
    <t>Temperature fluctuations resulting from climate change and global warming pose significant threats to various species. The blood clam, Anadara granosa, a commercially important marine bivalve, predominantly inhabits intertidal mudflats that are especially susceptible to elevated temperatures. This vulnerability has led to noticeable declines in the survival rates of A. granosa larvae, accompanied by an increase in malformations. Despite these observable trends, there is a lack of comprehensive research on the regulatory mechanisms underlying A. granosa's responses to heat stress. In this study, we examined the survival rates of A. granosa under varying high temperature conditions, selecting 34 degrees C as heat stress temperature. Enzyme activity assays have shed light on A. granosa's adaptive response to heat stress, revealing its ability to maintain redox balance and transition from aerobic to anaerobic metabolic pathways. Subsequently, mRNA and miRNA transcriptome analyses were conducted, elucidating several key responses of A. granosa to heat stress. These responses include the upregulation of transcription and protein synthesis, downregulation of proteasome activity, and metabolic pattern adjustments. Furthermore, we identified miRNA-mRNA networks implicated in heat stress responses, potentially serving as valuable candidate markers for A. granosa's heat stress response. Notably, we validated the involvement of agr-miR-3199 in A. granosa's heat stress response through its regulation of the target gene Foxj1. These findings not only deepen our understanding of the molecular mechanisms underlying the blood clam's response to heat stress but also offer valuable insights for enhancing heat stress resilience in the blood clam aquaculture industry. Moreover, they contribute to improved cultivation strategies for molluscs in the face of global warming and have significant implications for the conservation of marine resources and the preservation of ecological balance.</t>
  </si>
  <si>
    <t>10.1016/j.cbd.2024.101311</t>
  </si>
  <si>
    <t>Zhang, SY; Huang, S; Shao, YN; Li, CH</t>
  </si>
  <si>
    <t>N6-methyladenosine-dependent upregulation of lnc-28509 increases apoptosis and suppresses bacterial infection in sea cucumber</t>
  </si>
  <si>
    <t>In recent years, lncRNAs (long non-coding RNAs) as well as m6A (N6-methyladenosine) modification have been found to play important roles during pathogens infection induced innate immune response. However, the relationship between the lncRNAs and m6A modification remains unclear. Here, we show that the lncRNA (lnc28509) from sea cucumber Apostichopus japonicus was significantly induced in response to Vibrio splendidus infection. Knockdown of lnc-28509 inhibits the apoptosis of coelomocytes in sea cucumber and the elimination of Vibrio splendidus. In addition, m6A is highly enriched on lnc-28509 transcripts modified by methyltransferase like 3 (METTL3) upon Vibrio splendidus infection and the METTL3 mediated m6A modification increased lnc-28509 expression through suppressing the decay of lnc-28509. Meanwhile, dual-luciferase reporter assay results revealed that lnc-28509 functions as a miRNA sponge of miR-2012, and miR-2012 inhibits the coelomocytes apoptosis via targeting apoptosis-inducing factor 1 (AIF-1) directly. The results suggested that lnc-28509 regulates apoptosis through sponging miR-2012 and promoting the accumulation of AIF-1. The unique m6Adependent lncRNA-miRNA interaction can maintain the anti-bacterial role of lnc-28509. Collectively, these data highlight the critical role of m6A modification in the invertebrate lncRNA and reveal a previously unknown mechanism through which lncRNA-dependent cell apoptotic controlled bacterial infection.</t>
  </si>
  <si>
    <t>10.1016/j.fsi.2025.110495</t>
  </si>
  <si>
    <t>Zhang, SY; Shao, YA; Li, DD; Li, CH</t>
  </si>
  <si>
    <t>Dynamic N6-methyladenosine modification of lncRNA modulated by METTL3 during bacterial disease development in an echinoderm</t>
  </si>
  <si>
    <t>Long non-coding RNAs (lncRNAs) are novel functional non-coding RNAs which engaged in many aspects of biological processes. N6-methyladenosine (m6A) as a kind of abundant epitranscriptomic modification in eukaryotes, plays important roles in regulation of gene expression for various physiological functions. Our previous study demonstrated that sea cucumber lncRNAs were differentially expressed during bacterial infection. However, whether the post-transcriptional regulation of lncRNAs influenced by m6A modification in sea cucumbers with different stages of skin ulceration syndrome (SUS) are largely unknown. Here, we generated the genomewide map of m6A lncRNAs in SUS-diseased and SUS-resistant sea cucumbers for the first time, revealed that m6A levels in lncRNAs were mainly upregulated in SUS-resistant group. Intriguingly, most of the m6A lncRNAs showed a positive correlation between the expression levels and m6A levels based on conjoint analysis, suggesting that m6A modification on a lncRNA may contribute to its RNA stability. Furthermore, the host genes of lncRNAs with dysregulated m6A peaks were enriched in immune pathway. More importantly, methyltransferase METTL3 was required for m6A methylation modification and played positive roles in lncRNA expression. Collectively, this study presents the comprehensive characters of m6A lncRNAs in marine invertebrate. These m6A modified lncRNAs may be served as potential regulators associated with SUS and provide a promising avenue for disease therapy through targeting METTL3.</t>
  </si>
  <si>
    <t>10.1016/j.fsi.2022.04.040</t>
  </si>
  <si>
    <t>Hou, YK; Liao, TL; Zhang, FQ; Zhang, T; Wang, LJ; Lv, WG; Li, ZM</t>
  </si>
  <si>
    <t>MicroRNA transcriptome analysis reveals the immune regulatory mechanism of Crassostrea hongkongesis against Vibrio harveyi infection</t>
  </si>
  <si>
    <t>MicroRNAs (miRNAs) are small non-coding RNA molecules that modulate target-genes expression and play crucial roles in post-transcriptional regulation and immune system regulation. The Hong Kong oyster (Crassostrea hongkongesis), as the main marine aquaculture shellfish in the South China Sea, not only has high economic and ecological value, but also is an ideal model for conducting research on pathogen host interaction. Vibrio harveyi, a Gram negative luminescent marine bacterium, is widely distributed in coastal water environments and can cause large-scale death of C. hongkongesis. However, little in formation is available on the immune regulatory mechanisms of C. hongkongesis infected with V. harveyi. Therefore, we performed microRNA transcriptome analysis for elucidating the immunoregulation mechanism of C. hongkongesis infected with V. harveyi. The results show that a total of 308468208 clean reads and 288371159 clean tags were obtained. 222 differentially expressed miRNAs were identified. A total of 388 target genes that were differentially expressed and negatively correlated with miRNA expression were predicted by 222 DEmiRs. GO enrichment analysis of 388 DETGs showed that they were mainly enriched in the immune-related term of membrane-bounded vesicle, endocytic vesicle lumen, antigen processing and presentation of exogenous peptide antigen via MHC class I, antigen processing and presentation of peptide antigen via MHC class I, and other immune-related term. KEGG enrichment analysis showed that DETGs were mainly enriched in the Complement and coagulation cascades, Herpes simplex virus 1 infection, Bacterial invasion of epithelial cells, Antigen processing and presentation and NOD-like receptor signaling pathway. The 16 key DEmiRs and their target genes form a regulatory network for seven immune-related pathways. These results suggest that V. harveyi infection induces a complex miRNA response with wideranging effects on immune gene expression in the C. hongkongesis. This study explored the immune response of C. hongkongesis to V. harveyi infection at the level of miRNAs, which provides new ideas for the healthy culture and selective breeding of C. hongkongesis.</t>
  </si>
  <si>
    <t>10.1016/j.fsi.2023.109354</t>
  </si>
  <si>
    <t>Zhang, J; Hadj-Moussa, H; Storey, KB</t>
  </si>
  <si>
    <t>Marine periwinkle stress-responsive microRNAs: A potential factor to reflect anoxia and freezing survival adaptations</t>
  </si>
  <si>
    <t>The intertidal marine periwinkle, Littorina littorea, have developed various strategies to deal with cyclic exposures to anoxic and/or freezing stresses when out of water at low tide. With promising translational research potential, evolutionarily conserved microRNAs (miRNAs) have recently become a focus of animal stress response studies. Using RNA-seq, the current study explores the conserved hepatopancreas miRNAs in facilitating snail stress survival. Overall, stress-specific miRNA responses were overserved. Anoxia led to substantial differential miRNA expression patterns, whereas freezing stress showed a relatively high degree of individual variance in miRNA expression. Pathway analysis identified miRNA-related stress survival adaptations, such as cell proliferation. Additionally, machine learning-based gene selection identified seven hepatopancreas miRNAs critical to distinguish between snails under either stress conditions. Our study demonstrated that conserved miRNAs reflect survival adaptations by marine periwinkles under anoxic or frozen conditions, and thus further establishes these snails as an optimal stress model suited for translational research.</t>
  </si>
  <si>
    <t>10.1016/j.ygeno.2020.07.036</t>
  </si>
  <si>
    <t>Peng, MX; Cardoso, JCR; Pearson, G; Canário, AVM; Power, DM</t>
  </si>
  <si>
    <t>Core genes of biomineralization and cis-regulatory long non-coding RNA regulate shell growth in bivalves</t>
  </si>
  <si>
    <t>JOURNAL OF ADVANCED RESEARCH</t>
  </si>
  <si>
    <t>Introduction: Bivalve molluscs are abundant in marine and freshwater systems and contribute essential ecosystem services. They are characterized by an exuberant diversity of biomineralized shells and typically have two symmetric valves (a.k.a shells), but oysters (Ostreidae), some clams (Anomiidae and Chamidae) and scallops (Pectinida) have two asymmetrical valves. Predicting and modelling the likely consequences of ocean acidification on bivalve survival, biodiversity and aquaculture makes understanding shell biomineralization and its regulation a priority. Objectives: This study aimed to a) exploit the atypical asymmetric shell growth of some bivalves and through comparative analysis of the genome and transcriptome pinpoint candidate biomineralization-related genes and regulatory long non-coding RNAs (LncRNAs) and b) demonstrate their roles in regulating shell biomineralization/growth. Methods: Meta-analysis of genomes, de novo generated mantle transcriptomes or transcriptomes and proteomes from public databases for six asymmetric to symmetric bivalve species was used to identify biomineralization-related genes. Bioinformatics filtering uncovered genes and regulatory modules characteristic of bivalves with asymmetric shells and identified candidate biomineralization-related genes and lncRNAs with a biased expression in asymmetric valves. A shell regrowth model in oyster and gene silencing experiments, were used to characterize candidate gene function. Results: Shell matrix genes with asymmetric expression in the mantle of the two valves were identified and unique cis-regulatory lncRNA modules characterized in Ostreidae. LncRNAs that regulate the expression of the tissue inhibitor of metalloproteinases gene family (TIMPDR) and of the shell matrix protein domain family (SMPDR) were identified. In vitro and in vivo silencing experiments revealed the candidate genes and lncRNA were associated with divergent shell growth rates and modified the microstructure of calcium carbonate (CaCO3) crystals. Conclusion: LncRNAs are putative regulatory factors of the bivalve biomineralization toolbox. In the Ostreidae family of bivalves biomineralization-related genes are cis-regulated by lncRNA and modify the planar growth rate and spatial orientation of crystals in the shell. (c) 2024 The Authors. Published by Elsevier B.V. on behalf of Cairo University. This is an open access articleunder the CC BY license (http://creativecommons.org/licenses/by/4.0/).</t>
  </si>
  <si>
    <t>10.1016/j.jare.2023.11.024</t>
  </si>
  <si>
    <t>Huang, W; Li, HM; Cheng, CH; Ren, CH; Chen, T; Jiang, X; Cheng, KM; Luo, P; Hu, CQ</t>
  </si>
  <si>
    <t>Analysis of the transcriptome data in Litopenaeus vannamei reveals the immune basis and predicts the hub regulation-genes in response to high-pH stress</t>
  </si>
  <si>
    <t>Soil salinization. erodes the farmlands and poses a serious threat to human life, reuse of the saline-alkali lands as cultivated resources becomes increasingly prominent. Pacific white shrimp (Litopenaeus vannamei) is an important farmed aquatic species for the development and utilization of the saline-alkali areas. However, little is known about the adaptation mechanism of this species in terms of high-pH stress. In the present study, a transcriptome analysis on the gill tissues of L. vannamei in response to high-pH stress (pH 9.3 +/- 0.1) was conducted. After analyzing, the cyclic nucleotide gated channel-Ca2+ (CNGC-Ca2+) and patched 1 (Ptc1) were detected as the majority annotated components in the cAMP signaling pathway (KO04024), indicating that the CNGC-Ca2+ and Ptc1 might be the candidate components for transducing and maintaining the high-pH stress signals, respectively. The immunoglobulin superfamily (IgSF), heat shock protein (HSP), glutathione s-transferase (GST), prophenoloxidase/phenoloxidase (proPO/PO), superoxide dismutase (SOD), antilipopolysaccharide factor (ALF) and lipoprotein were discovered as the major transcribed immune factors in response to high-pH stress. To further detect hub regulation-genes, protein-protein interaction (PPI) networks were constructed; the genes/proteins Polymerase (RNA) II (DNA directed) polypeptide A (POLR2A), Histone acetyltransferase p300 (EP300) and Heat shock 70kDa protein 8 '' (HSPA8) were suggested as the top three hub regulation-genes in response to acute high-pH stress; the genes/proteins Heat shock 70kDa protein 4 '' (HSPA4), FBJ murine osteosarcoma viral oncogene homolog (FOS) and Nucleoporin 54kDa (NUP54) were proposed as the top three hub regulation-genes involved in adapting endurance high-pH stress; the protein-interactions of EP300-HSPA8 and HSPA4-NUP54 were detected as the most important biological interactions in response to the high-pH stress; and the HSP70 family genes might play essential roles in the adaptation of the high-pH stress environment in L. vannamei. These findings provide the first insight into the molecular and immune basis of L. vannamei in terms of high-pH environments, and the construction of a PPI network might improve our understanding in revealing the hub regulation-genes in response to abiotic stress in shrimp species and might be beneficial for further studies.</t>
  </si>
  <si>
    <t>DEC 5</t>
  </si>
  <si>
    <t>10.1371/journal.pone.0207771</t>
  </si>
  <si>
    <t>Putnam, HM; Gates, RD</t>
  </si>
  <si>
    <t>Preconditioning in the reef-building coral Pocillopora damicornis and the potential for trans-generational acclimatization in coral larvae under future climate change conditions</t>
  </si>
  <si>
    <t>Coral reefs are globally threatened by climate change-related ocean warming and ocean acidification (OA). To date, slow-response mechanisms such as genetic adaptation have been considered the major determinant of coral reef persistence, with little consideration of rapid-response acclimatization-mechanisms. These rapid mechanisms such as parental effects that can contribute to trans-generational acclimatization (e.g. epigenetics) have, however, been identified as important contributors to offspring response in other systems. We present the first evidence of parental effects in a cross-generational exposure to temperature and OA in reef-building corals. Here, we exposed adults to high (28.9 degrees C, 805 mu atm P-CO2) or ambient (26.5 degrees C, 417 mu atm P-CO2) temperature and OA treatments during the larval brooding period. Exposure to high treatment negatively affected adult performance, but their larvae exhibited size differences and metabolic acclimation when subsequently re-exposed, unlike larvae from parents exposed to ambient conditions. Understanding the innate capacity corals possess to respond to current and future climatic conditions is essential to reef protection and maintenance. Our results identify that parental effects may have an important role through (1) ameliorating the effects of stress through preconditioning and adaptive plasticity, and/or (2) amplifying the negative parental response through latent effects on future life stages. Whether the consequences of parental effects and the potential for trans-generational acclimatization are beneficial or maladaptive, our work identifies a critical need to expand currently proposed climate change outcomes for corals to further assess rapid response mechanisms that include non-genetic inheritance through parental contributions and classical epigenetic mechanisms.</t>
  </si>
  <si>
    <t>10.1242/jeb.123018</t>
  </si>
  <si>
    <t>Han, LS; Quan, ZJ; Wu, YL; Hao, PF; Wang, WP; Li, YX; Zhang, XL; Liu, P; Gao, C; Wang, H; Wang, L; Zhang, WJ; Yin, DH; Chang, YQ; Ding, J</t>
  </si>
  <si>
    <t>Expression Regulation Mechanisms of Sea Urchin (Strongylocentrotus intermedius) Under the High Temperature: New Evidence for the miRNA-mRNA Interaction Involvement</t>
  </si>
  <si>
    <t>FRONTIERS IN GENETICS</t>
  </si>
  <si>
    <t>In the context of global warming and continuous high temperatures in the northern part of China during summer, the mortality rate of our main breeding species, Strongylocentrotus intermedius, reached 80% in 2020. How sea urchins respond to high temperatures is of great concern to academia and industry. In this study, we examined the antioxidant enzyme activities of different color tube-footed sea urchins under heat stress and compared their transcriptome and microRNA (miRNA) profiles using RNA-Seq. The results showed that the antioxidant enzyme activities of sea urchins were altered by thermal stress, and the changes in peroxidase activities of red tube-footed sea urchins were particularly significant. Investigations revealed that 1,079 differentially expressed genes (DEGs), 11 DE miRNAs, and 104 DE miRNA-DEG pairs in total were detected in sea urchins under high temperature stress. Several mRNA and miRNAs were significantly changed (e.g. HSP70, DnaJ11, HYAL, CALR, miR-184-p5, miR-92a, miR-92c, and miR-124-p5), suggesting these genes and miRNAs exerted important functions in response to high temperature. At the transcriptional level, red tube-footed sea urchins were found to be more sensitive to high temperature and could respond to high temperature rapidly. DE miRNA-mRNA network showed that miR-92b-3p and PC-5p-7420 were the most corresponding miRNAs. Five mRNAs (DnaJ11, SAR1B, CALR, HYOU1, TUBA) may be potential markers of sea urchin response to high temperature. Possible interaction between miRNA-mRNA could be linked to protein folding in the endoplasmic reticulum, Phagosomes, and calcium transport. This study provides a theoretical basis for the molecular mechanism of sea urchin heat tolerance and information that will aid in the selection and breeding of sea urchins with high temperature tolerance.</t>
  </si>
  <si>
    <t>JUN 29</t>
  </si>
  <si>
    <t>10.3389/fgene.2022.876308</t>
  </si>
  <si>
    <t>de Souza, LS; Asorey, CM; Sellanes, J</t>
  </si>
  <si>
    <t>Melanella martarum sp. nov. (Gastropoda: Eulimidae): the first parasitic deep-sea snail reported for the Salas &amp; Gomez Ridge</t>
  </si>
  <si>
    <t>Eulimidae is a highly diverse family of gastropods that are often parasites of echinoderms. They are cosmopolitan and live from the intertidal to great depths. Despite its wide geographic and bathymetric distribution, no species of Eulimidae have been reported for the Salas &amp; G &amp; oacute;mez Ridge to date. In this study, we describe Melanella martarum sp. nov., which was collected during the EPIC oceanographic cruise onboard RV Mirai (JAMSTEC, Japan) in 2019. Seven specimens were collected with a modified Agassiz trawl on the summit of seamount Pearl'' (Zhemchuznaya) in the Salas &amp; G &amp; oacute;mez Ridge (25.59 degrees S, 89.13 degrees W) at 545 m depth. The morphology of M. martarum sp. nov. was compared with other Melanella species reported for the area, including Chile and Rapa Nui. DNA was extracted and partial sequences of the mitochondrial genes Cytochrome Oxidase 1 (COI) and 16S rDNA, and the nuclear gene Histone 3 (H3) were sequenced. Melanella martarum sp. nov. has morphological characteristics that separate it from other species of Melanella, such as the thickness and color of the shell, and the shape of the protoconch. In addition, M. martarum sp. nov. was genetically differentiated from other Melanella spp. sequences (uncorrected p distances from 18,1-8.6% in mitochondrial COI and 16S rDNA to 3% in nuclear H3 sequences). Although there is not much molecular data available for Eulimidae, the phylogenetic analysis confirms the results obtained by morphology, placing the species found on the Salas &amp; G &amp; oacute;mez Ridge within the genus Melanella. The current study advances the understanding of the poorly known benthic fauna found on seamounts in the easternmost part of the Sala &amp; G &amp; oacute;mez ridge, a location distinguished by a high level of endemism.</t>
  </si>
  <si>
    <t>APR 23</t>
  </si>
  <si>
    <t>10.7717/peerj.16932</t>
  </si>
  <si>
    <t>Yang, LY; Zhu, QH; Chen, JY; Lin, LB; Liang, MZ; Zhang, QL</t>
  </si>
  <si>
    <t>Genome-wide transcriptomics and microRNAomics analyses uncover multi-faceted mechanisms to cope with copper stress in ancient macrobenthos amphioxus</t>
  </si>
  <si>
    <t>The mechanisms underlying the toxicity of environmental stress are unclear for marine macrobenthos. Copper/ Cu has posed the most serious threats to amphioxus, an ancient and model benthic cephalochordate. Herein, a dynamic change in the physiological parameters (GR, SOD, ATP, and MDA) was detected with ROS accumulation in Branchiostoma belcheri exposed to 0.3 mg center dot L-1 Cu. Transcriptomes and microRNAomes of B. belcheri were generated to investigate the molecular mechanisms by which this amphioxus copes with Cu exposure. Time-specific genes identified at different time points after exposure were involved in the stimulus and immune response, detoxification and ionic homeostasis, aging and the nervous system, sequentially, with prolongation of exposure time, forming a dynamic process of molecular response to Cu stress. In total, 57 differentially expressed miRNAs were identified under Cu stress. Transcriptomics-miRNAomics analyses indicate that these miRNAs targeted genes associated with many key biological processes such as xenobiotics degradation, oxidative stress, and energy metabolism. The constructed miRNA-mRNA-pathway network uncovered a broad post-transcriptional regulatory mechanism in B. belcheri to cope with Cu stress. Overall, this integrated analyses show that enhanced defense response, accelerated ROS elimination, and repressed ATP production constitute a comprehensive strategy to cope with Cu toxicity in the ancient macrobenthos.</t>
  </si>
  <si>
    <t>10.1016/j.jhazmat.2023.131594</t>
  </si>
  <si>
    <t>Parker, LM; O'Connor, WA; Raftos, DA; Pörtner, HO; Ross, PM</t>
  </si>
  <si>
    <t>Persistence of Positive Carryover Effects in the Oyster, Saccostrea glomerata, following Transgenerational Exposure to Ocean Acidification</t>
  </si>
  <si>
    <t>Ocean acidification (OA) is predicted to have widespread implications for marine organisms, yet the capacity for species to acclimate or adapt over this century remains unknown. Recent transgenerational studies have shown that for some marine species, exposure of adults to OA can facilitate positive carryover effects to their larval and juvenile offspring that help them to survive in acidifying oceanic conditions. But whether these positive carryover effects can persist into adulthood or the next generation is unknown. Here we tested whether positive carryover effects found in larvae of the oyster, Saccostrea glomerata following transgenerational exposure to elevated CO2, could persist into adulthood and whether subsequent transgenerational exposure of adults to elevated CO2 would facilitate similar adaptive responses in the next generation of larvae and juveniles. Following our previous transgenerational exposure of parental adults and first generation (F1) larvae to ambient (385 mu atm) and elevated (856 mu atm) CO2, newly settled F1 juveniles were transferred to the field at ambient CO2 for 14 months, until they reached reproductive maturity. At this time, the F1 adults were returned to the laboratory and the previous transgenerational CO2 exposure was repeated to produce F2 offspring. We found that the capacity of adults to regulate extracellular pH at elevated CO2 was improved if they had a prior history of transgenerational exposure to elevated CO2. In addition, subsequent transgenerational exposure of these adults led to an increase in the resilience of their larval and juvenile offspring. Offspring with a history of transgenerational exposure to elevated CO2 had a lower percentage abnormality, faster development rate, faster shell growth and increased heart rate at elevated CO2 compared with F2 offspring with no prior history of exposure to elevated CO2. Our results suggest that positive carryover effects originating</t>
  </si>
  <si>
    <t>JUL 6</t>
  </si>
  <si>
    <t>10.1371/journal.pone.0132276</t>
  </si>
  <si>
    <t>Ning, XH; Shi, YX; Qian, XB; Zhang, K; Yin, SW</t>
  </si>
  <si>
    <t>Hypoxia stress induces complicated miRNA responses in the gill of Chinese mitten crab (Eriocheir sinensis)</t>
  </si>
  <si>
    <t>Hypoxia caused by global climate change and human activities has become a growing concern eliciting serious damages to aquatic animals. microRNAs (miRNAs) as non-coding regulatory RNAs exert vital effects on hypoxia responses. Chinese mitten crab (Eriocheir sinensis) with the habitat on the sediment surface or the pond bottom is susceptible to oxygen deficiency. However, whether miRNAs are involved in the response of the crabs to hypoxia stress remains enigmas. In this study, we conducted the whole transcriptome-based miRNA-mRNA integrated analysis of Chinese mitten crab gill under hypoxic condition for 3 h and 24 h We found that the acute hypoxia induces complex miRNA responses with the extensive influences on their target genes that engaged in various bio-processes, especially those associated with immunity, metabolism and endocrine. The impact of hypoxia on crab miRNAs is severer, as the exposure lasts longer. In response to the dissolved oxygen fluctuation, the HIF-1 signaling is activated by miRNAs to cope with the hypoxia stress through strategies including balancing inflammatory and autophagy involved in immunity, changing metabolism to reducing energy consumption, and enhancing oxygen-carrying and delivering capacities. The miRNAs and their corresponding target genes engaged in hypoxia response were intertwined into an intricate network. Moreover, the top hub molecular, miR-998-y and miR-275-z, discovered from the network might serve as biomarkers for hypoxia response in crabs. Our study provides the first systemic miRNA profile of Chinese mitten crab induced by hypoxia stress, and the identified miRNAs and the interactive network add new insights into the mechanism of hypoxia response in crabs.</t>
  </si>
  <si>
    <t>10.1016/j.aquatox.2023.106619</t>
  </si>
  <si>
    <t>Tsang, HH; Welch, MJ; Munday, PL; Ravasi, T; Schunter, C</t>
  </si>
  <si>
    <t>Proteomic Responses to Ocean Acidification in the Brain of Juvenile Coral Reef Fish</t>
  </si>
  <si>
    <t>Elevated CO2 levels predicted to occur by the end of the century can affect the physiology and behavior of marine fishes. For one important survival mechanism, the response to chemical alarm cues from conspecifics, substantial among-individual variation in the extent of behavioral impairment when exposed to elevated CO2 has been observed in previous studies. Whole brain transcriptomic data has further emphasized the importance of parental phenotypic variation in the response of juvenile fish to elevated CO2. In this study, we investigate the genome-wide proteomic responses of this variation in the brain of 5-week old spiny damselfish, Acanthochromis polyacanthus. We compared the accumulation of proteins in the brains of juvenile A. polyacanthus from two different parental behavioral phenotypes (sensitive and tolerant) that had been experimentally exposed to short-term, long-term and inter-generational elevated CO2. Our results show differential accumulation of key proteins related to stress response and epigenetic markers with elevated CO2 exposure. Proteins related to neurological development and glucose metabolism were also differentially accumulated particularly in the long-term developmental treatment, which might be critical for juvenile development. By contrast, exposure to elevated CO2 in the parental generation resulted in only three differentially accumulated proteins in the offspring, revealing potential for inter -generational acclimation. Lastly, we found a distinct proteomic pattern in juveniles due to the behavioral sensitivity of parents to elevated CO2, even though the behavior of the juvenile fish was impaired regardless of parental phenotype. Our data shows that developing juveniles are affected in their brain protein accumulation by elevated CO2, but the effect varies with the length of exposure as well as due to variation of parental phenotypes in the population.</t>
  </si>
  <si>
    <t>JUL 30</t>
  </si>
  <si>
    <t>10.3389/fmars.2020.00605</t>
  </si>
  <si>
    <t>Mohseni, H; Hassanvand, V; Homaie, M</t>
  </si>
  <si>
    <t>Microfacies analysis, depositional environment, and diagenesis of the Asmari-Jahrum reservoir in Gulkhari oil field, Zagros basin, SW Iran</t>
  </si>
  <si>
    <t>ARABIAN JOURNAL OF GEOSCIENCES</t>
  </si>
  <si>
    <t>The Asmari and Jahrum formations are studied in terms of microfacies, depositional environment, and diagenesis in the Gulkhari oil field based on data provided from well nos. 2, 10, and 11. Petrography, fauna content, biofacies, and depositional textures lead to recognition of 21 carbonate microfacies and 3 non-carbonate lithofacies which were deposited in four depositional environments including tidal flat, lagoon, bar, and open marine on a homoclinal ramp. Dissolution, bioturbation, cementation, neomorphism, silisification, micritization, physical compaction, and dolomitization affected on the Asmari and Jahrum formations, of which cementation, dolomitization, and dissolution are most prominent. Evidently, cementation reduced reservoir quality whereas dolomitization, dissolution, and burrowing, promoted porosity development of the reservoir. Diagenetic processes points toward uplift and a set of syngenetic processes on seafloor and epigenetic processes during shallow to deep burial. Consequently, the microfacies with improper reservoir quality were subjected to subsequent porosity development through diagenetic processes.</t>
  </si>
  <si>
    <t>10.1007/s12517-015-2130-y</t>
  </si>
  <si>
    <t>Rajan, KC; Vengatesen, T</t>
  </si>
  <si>
    <t>Molecular adaptation of molluscan biomineralisation to high-CO2 oceans - The known and the unknown</t>
  </si>
  <si>
    <t>High-CO2 induced ocean acidification (OA) reduces the calcium carbonate (CaCO3) saturation level (Omega) and the pH of oceans. Consequently, OA is causing a serious threat to several ecologically and economically important biomineralising molluscs. Biomineralisation is a highly controlled biochemical process by which molluscs deposit their calcareous structures. In this process, shell matrix proteins aid the nucleation, growth and assemblage of the CaCO3 crystals in the shell. These molluscan shell proteins (MSPs) are, ultimately, responsible for determination of the diverse shell microstructures and mechanical strength. Recent studies have attempted to integrate gene and protein expression data of MSPs with shell structure and mechanical properties. These advances made in understanding the molecular mechanism of biomineralisation suggest that molluscs either succumb or adapt to OA stress. In this review, we discuss the fate of biomineralisation process in future high-CO2 oceans and its ultimate impact on the mineralised shell's structure and mechanical properties from the perspectives of limited substrate availability theory, proton flux limitation model and the omega myth theory. Furthermore, studying the interplay of energy availability and differential gene expression is an essential first step towards understanding adaptation of molluscan biomineralisation to OA, because if there is a need to change gene expression under stressors, any living system would require more energy than usual. To conclude, we have listed, four important future research directions for molecular adaptation of molluscan biomineralisation in high-CO2 oceans: 1) Including an energy budgeting factor while understanding differential gene expression of MSPs and ion transporters under OA. 2) Unraveling the genetic or epigenetic changes related to biomineralisation under stressors to help solving a bigger picture about future evolution of molluscs, and 3) Understanding Post Translational Modifications of MSPs with and without stressors. 4) Understanding carbon uptake mechanisms across taxa with and without OA to clarify the OA theories on Omega.</t>
  </si>
  <si>
    <t>10.1016/j.marenvres.2020.104883</t>
  </si>
  <si>
    <t>Su, F; Dolmatov, IY; Wang, TM; Yang, HS; Ding, K; Zhang, LB; Sun, LN</t>
  </si>
  <si>
    <t>LncRNA-miRNA interplay regulate intestinal regeneration in the sea cucumber Apostichopus japonicus</t>
  </si>
  <si>
    <t>COMPUTATIONAL AND STRUCTURAL BIOTECHNOLOGY JOURNAL</t>
  </si>
  <si>
    <t>The sea cucumber Apostichopus japonicus, renowned for its remarkable ability to expel and regenerate its internal organs within weeks, serves as a model organism for regeneration research. However, studies on the role of non-coding RNAs, particularly long non-coding RNA (lncRNA), in intestinal regeneration remain limited. In this study, we identified and performed differential expression analysis of lncRNAs in both normal intestines and intestines at 3 days post evisceration (dpe). A total of 2361 lncRNAs were identified, 183 of which were differentially expressed (DE-lncRNAs). The genes targeted by these lncRNAs, either cis-or trans-acting, were involved in oxidative stress, immune response, extracellular matrix remodeling, and energy metabolism during intestinal regeneration. Notably, MSTRG.6200/miR-7847-3p and MSTRG.18440/miR-4220-5p have been confirmed as interacting lncRNA-miRNA pairs. These results suggest that lncRNAs are key regulators of intestinal regeneration in A. japonicus, offering new insights into the underlying mechanisms and potential targets for enhancing regeneration.</t>
  </si>
  <si>
    <t>10.1016/j.csbj.2025.03.047</t>
  </si>
  <si>
    <t>Schunter, C; Welch, MJ; Nilsson, GE; Rummer, JL; Munday, PL; Ravasi, T</t>
  </si>
  <si>
    <t>An interplay between plasticity and parental phenotype determines impacts of ocean acidification on a reef fish</t>
  </si>
  <si>
    <t>The impacts of ocean acidification will depend on the ability of marine organisms to tolerate, acclimate and eventually adapt to changes in ocean chemistry. Here, we use a unique transgenerational experiment to determine the molecular response of a coral reef fish to short-term, developmental and transgenerational exposure to elevated CO2, and to test how these responses are influenced by variations in tolerance to elevated CO2 exhibited by the parents. Within-generation responses in gene expression to end-of-century predicted CO2 levels indicate that a self-amplifying cycle in GABAergic neurotransmission is triggered, explaining previously reported neurological and behavioural impairments. Furthermore, epigenetic regulator genes exhibited a within-generation specific response, but with some divergence due to parental phenotype. Importantly, we find that altered gene expression for the majority of within-generation responses returns to baseline levels following parental exposure to elevated CO2 conditions. Our results show that both parental variation in tolerance and cross-generation exposure to elevated CO2 are crucial factors in determining the response of reef fish to changing ocean chemistry.</t>
  </si>
  <si>
    <t>10.1038/s41559-017-0428-8</t>
  </si>
  <si>
    <t>Monroe, AA; Schunter, C; Welch, MJ; Munday, PL; Ravasi, T</t>
  </si>
  <si>
    <t>Molecular basis of parental contributions to the behavioural tolerance of elevated pCO2 in a coral reef fish</t>
  </si>
  <si>
    <t>Knowledge of adaptive potential is crucial to predicting the impacts of ocean acidification (OA) on marine organisms. In the spiny damselfish, Acanthochromis polyacanthus, individual variation in behavioural tolerance to elevated pCO(2) has been observed and is associated with offspring gene expression patterns in the brain. However, the maternal and paternal contributions of this variation are unknown. To investigate parental influence of behavioural pCO(2) tolerance, we crossed pCO(2)-tolerant fathers with pCO(2)-sensitive mothers and vice versa, reared their offspring at control and elevated pCO(2) levels, and compared the juveniles' brain transcriptional programme. We identified a large influence of parental phenotype on expression patterns of offspring, irrespective of environmental conditions. Circadian rhythm genes, associated with a tolerant parental phenotype, were uniquely expressed in tolerant mother offspring, while tolerant fathers had a greater role in expression of genes associated with histone binding. Expression changes in genes associated with neural plasticity were identified in both offspring types: the maternal line had a greater effect on genes related to neuron growth while paternal influence impacted the expression of synaptic development genes. Our results confirm cellular mechanisms involved in responses to varying lengths of OA exposure, while highlighting the parental phenotype's influence on offspring molecular phenotype.</t>
  </si>
  <si>
    <t>DEC 8</t>
  </si>
  <si>
    <t>10.1098/rspb.2021.1931</t>
  </si>
  <si>
    <t>Urbarova, I; Patel, H; Forêt, S; Karlsen, BO; Jorgensen, TE; Hall-Spencer, JM; Johansen, SD</t>
  </si>
  <si>
    <t>Elucidating the Small Regulatory RNA Repertoire of the Sea Anemone Anemonia viridis Based on Whole Genome and Small RNA Sequencing</t>
  </si>
  <si>
    <t>Cnidarians harbor a variety of small regulatory RNAs that include microRNAs (miRNAs) and PIWI-interacting RNAs (piRNAs), but detailed information is limited. Here, we report the identification and expression of novel miRNAs and putative piRNAs, as well as their genomic loci, in the symbiotic sea anemone Anemonia viridis. We generated a draft assembly of the A. viridis genome with putative size of 313 Mb that appeared to be composed of about 36% repeats, including known transposable elements. We detected approximately equal fractions of DNA transposons and retrotransposons. Deep sequencing of small RNA libraries constructed from A. viridis adults sampled at a natural CO2 gradient off Vulcano Island, Italy, identified 70 distinct miRNAs. Eight were homologous to previously reported miRNAs in cnidarians, whereas 62 appeared novel. Nine miRNAs were recognized as differentially expressed along the natural seawater pH gradient. We found a highly abundant and diverse population of piRNAs, with a substantial fraction showing ping-pong signatures. We identified nearly 22% putative piRNAs potentially targeting transposable elements within the A. viridis genome. The A. viridis genome appeared similar in size to that of other hexacorals with a very high divergence of transposable elements resembling that of the sea anemone genus Exaiptasia. The genome encodes and expresses a high number of small regulatory RNAs, which include novel miRNAs and piRNAs. Differentially expressed small RNAs along the seawater pH gradient indicated regulatory gene responses to environmental stressors.</t>
  </si>
  <si>
    <t>10.1093/gbe/evy003</t>
  </si>
  <si>
    <t>Si, XR; Chen, XL; Guo, BY; Liao, Z; Yan, XJ; Qi, PZ</t>
  </si>
  <si>
    <t>The role of methyltransferase-like 3 (METTL3) in immune response modulation in bivalve ( Mytilus coruscus) during bacterial infection</t>
  </si>
  <si>
    <t>N6-methyladenosine (m6A) modification is a prevalent mRNA modification that regulates diverse biological processes in eukaryotes, including immune responses. While the role of m6A in mammalian immunity has been explored, its involvement in the immune defense of invertebrates, particularly marine bivalves which face constant pathogen challenges, remains largely unknown. Here, we investigated the function of methyltransferase-like 3 (METTL3), a key m6A writer enzyme, in the immune response of the marine bivalve Mytilus coruscus against Vibrio alginolyticus infection. M. coruscus METTL3 (McMETTL3) expression in the digestive gland increased (3-fold) after V. alginolyticus infection, coinciding with elevated m6A levels. Silencing McMETTL3 reduced both m6A levels and V. alginolyticus-induced apoptosis in digestive gland cells. In silico analysis identified a C1q-like protein family member (McC1QL) as a potential downstream target of McMETTL3, exhibiting an increase (7.2-fold) in m6A modification and an increase (1.5-fold) in expression during infection. Functional experiments confirmed that McC1QL knockdown inhibited McMETTL3-driven apoptosis (10.83 %). These findings demonstrate that METTL3 regulates apoptosis and immune responses in invertebrates via m6A modification of target genes like McC1QL. This study provides novel insights into the m6A-mediated immune regulation mechanisms in marine bivalves and may offer potential avenues for developing innovative disease control strategies in aquaculture.</t>
  </si>
  <si>
    <t>10.1016/j.fsi.2024.110094</t>
  </si>
  <si>
    <t>Huo, D; Sun, LN; Sun, JC; Lin, CG; Liu, SL; Zhang, LB; Yang, HS</t>
  </si>
  <si>
    <t>Emerging roles of circRNAs in regulating thermal and hypoxic stresses in Apostichopus japonicus (Echinodermata: Holothuroidea)</t>
  </si>
  <si>
    <t>Some sea cucumbers are economically and ecologically important, but they are threatened by thermal and hypoxic stress in changing oceanographic conditions. We construct circRNAs profiles, reveal circRNAs characters, and illustrate the potential regulatory roles of circRNAs in one commercially important species of sea cucumber, Apostichopus japonicus. Reads are distributed in intergenic (44.14%), exonic (48.26%) and intronic (7.60%) regions of the genome. A total of 1684 circRNAs were identified, and the most common spliced length is 269 nt in the present study. In three treatments (HT [thermal stress], LO [hypoxic stress], and HL [combined thermal and hypoxic stress]), 24, 27 and 27 differentially expressed (DE) circRNAs were identified, respectively. Five novel DE-circRNAs commonly occur in these treatments (novel_circ_0003311, novel_circ_0000229, novel_circ_0003944, novel_circ_0001458 and novel_circ_0000707), and based on them, potential circRNA-miRNA binding pairs were predicted. Sanger sequencing, RNase R treatment experiment and qPCR validation identified the accuracy of the circRNAs. Key circRNAs identified in the present study were covalently closed and were more stable under RNase R treatment than linear RNAs. Based on function analysis, circRNAs could regulate metabolic process, signal transduction, and ion responses in A. japonicus when exposed to thermal and hypoxic stress, and 'regulation of response to stimulus' is a common gene ontology (GO) term that is significantly enriched in each treatment; GO terms for 'DNA' and 'stress' are commonly enriched in heat-related treatments (HT and HL); and GO terms for 'protein' are commonly enriched in hypoxia-related treatments (LO and HL). When environmentally stressed, 'metabolism,' 'transport and catabolism,' 'membrane transport,' and 'signal transduction' were significantly responded in sea cucumber based on KEGG analysis. We provide insights into circRNA functions in stress regulation and lay a foundation for invertebrate circRNA research.</t>
  </si>
  <si>
    <t>DEC 25</t>
  </si>
  <si>
    <t>10.1016/j.ecoenv.2021.112994</t>
  </si>
  <si>
    <t>Chen, H; Xin, LS; Song, XR; Wang, L; Wang, WL; Liu, ZQ; Zhang, H; Wang, LL; Zhou, Z; Qiu, LM; Song, LS</t>
  </si>
  <si>
    <t>A norepinephrine-responsive miRNA directly promotes CgHSP90AA1 expression in oyster haemocytes during desiccation</t>
  </si>
  <si>
    <t>Oyster Crassostrea gigas is one model mollusc inhabiting in the intertidal zone and is frequently stressed by desiccation. The adaptation mechanism of oyster to environmental stress involves multiple levels, and miRNA is one of the most important regulators in post-transcriptional level. In the present study, an oyster norepinephrine-responsive miRNA cgi-miR-365 was proved to contribute to the host adaptation against desiccation by directly promoting the expression of CgHSP90AA1. Briefly, a significant increase of cgi-miR-365 was observed from the first day after aerial exposure and the up-regulation was vigorously repressed when oysters were injected with adrenoceptors antagonists. A total of 15 genes involved in biological regulation, metabolic process and response to stimulus were predicted to be modulated by cgi-miR-365. Among these genes, CgHSP90AA1 was up-regulated significantly during desiccation and could be down-regulated after simultaneous injection of adrenoceptors antagonists. The interaction between cgi-miR-365 and CgHSP90AA1 was subsequently verified in vitro, and a significant promotion of CgHSP90AA1 transcripts was observed after overexpressing cgi-miR-365 in either in vitro luciferase reporter assay or primarily cultured haemocytes. Meanwhile, CgHSP90AA1 transcripts decreased in vivo when cgi-miR-365 was repressed by its inhibitor during desiccation. Collectively, it was suggested that cgi-miR-365 could be induced by norepinephrine during desiccation and promote CgHSP90AA1 expression directly after binding to its 3'-UTR, which would provide new evidence in miRNA-mediated adaptation mechanism in oysters against intertidal stress. (C) 2017 Elsevier Ltd. All rights reserved.</t>
  </si>
  <si>
    <t>10.1016/j.fsi.2017.03.020</t>
  </si>
  <si>
    <t>Huo, D; Sun, LN; Storey, KB; Zhang, LB; Liu, SL; Sun, JC; Yang, HS</t>
  </si>
  <si>
    <t>The regulation mechanism of lncRNAs and mRNAs in sea cucumbers under global climate changes: Defense against thermal and hypoxic stresses</t>
  </si>
  <si>
    <t>The aquatic environment can be greatly impacted by thermal and hypoxic stresses, particularly caused by intensified global warming. Hence, there is an urgency to understand the response mechanisms of marine organisms to adverse environment. Although long non-coding RNAs (lncRNAs) are involved in many biological processes, their roles in stress responses still remain unclear. Here, differentially expressed (DE) lncRNAs and mRNAs were identified as responses to environmental stresses in the economically important sea cucumber, Apostichopus japonicus, and their potential roles were explored. Based on a total of 159, 355 and 495 significantly upregulated genes and 230, 518 and 647 significantly downregulated genes identified in the thermal, hypoxic and combination thermal + hypoxic stress treatments, respectively, we constructed DE-lncRNA-mRNA coexpression networks. Among the networks, eight shared pairs were identified from the three treatments, and based on the connectivity degree, MSTRG.27265, MSTRG.19729 and MSTRG.95524 were shown to be crucial lncRNAs. Among all the significantly changed lncRNAs identified by RT-qPCR and sequencing data, binding sites were found in four other lncRNAs (MSTRG.34610, MSTRG.10941, MSTRG.81281 and MSTRG.93731) with AjamiR-2013-3p, a key miRNA that responds to hypoxia in sea cucumbers. The hypoxia-inducible factor (HIF-1 alpha) was also shown as the possible targeted mRNA of Aja-miR-2013-3p. As indicated by a dual-luciferase reporter assay system, HIF-1 alpha gene/Aja-miR-2013-3p/MSTRG.34610 network and the HIF-1 alpha gene/Aja-miR-20133p/MSTRG.10941 networkmay play important roles in sea cucumbers under environmental stresses. Moreover, environmental stress altered the expression of multiple lncRNAs and mRNAs, thus affecting various biological processes in A. japonicus, including immunity, energy metabolism and the cell cycle. At the molecular level, more comprehensive responseswere elicited by the combined thermal/hypoxic stress treatment than by individual stresses alone in sea cucumbers. This study lays the groundwork for future research on molecular mechanisms of echinoderm responses to thermal and hypoxic stress in the context of global climate changes. (C) 2019 Elsevier B.V. All rights reserved.</t>
  </si>
  <si>
    <t>MAR 20</t>
  </si>
  <si>
    <t>10.1016/j.scitotenv.2019.136045</t>
  </si>
  <si>
    <t>Saintilan, NJ; Archer, C; Maden, C; Samankassou, E; Bernasconi, SM; Szumigala, D; Mahaffey, Z; West, A; Spangenberg, JE</t>
  </si>
  <si>
    <t>Metal-rich organic matter and hot continental passive margin: drivers for Devonian copper-cobalt-germanium mineralization in dolomitized reef-bearing carbonate platform</t>
  </si>
  <si>
    <t>MINERALIUM DEPOSITA</t>
  </si>
  <si>
    <t>The abundance and types of reef-bearing carbonate platforms reflect the evolution of Devonian climate, with conspicuous microbial-algal reefs in the warm Early and Late Devonian and sponge-coral reefs in the cooler Middle Devonian. A dolomitized Wenlock-Lower Devonian microbial-algal reef-bearing carbonate platform hosts epigenetic copper-cobalt-germanium (Cu-Co-Ge) sulfide mineralization at Ruby Creek-Bornite in the Brooks Range, Alaska. Here, we present rhenium-osmium (Re-Os) radiometric ages and molybdenum and sulfur (delta Mo-98/95 = +2.04 to +5.48 parts per thousand and delta S-34 = -28.5 to -1.8 parts per thousand) isotope variations for individual Cu-Co-Fe sulfide phases along the paragenetic sequence carrollite-bornite-pyrite. In the context of a hot, extensional passive margin, greenhouse conditions in the Early Devonian favored restriction of platform-top seawater circulation and episodic reflux of oxidized brines during growth of the carbonaceous carbonate platform. Molybdenum and sulfur isotope data signal the stepwise reduction of hot brines carrying Cu during latent reflux and geothermal circulation for at least ca. 15 million years from the Early Devonian until Cu-Co sulfide mineralization ca. 379-378 million years ago (Ma) in the Frasnian, Late Devonian (weighted mean of Re-Os model ages of carrollite at 379 +/- 15 Ma [n = 4]; Re-Os isochron age of bornite at 378 +/- 15 Ma [n = 6]). On the basis of petrographic relationships between sulfides and solid bitumen, and the Mo and S isotope data for sulfides, we imply that the endowment in critical metals (e.g., Co, Ge, Re) in the Ruby Creek-Bornite deposit is linked to the activity of primary producers that removed trace metals from the warm Early Devonian seawater and concentrated Co, Ge, and Re in algal-bacterial organic matter in carbonate sediments.</t>
  </si>
  <si>
    <t>10.1007/s00126-022-01123-1</t>
  </si>
  <si>
    <t>Guo, ML; Yuan, T; Jiang, L; Zhou, GW; Huang, H</t>
  </si>
  <si>
    <t>Acclimation mechanisms of reef-building coral Acropora gemmifera juveniles to long-term CO2-driven ocean acidification</t>
  </si>
  <si>
    <t>Ocean acidification (OA) is a major threat to the sexual recruitment of reef-building corals. Acclimation mechanisms are critical but poorly understood in reef-building corals to OA during early life stages. Here, Acropora gemmifera, a common Indo-Pacific coral cultured in in situ seawater from Luhuitou reef at three levels of pCO(2) (pH 8.14, 7.83, 7.54), showed significantly delayed larval metamorphosis and juvenile growth, but adapted to long-term high pCO(2). Differentially expressed genes (DEGs) emerged as a time- and dose-dependent mode of short-term response (3 days post settlement, d p.s.) and long-term acclimation (40 d p.s.), with more DEGs responding to high pCO(2) (pH 7.54) than to medium pCO(2) (pH 7.83). High pCO(2), a presumed threatening seawater baseline for A. gemmifera juveniles, activated DNA repair, macroautophagy, microautophagy and mitophagy mechanisms to maintain cellular homeostasis, recycle cytosolic proteins and damaged organelles, and scavenge reactive oxygen species (ROS) and H+, but at the cost of delayed development through cell cycle arrest associated with epigenetic and genetic regulation at 3 d p.s.. However, A.gemmifera juveniles acclimated to high pCO(2) by up-regulating cell cycle, transcription, translation, cell proliferation, cell-extracellular matrix, cell adhesion, cell communication, signal transduction, transport, binding, Symbiodiniaceae symbiosis, development and calcification from 3 d p.s. to 40 d p.s., when energy reallocation and metabolic suppression occurred for high demand but short-term energy limitation in coral cells undergoing flexible symbiosis. All results indicate that acclimation mechanisms of complicated gene expression improve larval and juvenile resilience to OA for coral population recovery and reef restoration.</t>
  </si>
  <si>
    <t>AUG 20</t>
  </si>
  <si>
    <t>10.1038/s41598-025-15145-y</t>
  </si>
  <si>
    <t>Xu, WB; Zhang, YM; Li, BZ; Lin, CY; Chen, DY; Cheng, YX; Guo, XL; Dong, WR; Shu, MA</t>
  </si>
  <si>
    <t>Effects of low salinity stress on osmoregulation and gill transcriptome in different populations of mud crab Scylla paramamosain</t>
  </si>
  <si>
    <t>Animals living in estuaries suffer from rapid and continuous salinity fluctuations, while the global warming and ex-treme precipitation aggravate this situation. Osmoregulation is important for estuarine animals adapt to salinity fluc-tuations. The present study investigated the effects of low salinity stress on osmoregulation and gill transcriptome in two populations of mud crab from Hangzhou Bay and Zhangzhou Bay of China, respectively. Crabs were transferred from salinity 25 ppt to 5 ppt for 96 h. Edematous swelling in gill filaments was caused by low salinity stress and was more serious in Zhangzhou Bay population. Gill Na+/K+-ATPase activity increased (p &lt; 0.01) in both populations under the low salinity stress and was significantly higher (p &lt; 0.01) in Hangzhou Bay population than in Zhangzhou Bay population. According to transcriptome analysis, there were 191 genes differentially expressed under the low sa-linity stress in gill tissue of both populations. Several ion transport and energy metabolism related pathways, as well as the arginine and proline metabolism pathway, were enriched by these genes. On the other hand, 272 genes were iden-tified to differentially express between two populations under the low salinity stress, but not under the control salinity. The enrichment analysis showed that these genes were mainly related to ion transport, energy metabolism, osmolytes metabolism and methyltransferase activity. In conclusion, the present study suggested that mud crab exploited a com-bination of extracellular anisosmotic regulation and intracellular isosmotic regulation for osmoregulation under the low salinity stress. Hangzhou Bay population showed a greater osmoregulatory capacity, which is probably due to the enhanced ion transport, energy supply, and osmolytes regulation. Meanwhile, epigenetic modification might also contribute to an inherent osmoregulation ability for Hangzhou Bay population to response to salinity fluctuation rapidly.</t>
  </si>
  <si>
    <t>10.1016/j.scitotenv.2023.161522</t>
  </si>
  <si>
    <t>Hookabe, N; Kajihara, H</t>
  </si>
  <si>
    <t>Description of Tubulanus misakiensis sp. nov. (Nemertea: Palaeonemertea) From Sagami Bay, Japan</t>
  </si>
  <si>
    <t>ZOOLOGICAL SCIENCE</t>
  </si>
  <si>
    <t>The palaeonemertean genus Tubulanus Renier, 1804 currently harbors 35 species inhabiting the intertidal to the hadal zones. During a faunal survey in Sagami Bay, Japan, a single specimen of undescribed tubulanid having uniformly pale-colored body with a single dark-colored stripe on the dorsal surface was collected by dredging at depths of 116-211 m. Based on the body coloration and some anatomical features, it can be differentiated from the 35 congeners and is thus described herein as Tubulanus misakiensis sp. nov. In a molecular phylogenetic tree constructed with sequences available in public databases representing five markers (16S rRNA, cytochrome c oxidase subunit I [COI], 18S rRNA, 28S rRNA [not obtained for T. misakiensis], and histone H3), T. misakiensis was sister to Tubulanus izuensis Hookabe, Asai, Nakano, Kimura and Kajihara, 2020 and nested within a clade along with seven unidentified specimens from the abyssal and hadal zones (3428-9577 m); T. misakiensis and T. izuensis differed by 11.7% uncorrected p-distance in terms of 657-bp COI sequences.</t>
  </si>
  <si>
    <t>10.2108/zs210075</t>
  </si>
  <si>
    <t>Tian, Y; Shang, YP; Guo, R; Chang, YQ; Jiang, YA</t>
  </si>
  <si>
    <t>Salinity stress-induced differentially expressed miRNAs and target genes in sea cucumbers Apostichopus japonicus</t>
  </si>
  <si>
    <t>CELL STRESS &amp; CHAPERONES</t>
  </si>
  <si>
    <t>Environmental salinity is an important abiotic factor influencing normal physiological functions and productive performance in the sea cucumber Apostichopus japonicus. It is therefore important to understand how changes in salinity affect sea cucumbers in the face of global climate change. In this study, we investigated the responses to salinity stress in sea cucumbers using mRNA and miRNA sequencing. The regulatory network of mRNAs and miRNAs involved in salinity stress was examined, and the metabolic pathways enriched for differentially expressed miRNAs and target mRNAs were identified. The top 20 pathways were involved in carbohydrate metabolism, fatty acid metabolism, degradation, and elongation, amino acid metabolism, genetic information processing, metabolism of cofactors and vitamins, transport and catabolism, and environmental information processing. A total of 22 miRNAs showed differential expression during salinity acclimation. The predicted 134 target genes were enriched in functions consistent with the results of gene enrichment based on transcriptome analysis. These results suggested that sea cucumbers deal with salinity stress via changes in amino acid metabolism, ion channels, transporters, and aquaporins, under stimulation by environmental signals, and that this process requires energy from carbohydrate and fatty acid metabolism. Salinity challenge also induced miRNA expression. These results provide a valuable genomic resource that extends our understanding of the unique biological characteristics of this economically important species under conditions of salinity stress.</t>
  </si>
  <si>
    <t>10.1007/s12192-019-00996-y</t>
  </si>
  <si>
    <t>Sun, TZ; Huang, JQ; Li, YJ; Wu, SJ; Zhao, L; Kang, YJ</t>
  </si>
  <si>
    <t>Identification and characterization of circular RNAs in the skin of rainbow trout (Oncorhynchus mykiss) infected with infectious hematopoietic necrosis virus</t>
  </si>
  <si>
    <t>Rainbow trout (Oncorhynchus mykiss) is an economically significant freshwater-farmed fish worldwide, and the frequent outbreaks of infectious hematopoietic necrosis (IHN) in recent years have gravely compromised the healthy growth of the rainbow trout aquaculture industry. Fish skin is an essential immune barrier against the invasion of external pathogens, but it is poorly known about the role of circRNAs in rainbow trout skin. Therefore, we examined the expression profiles of circRNAs in rainbow trout skin following IHNV infection using RNA-seq. A total of 6607 circRNAs were identified, of which 34 circRNAs were differentially expressed (DE) and these DE circRNA source genes were related to immune-related pathways such as Toll-like receptor signaling pathway, NOD-like receptor signaling pathway, Cytokine-cytokine receptor interaction, ubiquitin mediated proteolysis, and ferroptosis. We used qRT-PCR, Sanger sequencing, and subcellular localization to validate the chosen DE circRNAs, confirming their localization and expression patterns in rainbow trout skin. Further, 12 DE circRNAs were selected to construct the circRNA-miRNA-mRNA regulatory network, finding one miRNA could connect one or more circRNAs and mRNAs, and some miRNAs were reported to be associated with antiviral immunity. The functional prediction findings revealed that novel_circ_002779 and novel_circ_004118 may act as sponges for miR-205-z and miR-155-y to regulate the expression of target genes TLR8 and PIK3R1, respectively, and participated in the antiviral immune responses in rainbow trout. These results shed light on the immunological mechanism of circRNAs in rainbow trout skin and offer fundamental information for further research on the innate immune system and breeding rainbow trout resistant to disease.</t>
  </si>
  <si>
    <t>10.1016/j.cbd.2024.101277</t>
  </si>
  <si>
    <t>Shiurba, R; Hirabayashi, T; Masuda, M; Kawamura, A; Komoike, Y; Klitz, W; Kinowaki, K; Funatsu, T; Kondo, S; Kiyokawa, S; Sugai, T; Kawamura, K; Namiki, H; Higashinakagawa, T</t>
  </si>
  <si>
    <t>Cellular responses of the ciliate, Tetrahymena thermophila, to far infrared irradiation</t>
  </si>
  <si>
    <t>PHOTOCHEMICAL &amp; PHOTOBIOLOGICAL SCIENCES</t>
  </si>
  <si>
    <t>Infrared rays from sunlight permeate the earth's atmosphere, yet little is known about their interactions with living organisms. To learn whether they affect cell structure and function, we tested the ciliated protozoan, Tetrahymena thermophila. These unicellular eukaryotes aggregate in swarms near the surface of freshwater habitats, where direct and diffuse solar radiation impinge upon the water-air interface. We report that populations irradiated in laboratory cultures grew and mated normally, but major changes occurred in cell physiology during the stationary phase. Early on, there were significant reductions in chromatin body size and the antibody reactivity of methyl groups on lysine residues 4 and 9 in histone H3. Later, when cells began to starve, messenger RNAs for key proteins related to chromatin structure, intermediary metabolism and cellular motility increased from two- to nearly nine-fold. Metabolic activity, swimming speed and linearity of motion also increased, and spindle shaped cells with a caudal cilium appeared. Our findings suggest that infrared radiation enhances differentiation towards a dispersal cell-like phenotype in saturated populations of Tetrahymena thermophila.</t>
  </si>
  <si>
    <t>10.1039/b601741j</t>
  </si>
  <si>
    <t>Mu, C; Wang, RJ; Li, TQ; Li, YQ; Tian, ML; Jiao, WQ; Huang, XT; Zhang, LL; Hu, XL; Wang, S; Bao, ZM</t>
  </si>
  <si>
    <t>Long Non-Coding RNAs (lncRNAs) of Sea Cucumber: Large-Scale Prediction, Expression Profiling, Non-Coding Network Construction, and lncRNA-microRNA-Gene Interaction Analysis of lncRNAs in Apostichopus japonicus and Holothuria glaberrima During LPS Challenge and Radial Organ Complex Regeneration</t>
  </si>
  <si>
    <t>Long non-coding RNA (lncRNA) structurally resembles mRNA but cannot be translated into protein. Although the systematic identification and characterization of lncRNAs have been increasingly reported in model species, information concerning non-model species is still lacking. Here, we report the first systematic identification and characterization of lncRNAs in two sea cucumber species: (1) Apostichopus japonicus during lipopolysaccharide (LPS) challenge and in heathy tissues and (2) Holothuria glaberrima during radial organ complex regeneration, using RNA-seq datasets and bioinformatics analysis. We identified A. japonicus and H. glaberrima lncRNAs that were differentially expressed during LPS challenge and radial organ complex regeneration, respectively. Notably, the predicted lncRNA-microRNA-gene trinities revealed that, in addition to targeting protein-coding transcripts, miRNAs might also target lncRNAs, thereby participating in a potential novel layer of regulatory interactions among non-coding RNA classes in echinoderms. Furthermore, the constructed coding-non-coding network implied the potential involvement of lncRNA-gene interactions during the regulation of several important genes (e.g., Toll-like receptor 1 [TLR1] and transglutaminase-1 [TGM1]) in response to LPS challenge and radial organ complex regeneration in sea cucumbers. Overall, this pioneer systematic identification, annotation, and characterization of lncRNAs in echinoderm pave the way for similar studies and future genetic, genomic, and evolutionary research in non-model species.</t>
  </si>
  <si>
    <t>10.1007/s10126-016-9711-y</t>
  </si>
  <si>
    <t>Tan, TT; Chen, MS; Harikrishna, JA; Khairuddin, N; Shamsudin, MIM; Zhang, GJ; Bhassu, S</t>
  </si>
  <si>
    <t>Deep parallel sequencing reveals conserved and novel miRNAs in gill and hepatopancreas of giant freshwater prawn</t>
  </si>
  <si>
    <t>MicroRNAs (miRNAs) are similar to 20-22 nucleotides, non protein-coding RNA regulatory genes that post-transcriptionally regulate many protein-coding genes, influencing critical biological and metabolic processes. While the number of known microRNA is increasing, there is currently no published data for miRNA from giant freshwater prawns, Macrobrachium rosenbergii (M. rosenbergii), a commercially cultured and economically important food species. In this study, we identified novel miRNAs in the gill and hepatopancreas of M. rosenbergii. Through a deep parallel sequencing analysis and an in silico data analysis approach, 327 miRNA families were identified from small RNA libraries with reference to both the de novo transcriptome of M. rosenbergii obtained from RNA-Seq and to miRBase (Release 18.0, November 2012). Based on the identified mature miRNA and recovered precursor sequences that form appropriate hairpin structures, three conserved miRNA (miR125, miR750, miR993) and 27 novel miRNA candidates encoding messenger-like non-coding RNA were identified. miR-125, miR-750, G-m0002/H-m0009, G-m0005, G-m0008/H-m0016, G-m0011/H-m0027 and G-m0015 were selected for experimental validation with stem-loop quantitative RT-PCR and were found to be coherent with the expression profile of deep sequencing data as evaluated with Pearson's correlation coefficient (r = 0.835178 for miRNA in gill, r = 0.724131 for miRNA in hepatopancreas). Using a combinatorial approach of pathway enrichment analysis and inverse expression relationship of miRNA and mRNA, four co-expressed novel miRNA candidates (G-m0005, G-m0008/H-m0016, G-m0011/H-m0027, and G-m0015) were found to be associated with energy metabolism. In addition, the expression of the three novel miRNA candidates (G-m0005, G-m0008/H-m0016, and G-m0011/H-m0027) were also found to be significantly reduced at 9 and 24 h post infection in M. rosenbergii challenged with infectious hypodermal and hematopoietic necrosis virus, suggesting a functional role of these miRNAs in crustacean immune defense. (c) 2013 Elsevier Ltd. All rights reserved.</t>
  </si>
  <si>
    <t>10.1016/j.fsi.2013.06.017</t>
  </si>
  <si>
    <t>Yang, CY; Wu, HL; Chen, JY; Liao, YS; Mkuye, R; Deng, YW; Du, XD</t>
  </si>
  <si>
    <t>Integrated transcriptomic and metabolomic analysis reveals the response of pearl oyster (Pinctada fucata martensii) to long-term hypoxia</t>
  </si>
  <si>
    <t>The frequency at which organisms are exposed to hypoxic conditions in aquatic environments is increasing due to coastal eutrophication and global warming. To reveal the effects of long-term hypoxic stress on metabolic changes of pearl oyster, commonly known as Pinctada (Pinctada fucata martensii), the present study performed the integrated analysis of transcriptomics and metabolomics to investigate the global changes of genes and metabolites following 25 days hypoxia challenge. Transcriptome analysis detected 1108 differentially expressed genes (DEGs) between the control group and the hypoxia group. The gene ontology (GO) analysis of DEGs revealed that they are significantly enriched in functions such as microtubule-based process, histone (H3-K4, H3-K27, and H4-K20) trimethylation, histone H4 acetylation, kinesin complex, and ATPase activity, and KEGG pathway functions, such as DNA replication, Apoptosis, and MAPK signaling pathways. Metabolome analysis identified 68 significantly different metabolites from all identified metabolites, and associated with 25 metabolic pathways between the control and hypoxia groups. These pathways included aminoacyl-tRNA biosynthesis, arginine and proline metabolism, and phenylalanine metabolism. Our integrated analysis suggested that pearl oysters were subject to oxidative stress, apoptosis, immune inhibition, and neuronal excitability reduction under long-term hypoxic conditions. We also found a remarkable depression in a variety of biological functions under long-term hypoxia, including metabolic rates, biomineralization activities, and the repression of reorganization of the cytoskeleton and cell metabolism. These findings provide a basis for elucidating the mechanisms used by marine bivalves to cope with long-term hypoxic stress.</t>
  </si>
  <si>
    <t>10.1016/j.marenvres.2023.106133</t>
  </si>
  <si>
    <t>Acquafredda, M; Guo, XM; Munroe, D</t>
  </si>
  <si>
    <t>Transcriptomic Response of the Atlantic Surfclam (Spisula solidissima) to Acute Heat Stress</t>
  </si>
  <si>
    <t>There is clear evidence that the oceans are warming due to anthropogenic climate change, and the northeastern coast of USA contains some of the fastest warming areas. This warming is projected to continue with serious biological and social ramifications for fisheries and aquaculture. One species particularly vulnerable to warming is the Atlantic surfclam (Spisula solidissima). The surfclam is a critically important species, linking marine food webs and supporting a productive, lucrative, and sustainable fishery. The surfclam is also emerging as an attractive candidate for aquaculture diversification, but the warming of shallow coastal farms threatens the expansion of surfclam aquaculture. Little is known about the adaptive potential of surfclams to cope with ocean warming. In this study, the surfclam transcriptome under heat stress was examined. Two groups of surfclams were subjected to heat stress to assess how artificial selection may alter gene expression. One group of clams had been selected for greater heat tolerance (HS) and the other was composed of random control clams (RC). After a 6-h exposure to 16 or 29 degrees C, gill transcriptome expression profiles of the four temperature/group combinations were determined by RNA sequencing and compared. When surfclams experienced heat stress, they exhibited upregulation of heat shock proteins (HSPs), inhibitors of apoptosis (IAPs), and other stress-response related genes. RC clams differentially expressed 1.7 times more genes than HS clams, yet HS clams had a stronger response of key stress response genes, including HSPs, IAPs, and genes involved with mitigating oxidative stress. The findings imply that the HS clams have a more effective response to heat stress after undergoing the initial selection event due to genetic differences created by the selection, epigenetic memory of the first heat shock, or both. This work provides insights into how surfclams adapt to heat stress and should inform future breeding programs that attempt to breed surfclam for greater heat tolerance, and ultimately bring greater resiliency to shellfish farms.</t>
  </si>
  <si>
    <t>10.1007/s10126-024-10285-0</t>
  </si>
  <si>
    <t>Graham, AM; Barreto, FS</t>
  </si>
  <si>
    <t>Novel microRNAs are associated with population divergence in transcriptional response to thermal stress in an intertidal copepod</t>
  </si>
  <si>
    <t>The role of gene expression in adaptation to differing thermal environments has been assayed extensively. Yet, in most natural systems, analyses of gene expression reveal only one level of the complexity of regulatory machineries. MicroRNAs (miRNAs) are small noncoding RNAs which are key components of many gene regulatory networks, and they play important roles in a variety of cellular pathways by modulating post-transcriptional quantities of mRNA available for protein synthesis. The characterization of miRNA loci and their regulatory dynamics in nonmodel systems are still largely understudied. In this study, we examine the role of miRNAs in response to high thermal stress in the intertidal copepod Tigriopus californicus. Allopatric populations of this species show varying levels of local adaptation with respect to thermal regimes, and previous studies showed divergence in gene expression between populations from very different thermal environments. We examined the transcriptional response to temperature stress in two populations separated by only 8 km by utilizing RNA-seq to quantify both mRNA and miRNA levels. Using the currently available genome sequence, we first describe the repertoire of miRNAs in T. californicus and assess the degree to which transcriptional response to temperature stress is governed by miRNA activity. The two populations showed large differences in the number of genes involved, the magnitude of change in commonly used genes and in the number of miRNAs involved in transcriptional modulation during stress. Our results suggest that an increased level of regulatory network complexity may underlie improved survivorship under thermal stress in one of the populations.</t>
  </si>
  <si>
    <t>10.1111/mec.14973</t>
  </si>
  <si>
    <t>Rahman, MF; Billah, MM; Kline, RJ; Rahman, MS</t>
  </si>
  <si>
    <t>Effects of elevated temperature on 8-OHdG expression in the American oyster (Crassostrea virginica): Induction of oxidative stress biomarkers, cellular apoptosis, DNA damage and γH2AX signaling pathways</t>
  </si>
  <si>
    <t>FISH AND SHELLFISH IMMUNOLOGY REPORTS</t>
  </si>
  <si>
    <t>Global temperature is increasing due to anthropogenic activities and the effects of elevated temperature on DNA lesions are not well documented in marine organisms. The American oyster (Crassostrea virginica, an edible and commercially important marine mollusk) is an ideal shellfish species to study oxidative DNA lesions during heat stress. In this study, we examined the effects of elevated temperatures (24, 28, and 32 degrees C for one-week exposure) on heat shock protein-70 (HSP70, a biomarker of heat stress), 8-hydroxy-2 &amp; PRIME;-deoxyguanosine (8-OHdG, a biomarker of pro-mutagenic DNA lesion), double-stranded DNA (dsDNA), &amp; gamma;-histone family member X (&amp; gamma;H2AX, a molecular biomarker of DNA damage), caspase-3 (CAS-3, a key enzyme of apoptotic pathway) and Bcl-2associated X (BAX, an apoptosis regulator) protein and/or mRNA expressions in the gills of American oysters. Immunohistochemical and qRT-PCR results showed that HSP70, 8-OHdG, dsDNA, and &amp; gamma;H2AX expressions in gills were significantly increased at high temperatures (28 and 32 degrees C) compared with control (24 degrees C). In situ TUNEL analysis showed that the apoptotic cells in gill tissues were increased in heat-exposed oysters. Interestingly, the enhanced apoptotic cells were associated with increased CAS-3 and BAX mRNA and/or protein expressions, along with 8-OHdG levels in gills after heat exposure. Moreover, the extrapallial (EP) fluid (i.e., extracellular body fluid) protein concentrations were lower; however, the EP glucose levels were higher in heat-exposed oysters. Taken together, these results suggest that heat shock-driven oxidative stress alters extracellular body fluid conditions and induces cellular apoptosis and DNA damage, which may lead to increased 8-OHdG levels in cells/tissues in oysters.</t>
  </si>
  <si>
    <t>10.1016/j.fsirep.2022.100079</t>
  </si>
  <si>
    <t>Cong, M; Li, ZS; Tian, WW; Yu, YX; Che, Y; Lv, JS</t>
  </si>
  <si>
    <t>Increased miRNA-375 causes oxidative damage but promotes apoptosis resistance and cell migration in the clam Ruditapes philippinarum</t>
  </si>
  <si>
    <t>MicroRNA is an important regulatory factor at the post-transcriptional level. Previous miRNAomics analysis found that miRNA-375 was steadily upregulated in the clam Ruditapes philippinarum upon ammonia nitrogen exposure. However, we have no knowledge about its regulatory mechanism yet. In this study, the clams were challenged by the injection of miRNA-375 mimics/inhibitor in vivo. Then, a combined approach of qRT-PCR, enzyme assay, and ultrastructure observation was applied to investigate its regulatory effects on the related genes, cellular parameters, and histological structures, respectively. Results showed that increased expression of miRNA-375 interfered with the expression levels of both its target genes and ammonia toxicity-related genes, which would probably lead to oxidative stress, migration of damaged cells, apoptosis resistance, and increased possibility of tumor formation. In addition, miRNA-375 increased MDA content but decreased glutamate content and caused serious structure damage to the clam gills. Thus, increased miRNA-375 probably brings a disastrous fate to the clam R. philippinarum by inducing oxidative damage but promoting apoptosis resistance and cell migration. Overall, this study revealed for the first time the regulatory effects of miRNA-375 in the clams and gave valuable clues to understand the toxicological mechanisms of ammonia nitrogen on the marine bivalve.</t>
  </si>
  <si>
    <t>10.3389/fmars.2025.1528020</t>
  </si>
  <si>
    <t>Yoon, DS; Byeon, E; Sayed, AE; Park, HG; Lee, JS; Lee, MC</t>
  </si>
  <si>
    <t>Multigenerational resilience of the marine rotifer Brachionus plicatilis to high temperature after additive exposure to high salinity and nanoplastics</t>
  </si>
  <si>
    <t>To study multigenerational resilience to high temperature (HT) conditions, we exposed Brachionus plicatilis marine rotifers to HT, high salinity (HS), and nanoplastics (NPs), and measured reproductive and life-cycle endpoints. After exposure to HT, rotifer lifespans were reduced, but daily production of offspring increased. However, both combined HT/HS and HT/HS/NP exposure led to additional decreases in longevity and reproductive ability; the antioxidant defense mechanisms of the rotifers were also notably upregulated as measured by reactive oxygen species levels. Fatty-acid profiles were reduced in all conditions. In multigenerational experiments, the negative effects of HT dissipated rapidly; however, the effects of HT/HS and HT/HS/NPs required four generations to disappear completely. The findings indicated that B. plicatilis were able to recover from these environmental stressors. This study demonstrated the resilience of aquatic organisms in response to changing environmental conditions and provides insights into the complex interactions of different abiotic stressors.</t>
  </si>
  <si>
    <t>10.1016/j.marpolbul.2024.116552</t>
  </si>
  <si>
    <t>Hao, PF; Han, LS; Quan, ZJ; Jin, X; Li, YX; Wu, YL; Zhang, XL; Wang, WP; Gao, C; Wang, L; Wang, H; Zhang, WJ; Chang, YQ; Ding, J</t>
  </si>
  <si>
    <t>Integrative mRNA-miRNA interaction analysis associated with the immune response of Strongylocentrotus intermedius to Vibrio harveyi infection</t>
  </si>
  <si>
    <t>Strongylocentrotus intermedius is one of the most economically valuable sea urchin species in China and has experienced mass mortality owing to outbreaks of bacterial diseases such as black mouth disease. This has caused serious economic losses to the sea urchin farming industry. To investigate the immune response mechanism of S. intermedius with different tube feet colors in response to Vibrio harveyi infection, we examined the different tube feet-colored S. intermedius under V. harveyi challenge and compared their transcriptome and microRNA (miRNA) profiles using RNA-Seq. We obtained 1813 differentially expressed genes (DEGs), 28 DE miRNAs, and 303 DE miRNA-DEG pairs in different tube feet-colored S. intermedius under V. harveyi challenge. Kyoto Ency-clopedia of Genes and Genomes (KEGG) pathway enrichment analysis showed that the most significant DEGs were associated with the Notch signaling and phagosome pathways. The target genes of immune-related miRNAs (miR-71, miR-184, miR-193) and genes (CALM1, SPSB4, DMBT, CSRP1) in S. intermedius were predicted and validated. This study provides insight into the molecular mechanisms that regulate genes involved in the immune response of S. intermedius infected with V. harveyi.</t>
  </si>
  <si>
    <t>10.1016/j.fsi.2023.108577</t>
  </si>
  <si>
    <t>Zhao, XL; Yu, H; Kong, LF; Liu, SK; Li, Q</t>
  </si>
  <si>
    <t>High throughput sequencing of small RNAs transcriptomes in two Crassostrea oysters identifies microRNAs involved in osmotic stress response</t>
  </si>
  <si>
    <t>Increasing evidence suggests that microRNAs post-transcriptionally regulate gene expression and are involved in responses to biotic and abiotic stress. However, the role of miRNAs involved in osmotic plasticity remains largely unknown in marine bivalves. In the present study, we performed low salinity challenge with two Crassostrea species (C. gigas and C. hongkongensis), and conducted high-throughput sequencing of four small RNA libraries constructed from the gill tissues. A total of 202 and 87 miRNAs were identified from C. gigas and C. hongkongensis, respectively. Six miRNAs in C. gigas and two in C. hongkongensis were differentially expressed in response to osmotic stress. The expression profiles of these eight miRNAs were validated by qRT-PCR. Based on GO enrichment and KEGG pathway analysis, genes associated with microtubule-based process and cellular component movement were enriched in both species. In addition, five miRNA-mRNA interaction pairs that showed opposite expression patterns were identified in the C. hongkongensis, Differential expression analysis identified the miRNAs that play important regulatory roles in response to low salinity stress, providing insights into molecular mechanisms that are essential for salinity tolerance in marine bivalves.</t>
  </si>
  <si>
    <t>MAR 4</t>
  </si>
  <si>
    <t>10.1038/srep22687</t>
  </si>
  <si>
    <t>Chu, Q; Zheng, WW; Su, H; Zhang, L; Chang, RJ; Gao, WY; Xu, TJ</t>
  </si>
  <si>
    <t>A Highly Conserved Circular RNA, circRasGEF1B, Enhances Antiviral Immunity by Regulating the miR-21-3p/MITA Pathway in Lower Vertebrates</t>
  </si>
  <si>
    <t>JOURNAL OF VIROLOGY</t>
  </si>
  <si>
    <t>Circular RNAs (circRNAs) represent a class of widespread, diverse, and covalently closed circRNAs that function as microRNA (miRNA) sponges and crucial regulators of gene expression in mammals. However, the regulation and function of circRNAs in lower vertebrates are still unknown. Here, we first discover a highly conserved circRNA termed circRasGEF1B, which displays a high conservation from mammals to fish and serves as key regulator in eliciting antiviral immunity in teleost fish. Results indicate that circRasGEF1B was highly expressed in Siniperca chuatsi rhabdovirus-infected tissues and cells. Functionally, miR-21-3p could inhibit cellular antiviral responses significantly, whereas circRasGEF1B counteracts the effects of miR-21-3p. In mechanism, the results demonstrate that circRasGEF1B acts as a competing endogenous RNA (ceRNA) of miR-21-3p to relieve the repressive effect of miR-21-3p on its target MITA, then enhance the innate antiviral responses. Our results not only provide a novel insight into the functions of circRNAs in lower vertebrates but also broaden our understanding of circRNAs in viral infection. IMPORTANCE Siniperca chuatsi rhabdovirus (SCRV) is a typical fish RNA rhabdovirus, which is one of the most significant viral pathogens in teleost fish and can cause severe hemorrhagic septicemia in freshwater and marine fishes. Here, we discovered a highly conserved circRNA called circRasGEF1B, which acts as a key regulator for innate antiviral responses upon SCRV infection. circRasGEF1B acts as an endogenous sponge of miR-21-3p that downregulates miR-21-3p expression levels. circRasGEF1B is able to bind to miR-21-3p directly and regulates MITA expression. To our knowledge, this report is the first to characterize circRNA-miRNA regulatory networks that exist in lower vertebrates.</t>
  </si>
  <si>
    <t>10.1128/JVI.02145-20</t>
  </si>
  <si>
    <t>Li, HF; Fu, PP; Guo, BY; Liao, Z; Yan, XJ; Qi, PZ</t>
  </si>
  <si>
    <t>Nanopore direct RNA sequencing deciphering the m6A epitranscriptome and its role in the innate immune response of the mussel Mytilus coruscus:a prospective study of RNA modification in marine molluscs</t>
  </si>
  <si>
    <t>The epigenetic mechanisms underlying innate immune regulation in marine invertebrates remain elusive. Direct RNA sequencing (DRS) technology has significantly enhanced the understanding of this field. This study investigated the role of N6-methyladenosine (m6A) modifications in the innate immune response of the mussel Mytilus coruscus to Vibrio alginolyticus infection using nanopore DRS. Results demonstrated that m6A methylation levels increased significantly in infected mussels compared to controls. Key immune-related genes exhibited coordinated transcriptional and m6A methylation changes, suggesting a coordinated regulation. Pathway analysis revealed enrichment of genes involved in splicing, lysosome function, and cilia movement, indicating that mussels may adjust phagocytic activity and cilia motility to combat pathogens. These findings provide novel insights into the epigenetic mechanisms governing innate immunity in marine invertebrates and highlight the therapeutic potential of targeting m6A modifications. This study underscores the importance of DRS in deciphering the complex epitranscriptomic landscape of marine molluscs.</t>
  </si>
  <si>
    <t>10.1016/j.aquaculture.2024.742040</t>
  </si>
  <si>
    <t>Kalkan Tezcan, E; Hemond, EM; Karhan, SÜ; Bilgin, R</t>
  </si>
  <si>
    <t>The Intertwined Effects of Hydrographic Barriers, Palaeoclimate and Life History on Genetic Structure of Marine Populations: A Case Study of Two Marine Invertebrates</t>
  </si>
  <si>
    <t>MEDITERRANEAN MARINE SCIENCE</t>
  </si>
  <si>
    <t>Marine organisms with pelagic planktonic larval stages have high dispersal potential, yet their ranges are restricted by present and historical geographic and oceanographic features. Hydrogeographic features, such as straits and water current patterns, as well as paleoclimate can affect population connectivity, genetic differentiation, and ultimately speciation, but species distributions are also affected by life history characteristics. This study evaluates the effect of the Turkish Straits System (TSS) on the genetic differentiation of two benthic invertebrates with pelagic larvae, the Mediterranean mussel, Mytilus galloprovincialis, and the rock -pool prawn, Palaemon elegans, using mitochondrial and nuclear markers (microsatellites for M. galloprovincialis and Histone H3 gene for P. elegans). For both species, the mitochondrial DNA analyses separated the Black Sea and the Eastern Mediterranean (Aegean and Levantine seas) populations into two clusters. In contrast, in both species the nuclear data indicated no differentiation between Black Sea and Eastern Mediterranean populations. The results suggest that for both species, some individuals of Black Sea origin moved south, most likely through the transport of their pelagic larvae via the surface currents of the TSS. However, for the most part, individuals of Mediterranean origin (from Aegean and Levantine seas) were not able to successfully migrate in the opposite direction, though the small differences in the frequencies of migration in this direction indicate the effects of the life history characteristics of the two species on genetic structure.</t>
  </si>
  <si>
    <t>10.12681/mms.29072</t>
  </si>
  <si>
    <t>Hadj-Moussa, H; Logan, SM; Seibel, BA; Storey, KB</t>
  </si>
  <si>
    <t>Potential role for microRNA in regulating hypoxia-induced metabolic suppression in jumbo squids</t>
  </si>
  <si>
    <t>BIOCHIMICA ET BIOPHYSICA ACTA-GENE REGULATORY MECHANISMS</t>
  </si>
  <si>
    <t>At night, Humboldt squid (Dosidicus gigas) rise to the ocean's surface to feed, but come morning, they descend into the ocean's oxygen minimum zone where they can avoid predators but must deal with severe hypoxia, high pressure, and very cold water. To survive this extreme environment, squid use various adaptations to enter a hypometabolic state characterized by metabolic rate suppression by 35-52%, relative to normoxic conditions. The molecular mechanisms facilitating this metabolic flexibility have yet to be elucidated in hypometabolic squid. Herein, we report the first investigation of the role of microRNAs, a rapid and reversible post-transcriptional master regulator of virtually all biological functions, in cephalopods. We examined expression levels of 39 highly-conserved invertebrate microRNAs in D. gigas brain, mantle muscle, and branchial heart, comparing hypoxic and normoxic conditions. Hypoxia-inducible microRNAs are potentially involved in facilitating neuroprotection, anti-apoptosis, and regenerative mechanisms in brain; inhibiting apoptosis and cell proliferation while conserving energy in heart; and limiting damage by reactive oxygen species and apoptosis in muscle. Rather than orchestrate global metabolic rate depression, the majority of hypoxia-inducible microRNAs identified are involved in promoting cytoprotective mechanisms, suggesting a regulatory role for microRNA in hypoxic marine invertebrates that sets the stage for mechanistic analyses.</t>
  </si>
  <si>
    <t>10.1016/j.bbagrm.2018.04.007</t>
  </si>
  <si>
    <t>Gajigan, AP; Conaco, C</t>
  </si>
  <si>
    <t>A microRNA regulates the response of corals to thermal stress</t>
  </si>
  <si>
    <t>Coral reefs are diverse ecosystems of great ecological and economic importance. However, corals are vulnerable to a variety of stressors, including rising seawater temperatures, and yet little is known about the genetic mechanisms underlying their survival and adaptation to stress. Like other animals, corals possess genes for key members of the microRNA (miRNA) machinery. miRNAs are short RNAs that regulate diverse cellular processes, including organismal stress response, through post-transcriptional repression of gene transcripts. Through small RNA sequencing, we identified 26 miRNAs in the coral, Acropora digitifera. Many of the identified miRNAs are novel, while eight are conserved with miRNAs previously identified in other cnidarians. One of the identified miRNAs is differentially expressed in coral tissues exposed to acute thermal stress. This thermally responsive miRNA putatively regulates multiple pathways of the organismal stress response, DNA/RNA expression regulation, repair mechanisms, tissue morphogenesis, and signalling. We propose a model by which miRNA regulation allows the coral to mount a robust stress response through sequestration of a pool of nontranslated transcripts encoding stress response proteins. Release of miRNA-mediated repression under stress conditions may result in rapid and abundant translation of proteins that help the coral maintain cellular homoeostasis. These findings highlight the potential importance of miRNAs in the thermal resilience of corals.</t>
  </si>
  <si>
    <t>10.1111/mec.14130</t>
  </si>
  <si>
    <t>Weston, JNJ; Peart, RA; Jamieson, AJ</t>
  </si>
  <si>
    <t>Amphipods from the Wallaby-Zenith Fracture Zone, Indian Ocean: new genus and two new species identified by integrative taxonomy</t>
  </si>
  <si>
    <t>SYSTEMATICS AND BIODIVERSITY</t>
  </si>
  <si>
    <t>The Wallaby-Zenith Fracture Zone, within the Wharton Basin of the East Indian Ocean, is a geomorphologically complex structure with depths from abyssal to hadal (similar to 6600 m) with limited published taxonomic data. To fill this knowledge gap, this study describes two new species of scavenging amphipods, Stephonyx sigmacrus sp. nov. (Uristidae) and Civifractura serendipia gen. et sp. nov. (Alicellidae), collected using baited traps from a depth of 4932 m. As identification of deep-sea amphipods is challenged by phenotypic plasticity and convergent evolution, we combined a morphological with a molecular phylogenetic analysis of two mitochondrial (16S rDNA and COI) and two nuclear (Histone 3 and 28S rRNA) regions, where possible (no genetic material was obtainable from S. sigmacrus sp. nov.). The genetic data uncovered cryptic taxonomy and elevated diversity within the non-monophyletic Alicellidae family and provided evidence for establishing a new genus. Additionally, we identified morphological variations from the Tectovalopsis wegeneri description, genetically resolved two previously identified specimens of Diatectonia sp. as T. wegeneri, and identified two new species of Tectovalopsis for future description. These investigations highlight the application of integrative taxonomic approaches and represent a potential model for resolving incongruent morphological and molecular phylogenies for deep-sea amphipods and other specimen-limited taxa. Paper - Civifractura - Civifractura serendipia - Stephonyx sigmacrus -</t>
  </si>
  <si>
    <t>JAN 2</t>
  </si>
  <si>
    <t>10.1080/14772000.2020.1729891</t>
  </si>
  <si>
    <t>Xia, YQ; Yu, XQ; Yuan, Z; Yang, Y; Liu, Y</t>
  </si>
  <si>
    <t>Whole-Transcriptome Analysis Reveals Potential CeRNA Regulatory Mechanism in Takifugu rubripes against Cryptocaryon irritans Infection</t>
  </si>
  <si>
    <t>Simple Summary Cryptocaryon irritans is a primitive ciliate that parasitizes the skin of marine fish and can cause illness or even death in Fugu. In this study, we revealed an immune regulatory network of genes and non-coding RNAs co-modulating competing endogenous RNAs. Potential biomarkers of Fugu infection with Cryptocaryon irritans were analyzed by bioinformatics. Of these, the regulatory network showed that the LOC105418663-circ_0000361-fre-miR-204a-fzd3a ceRNA axis was potentially involved in modulating the immune response of Fugu against Cryptocaryon irritans infection. Our research results have laid a theoretical foundation for a deeper understanding of the immune mechanism of Fugu and proposed new treatment and prevention measures for resisting Cryptocaryon irritans infection.Abstract Cryptocaryon irritans (C. irritans) is a proto-ciliate parasite that infects marine fishes, including the cultured species Takifugu rubripes (T. rubripes), causing disease and potential mortality. In host organisms, infection by parasites triggers an immune response that is modulated by regulatory elements including proteins and non-coding RNAs. In this study, the whole transcriptome RNA sequencing of T. rubripes gill tissue before and after infection with C. irritans was performed to reveal the competitive endogenous RNA (ceRNA) regulatory network. Histomorphology revealed gill segment swelling and parasitic invasion in the infected group. The analysis identified 18 differentially expressed miRNAs (DEMs), 214 lncRNAs (DELs), 2501 genes (DEGs), and 7 circRNAs (DECs) in the infected group. Gene Ontology (GO) enrichment analysis revealed that these genes were notably enriched in the Wnt signaling pathway and mTOR signaling pathway. The co-expression networks (lncRNA/circRNA-miRNA-mRNA) were constructed based on correlation analysis of the differentially expressed RNAs. Further analysis suggested that the LOC105418663-circ_0000361-fru-miR-204a-fzd3a ceRNA axis was potentially involved in the regulation of immune responses against C. irritans infection. Finally, the expression levels of DEG, DEL, and DEM were validated. This study reveals the regulatory mechanism of a candidate ceRNA network, providing insights into the potential mechanism of T. rubripes' infection with C. irritans.</t>
  </si>
  <si>
    <t>10.3390/biology13100788</t>
  </si>
  <si>
    <t>Fu, XM; Guo, M; Liu, JQ; Li, CH</t>
  </si>
  <si>
    <t>circRNA432 enhances the coelomocyte phagocytosis via regulating the miR-2008-ELMO1 axis in Vibrio splendidus-challenged Apostichopus japonicus</t>
  </si>
  <si>
    <t>COMMUNICATIONS BIOLOGY</t>
  </si>
  <si>
    <t>Circular RNAs (circRNAs) are a kind of extensive and diverse covalently closed circular endogenous RNA, which exert crucial functions in immune regulation in mammals. However, the functions and mechanisms of circRNAs in invertebrates are largely unclarified. In our previous work, 261 differentially expressed circRNAs including circRNA432 (circ432) were identified from skin ulcer syndrome (SUS) diseased sea cucumber Apostichopus japonicus by RNA-seq. To better address the functional role of sea cucumber circRNAs, circ432 was first found to be significantly induced by Vibrio splendidus challenge and LPS exposure in this study. Knock-down circ432 could depress the V. splendidus-induced coelomocytes phagocytosis. Moreover, circ432 is validated to serve as the sponge of miR-2008, a differential expressed miRNA in SUS-diseased sea cucumbers, by Argonaute 2-RNA immunoprecipitation (AGO2-RIP) assay, luciferase reporter assay and RNA fluorescence in situ hybridization (FISH) in vitro. Engulfment and cell motility protein 1 (AjELMO1) is further demonstrated to be the target of miR-2008, and silencing AjELMO1 inhibits the V. splendidus-induced coelomocytes phagocytosis, and this phenomenon could be further suppressed by supplementing with miR-2008 mimics, suggesting that circ432 might regulate coelomocytes phagocytosis via miR-2008-AjELMO1 axis. We further confirm that the depressed coelomocytes' phagocytosis by circ432 silencing is consistent with the decreased abundance of AjELMO1, and could be recovered by miR-2008 inhibitors transfection. All our results provide the evidence that circ432 is involved in regulating pathogen-induced coelomocyte phagocytosis via sponge miR-2008 and promotes the abundance of AjELMO1. These findings will enrich the regulatory mechanism of phagocytosis in echinoderm and provide theoretical data for SUS disease prevention and control in sea cucumbers. The study of the role of circRNA432 in a sea cucumber expands our knowledge about the relationship between circRNA and miRNA in marine invertebrates and highlights the functional links between the non-coding RNA and the pathogen-induced phagocytosis.</t>
  </si>
  <si>
    <t>JAN 28</t>
  </si>
  <si>
    <t>10.1038/s42003-023-04516-8</t>
  </si>
  <si>
    <t>Brennan, RS; deMayo, JA; Finiguerra, M; Baumann, H; Dam, HG; Pespeni, MH</t>
  </si>
  <si>
    <t>Complementary genetic and epigenetic changes facilitate rapid adaptation to multiple global change stressors</t>
  </si>
  <si>
    <t>PROCEEDINGS OF THE NATIONAL ACADEMY OF SCIENCES OF THE UNITED STATES OF AMERICA</t>
  </si>
  <si>
    <t>To persist under unprecedented rates of global change, populations can adapt or acclimate. However, how these resilience mechanisms interact, particularly the role of epigenetic variation in long- term adaptation, is unknown. To address this gap, we experimentally evolved the foundational marine copepod Acartia tonsa for 25 generations under ocean acidification, warming, and their combination and then measured epigenomic, genomic, and transcriptomic responses. We observed clear and consistent epigenomic and genomic divergence between treatments, with epigenomic divergence concentrated in genes related to stress response and the regulation of transposable elements. However, epigenetic and genetic changes were inversely related and occurred in different regions of the genome; levels of genetic differentiation (FST) were up to 2.5x higher in regions where methylation did not differ between treatments compared to regions with significant methylation changes. This negative relationship between epigenetic and genetic divergence could be driven by local inhibition of one another or distinct functional targets of selection. Finally, epigenetic divergence was positively, though weakly, associated with gene expression divergence, suggesting that epigenetic changes may facilitate phenotypic change. Taken together, these results suggest that unique, complementary genetic and epigenetic mechanisms promote resilience to global change.</t>
  </si>
  <si>
    <t>JUL 22</t>
  </si>
  <si>
    <t>10.1073/pnas.2422782122</t>
  </si>
  <si>
    <t>Waite, HR; Sorte, CJB</t>
  </si>
  <si>
    <t>Negative carry-over effects on larval thermal tolerances across a natural thermal gradient</t>
  </si>
  <si>
    <t>ECOLOGY</t>
  </si>
  <si>
    <t>Under climate change, marine organisms will need to tolerate or adapt to increasing temperatures to persist. The ability of populations to cope with thermal stress may be influenced by conditions experienced by parents, by both genetic changes and transgenerational phenotypic plasticity through epigenetics or maternal provisioning. In organisms with complex life cycles, larval stages are particularly vulnerable to stress. Positive parental carry-over effects occur if more stressful parental environments yield more tolerant offspring while the opposite pattern leads to negative carry-over effects. This study evaluated the role of parental effects in determining larval thermal tolerances for the intertidal mussel, Mytilus californianus. We tested whether thermal environments across a natural gradient (shoreline elevation) impacted mussel temperature tolerances. Lethal thermal limits were compared for field-collected adults and their larvae. We observed parental effects across one generation, in which adult mussels exposed to warmer habitats yielded less tolerant offspring. Interestingly, although parental environments influenced offspring tolerances, we found no clear effects of habitat conditions on adult phenotypes (tolerances). We found indicators of trade-offs in energy investment, with higher reproductive condition and larger egg diameters in low stress environments. These results suggest that parental effects are negative, leading to possible adverse effects of thermal stress on the next generation.</t>
  </si>
  <si>
    <t>10.1002/ecy.3565</t>
  </si>
  <si>
    <t>Voolstra, CR; Schnetzer, J; Peshkin, L; Randall, CJ; Szmant, AM; Medina, M</t>
  </si>
  <si>
    <t>Effects of temperature on gene expression in embryos of the coral Montastraea faveolata</t>
  </si>
  <si>
    <t>Background: Coral reefs are expected to be severely impacted by rising seawater temperatures associated with climate change. This study used cDNA microarrays to investigate transcriptional effects of thermal stress in embryos of the coral Montastraea faveolata. Embryos were exposed to 27.5 degrees C, 29.0 degrees C, and 31.5 degrees C directly after fertilization. Differences in gene expression were measured after 12 and 48 hours. Results: Analysis of differentially expressed genes indicated that increased temperatures may lead to oxidative stress, apoptosis, and a structural reconfiguration of the cytoskeletal network. Metabolic processes were downregulated, and the action of histones and zinc finger-containing proteins may have played a role in the long-term regulation upon heat stress. Conclusions: Embryos responded differently depending on exposure time and temperature level. Embryos showed expression of stress-related genes already at a temperature of 29.0 degrees C, but seemed to be able to counteract the initial response over time. By contrast, embryos at 31.5 degrees C displayed continuous expression of stress genes. The genes that played a role in the response to elevated temperatures consisted of both highly conserved and coral-specific genes. These genes might serve as a basis for research into coral-specific adaptations to stress responses and global climate change.</t>
  </si>
  <si>
    <t>DEC 23</t>
  </si>
  <si>
    <t>10.1186/1471-2164-10-627</t>
  </si>
  <si>
    <t>Bernabo, P; Viero, G; Lencioni, V</t>
  </si>
  <si>
    <t>A long noncoding RNA acts as a post-transcriptional regulator of heat shock protein (HSP70) synthesis in the cold hardy Diamesa tonsa under heat shock</t>
  </si>
  <si>
    <t>Cold stenothermal insects living in glacier-fed streams are stressed by temperature variations resulting from glacial retreat during global warming. The molecular aspects of insect response to environmental stresses remain largely unexplored. The aim of this study was to expand our knowledge of how a cold stenothermal organism controls gene expression at the transcriptional, translational, and protein level under warming conditions. Using the chironomid Diamesa tonsa as target species and a combination of RACE, qPCR, polysomal profiling, western blotting, and bioinformatics techniques, we discovered a new molecular pathway leading to previously overlooked adaptive strategies to stress. We obtained and characterized the complete cDNA sequences of three heat shock inducible 70 (hsp70) and two members of heat-shock cognate 70 (hsc70). Strikingly, we showed that a novel pseudo-hsp70 gene encoding a putative long noncoding RNA (lncRNA) which is transcribed during thermal stress, acting as a ribosome sponge to provide post-transcriptional control of HSP70 protein levels. The expression of the pseudo-hsp70 gene and its function suggest the existence of a new and unexpected mechanism to cope with thermal stress: lowering the pace of protein production to save energy and optimize resources for recovery.</t>
  </si>
  <si>
    <t>APR 2</t>
  </si>
  <si>
    <t>10.1371/journal.pone.0227172</t>
  </si>
  <si>
    <t>Stewart, ECD; Bribiesca-Contreras, G; Weston, JNJ; Glover, AG; Horton, T</t>
  </si>
  <si>
    <t>Biogeography and phylogeny of the scavenging amphipod genus Valettietta (Amphipoda: Alicelloidea), with descriptions of two new species from the abyssal Pacific Ocean</t>
  </si>
  <si>
    <t>ZOOLOGICAL JOURNAL OF THE LINNEAN SOCIETY</t>
  </si>
  <si>
    <t>Valettietta Lincoln &amp; Thurston, 1983 (Amphipoda: Alicelloidea) is an infrequently sampled genus of scavenging amphipod, with a known bathymetric range from 17-5467 m encompassing a variety of habitats from anchialine caves to abyssal plains. Molecular systematics studies have uncovered cryptic speciation in specimens collected from the abyssal Pacific, highlighting uncertainty in the description of Valettietta anacantha (Birstein &amp; Vinogradov, 1963). Here, we apply an integrative taxonomic approach and describe two new species, Valettietta trottarum sp. nov. and Valettietta synchlys sp. nov., collected at abyssal depths in the Clarion-Clipperton Zone, Pacific Ocean. Both species can be distinguished by characters of the gnathopods, uropod 3, and the inner plate of the maxilliped. Further, molecular phylogenetic analyses of two mitochondrial (16S rDNA and COI) and two nuclear (Histone 3 and 28S rRNA) regions found both new species to form well-supported clades and allowed us to re-identify previously published records based on genetic species delimitation. The biogeography of Valettietta is discussed in light of these re-evaluated records, and a new taxonomic key to the genus is provided. These new taxa highlight the strength of applying an integrated taxonomic approach to uncover biodiversity, which is critical in regions being explored for potential industrial purposes.</t>
  </si>
  <si>
    <t>AUG 19</t>
  </si>
  <si>
    <t>10.1093/zoolinnean/zlae102</t>
  </si>
  <si>
    <t>Kirk, NL; Weis, VM</t>
  </si>
  <si>
    <t>Animal-Symbiodinium Symbioses: Foundations of Coral Reef Ecosystems</t>
  </si>
  <si>
    <t>MECHANISTIC BENEFITS OF MICROBIAL SYMBIONTS</t>
  </si>
  <si>
    <t>A variety of animal taxa have benefited from symbioses with photoautotrophic symbionts that provide fixed carbon in exchange for nutrients and highlight habitats. Corals are one such animal lineage, harboring dinoflagellates in the genus Symbiodinium. This genus has remarkably high genetic diversity that translates into morphological, cellular, physiological, and even host infectivity differences. Many corals acquire their symbionts as larvae or recruits upon settlement on the reef, likely from local populations of Symbiodinium present in the sediment. Onset of symbiosis is initiated by host-symbiont recognition and proceeds through a winnowing process where only suitable, healthy Symbiodinium are retained within a host-derived symbiosome membrane. High stress, as is predicted by future climate models, can lead to symbiosis dysfunction and loss of the symbiont from host tissues with negative consequences to the host. Some corals have the ability to exchange their symbiotic partners for those that may be more thermotolerant, but the extent to which coral-dinoflagellate symbioses can acclimatize and adapt to rapid climate change remains to be determined.</t>
  </si>
  <si>
    <t>10.1007/978-3-319-28068-4_10</t>
  </si>
  <si>
    <t>Wu, YS; Si, XR; Qiu, LM; Chen, XL; Fu, PP; Buttino, I; Guo, BY; Liao, Z; Yan, XJ; Qi, PZ</t>
  </si>
  <si>
    <t>Regulation of innate immunity in marine mussel Mytilus coruscus: MicroRNA Mc-novel_miR_196 targets McTLR-like1 molecule to inhibit inflammatory response and apoptosis</t>
  </si>
  <si>
    <t>Toll-like receptors (TLRs) are crucial players in immune recognition and regulation, with aberrant activation leading to autoimmune, chronic inflammatory, and infectious diseases. MicroRNAs (miRNAs) have been shown to regulate gene expression at transcriptional and post-transcriptional levels. While miRNA-mediated regulation of TLR signaling has been studied in mammals, the underlying mechanisms of TLR-miRNA interactions in molluscs remain unclear. In a previous study, one of the TLR genes potentially targeted by miRNAs was identified and named McTLR-like1. McTLR-like1 was later found to be targeted by miRNA Mc-novel_miR_196 through bioinformatic prediction. In this study, we aim to experimentally determine the interaction between McTLR-like1 and Mc-novel_miR_196, as well as their functional role in the innate immune response of molluscs. The results showed that the expression of Mc-novel_miR_196 was suppressed, while the expression of McTLR-like1 was enhanced in M. coruscus hemocytes treated with lipopolysaccharide (LPS). Moreover, in vitro assays demonstrated that Mc-novel_miR_196 directly targets the 5 &amp; PRIME; UTR of McTLR-like1 and leads to the down-regulation of proinflammatory cytokines in hemocytes. In addition, co-transfection experiments confirmed that Mc-novel_miR_196 inhibits McTLR-like1 and inhibits the expression of proinflammatory cytokines. The Tunel assay also showed that Mc-novel_miR_196 inhibited apoptosis in hemocytes induced by LPS. Our findings suggest that microRNA Mc-novel_miR_196 acts as a regulator of innate immunity in M. coruscus by targeting McTLR-like1 and inhibiting inflammatory response and apoptosis. These results provide further insights into the complex molecular mechanisms underlying TLR signaling in molluscs.</t>
  </si>
  <si>
    <t>10.1016/j.fsi.2023.108868</t>
  </si>
  <si>
    <t>Hu, XL; Dai, YP; Zhang, X; Dai, K; Liu, B; Yuan, R; Feng, YJ; Liang, Z; Zhu, M; Zhang, MT; Zhang, YS; Zhang, ZY; Cao, MM; Gu, YC; Pan, J; Yan, BY; Zhu, HX; Xue, RY; Cao, GL; Chen, H; Wang, YJ; Gong, CL</t>
  </si>
  <si>
    <t>Identification and characterization of novel type of RNAs, circRNAs in crucian carp Carassius auratus gibelio</t>
  </si>
  <si>
    <t>Circular RNAs (circRNAs) with regulatory potency activity was identified from varieties of species. Crucian carp (Carassius auratus gibelio) is one of the most freshwater aquaculture species in China. Every year, huge economic damage to the farming was caused by the virus and bacterial infection. Until now, there is any information about circRNA reported from the Crucian carp. In this study, the expression pattern of circRNA in Crucian carp was investigated with transcriptomic analysis. The results showed that only 37 circRNAs were identified from the Crucian carp, and these circRNAs biogenesis was formed with canonical GU-AG splicing mechanism with unevenly distributed on the chromosomes. Wherein, most of the circRNAs were derived from the sense overlapping strategy. Reverse transcript PCR and Sanger sequencing data indicated that these circRNAs were existed authenticity in Crucian carp. The bioinformatics analysis indicated that circRNAs identified from the Crucian carp with potential miRNA sponge regulate the expression level of mRNAs. GO annotation and KEGG pathway analysis of these circRNAs showed that more than 20% circRNAs were related with catalytic activity and binding in the category of molecular function, and these circRNAs were enriched in 9 signaling pathways, such as, Wnt signaling pathway, MAPK signaling pathway, Ubiquitin mediated proteolysis et al. 220 mRNAs would be regulated by the circRNAs via miRNAs mediation. These target mRNAs were further analyzed with functional annotation and KEGG analysis. GO annotation analysis showed that several genes were related with function of nucleotide binding, transcription regulatory activity. KEGG pathway analysis showed that 5 genes were enriched in the pathway of Endocytosis. The circRNA-miRNA-mRNA regulation network indicated that one miRNA can link one or more circRNA and one or more mRNA. Overall, these results will not only help us to further understand the novel RNA transcripts in Crucian carp, but also provide the novel clue to investigate the interaction between host and pathogens from this novel circRNA molecule.</t>
  </si>
  <si>
    <t>10.1016/j.fsi.2019.08.070</t>
  </si>
  <si>
    <t>Nikbakht, ST; Rezaee, P; Moussavi-Harami, R; Khanehbad, M; Ghaemi, F</t>
  </si>
  <si>
    <t>Facies analysis, sedimentary environment and sequence stratigraphy of the Khan Formation in the Kalmard Sub-Block, Central Iran: implications for Lower Permian palaeogeography</t>
  </si>
  <si>
    <t>NEUES JAHRBUCH FUR GEOLOGIE UND PALAONTOLOGIE-ABHANDLUNGEN</t>
  </si>
  <si>
    <t>The Lower Permian Khan Formation in the Kalmard Sub-Block consists mainly of alternation of siliciclastic (conglomerate, sandstone, siltstone and shale) and carbonate rocks (limestones and dolostones), which were deposited in diverse coastal and shallow marine environments. The siliciclastic successions reflec several nearshore lithofacies, which constitute f ve major palaeoenviron-mental associations including proximal lower-middle shoreface, upper shoreface, foreshore, tidal inlet and washover fan/lagoon. The most abundant sedimentary structures in the Khan Formation sand-stones are horizontal lamination, planar and trough cross stratif cation, bidirectional plane bed, swaley and hummocky cross stratificati n. These successions were formed in a barrier island complex. Carbonate production in this formation is dominated by benthic foraminifera particularly fusulinids, brachiopods, mollusks, bryozoans, echinoderms, corals, Tubiphytes, ooids, intraclasts, and peloids. Based on fossil content, texture and sedimentary structures, 23 different facies types have been distinguished that accumulated in four facies associations. The majority of facies associations (FA1-FA4) were formed in tidal fat (FA1), lagoon (FA2), bioclastic shoal (FA3) and shallow open marine (FA4) which deposited on a homoclinal ramp including inner and middle ramp. On the basis of facies relationships and the recognition of key surfaces in the Khan Formation, four (in the Bakhshi and Bibisene sections) and three depositional sequences (in the Tangal-e-Shotoru and Randar sections) are recognized The stratigraphic architectures of the Khan Formation deposits are the result of the interplay between activity of the Kalmard Fault and relative sea-level changes. Palaeogeographic data show that during the deposition of the Khan Formation, the Kalmard Sub-Block was located in low latitudes in a warm and humid climate.</t>
  </si>
  <si>
    <t>10.1127/njgpa/2019/0812</t>
  </si>
  <si>
    <t>Ning, XH; Sun, L</t>
  </si>
  <si>
    <t>Systematic Identification and Analysis of Circular RNAs of Japanese Flounder (Paralichthys olivaceus) in Response to Vibrio anguillarum Infection</t>
  </si>
  <si>
    <t>Circular RNA (circRNA) is a new class of non-coding RNA that is structured into a closed loop without polyadenylation. Recent studies showed that circRNAs are involved in the host immune response to pathogen infection. Japanese flounder (Paralichthys olivaceus), an important economical marine fish cultured in north Asia, is affected by Vibrio anguillarum, a pathogenic bacterium that can infect a large number of fish. In this study, we systematically explored the circRNAs in the spleen of V. anguillarum-infected flounder at different infection time points. A total of 6581 circRNAs were identified, 148 of which showed differential expression patterns after V. anguillarum infection and were named DEcirs. Most of the DEcirs were strongly time-specific. The parental genes of the DEcirs were identified and functionally classified into diverse pathways, including immune-related pathways. Among the immune-related DEcirs, seven were predicted to sponge 18 targeted miRNAs that were differentially expressed during V. anguillarum infection (named DETmiRs). Further analysis showed that the DEcirs and their corresponding DETmiRs intertwined into complicated immune related networks. These results indicate that in flounder, circRNAs are regulated by V. anguillarum and form interactive networks with mRNAs and miRNAs that likely play important roles in the immune defense against pathogen infection.</t>
  </si>
  <si>
    <t>10.3390/genes12010100</t>
  </si>
  <si>
    <t>Ibrahim, S; Yang, CY; Yue, CY; Song, XY; Deng, YW; Li, Q; Lü, WA</t>
  </si>
  <si>
    <t>Whole Transcriptome Analysis Reveals the Global Molecular Responses of mRNAs, lncRNAs, miRNAs, circRNAs, and Their ceRNA Networks to Salinity Stress in Hong Kong Oysters, Crassostrea hongkongensis</t>
  </si>
  <si>
    <t>The Hong Kong oyster, Crassostrea hongkongensis, is an estuarine bivalve with remarkable commercial value in South China, and the increase of salinity in estuaries during the dry season has posed a major threat to the oyster farming. To explore the global transcriptional response to salinity stress, a whole-transcriptome analysis was performed with the gills of oysters in 6 &amp; PTSTHOUSND;, 18 &amp; PTSTHOUSND;, and 30 &amp; PTSTHOUSND; filtered seawater. Overall, 2243, 194, 371, and 167 differentially expressed mRNAs (DEmRNAs), differentially expressed long non-coding RNAs (DElncRNAs), differentially expressed circular RNAs (DEcircRNAs), and differentially expressed microRNAs (DEmiRNAs) were identified, respectively. Based on GO enrichment and KEGG pathway analysis, these important DEmRNAs, DElncRNAs, DEcircRNAs, and DEmiRNAs were predicted to be mainly involved in amino acids metabolism, microtubule movement, and immune defense. This demonstrated the complexity of dynamic transcriptomic profiles of C. hongkongensis in response to salinity fluctuation. The regulatory relationships of DEmiRNAs-DEmRNAs, DElncRNAs-DEmiRNAs, and DEcircRNAs-DEmiRNAs were also predicted, and finally, a circRNA-associated competing endogenous RNA (ceRNA) network was constructed, consisting of six DEcircRNAs, eight DEmiRNAs, and five DEmRNAs. The key roles of taurine and hypotaurine metabolism and phenylalanine metabolism were highlighted in this ceRNA network, which was consistent with the major contribution of free amino acids to intracellular osmolality and cell volume regulation. Collectively, this study provides comprehensive data, contributing to the exploration of coding and non-coding RNAs in C. hongkongensis salinity response. The results would benefit the understanding of the response mechanism of bivalves against salinity fluctuation, and provide clues for genetic improvement of C. hongkongensis with hyper-salinity tolerance.</t>
  </si>
  <si>
    <t>10.1007/s10126-023-10234-3</t>
  </si>
  <si>
    <t>Liu, J; Liu, HL; Zhang, HB</t>
  </si>
  <si>
    <t>Phylogeny and evolutionary radiation of the marine mussels (Bivalvia: Mytilidae) based on mitochondrial and nuclear genes</t>
  </si>
  <si>
    <t>MOLECULAR PHYLOGENETICS AND EVOLUTION</t>
  </si>
  <si>
    <t>The marine mussels (Mytilidae) are distributed in the oceans worldwide and occupy various habitats with diverse life styles. However, their taxonomy and phylogeny remain unclear from genus to family level due to equivocal morphological and anatomical characters among some taxa. In this study, we inferred the deep phylogenetic relationships among 42 mytiloid species, 19 genera, and five subfamilies of the extant marine mussels by using two mitochondrial (COI and 16S rRNA) and three nuclear (18S and 28S rRNA, and histone H3) genes. Phylogeny was reconstructed with a combination of five genes using Bayesian inference and maximum likelihood method, and divergence time was estimated for the major nodes using a relaxed clock model with three fossil calibrations. Phylogenetic trees revealed two major clades (Clades 1 and 2). In Clade 1, the deep-sea mussels (subfamily Bathymodiolinae) were sister to subfamily Modiolinae (represented by Modiolus), and then was clustered with Leiosolenus (subfamily Lithophaginae). Clade 2 comprised Lithophaga (Lithophaginae) and subfamily Mytilinae. Additionally, a Modiolus species and Musculus senhousia (subfamily Crenellinae) were positioned within the subfamily Mytilinae. The phylogenetic results strongly indicated monophyly of Mytilidae and Bathymodiolinae, polyphyly of Modiolinae and Lithophaginae, and paraphyly of Mytilinae. Divergence time estimation showed an ancient and gradual divergence in most mussel groups, whereas the deep-sea mussels originated recently and diverged rapidly during the Paleogene. The present study provides new insight into the evolutionary history of the marine mussels, and supports taxonomic revision for this important bivalve group.</t>
  </si>
  <si>
    <t>10.1016/j.ympev.2018.04.019</t>
  </si>
  <si>
    <t>Cottin, D; Shillito, B; Chertemps, T; Tanguy, A; Léger, N; Ravaux, J</t>
  </si>
  <si>
    <t>Identification of differentially expressed genes in the hydrothermal vent shrimp Rimicaris exoculata exposed to heat stress</t>
  </si>
  <si>
    <t>The deep-sea vent shrimp Rimicaris exoculata dominates the vagile megafauna at most vent sites along the Mid-Atlantic Ridge. This shrimp swarms around the hot end of the hydrothermal biotope where temperature can exceed its critical maximal temperature (33-38.5 +/- 2 degrees C). It may therefore be subjected to a thermal regime that is assumed to be stressful for animals. In this study, we used a global transcriptomic approach by constructing suppression subtractive hybridization cDNA libraries in order to identify specific up- and down-regulated genes in R. exoculata exposed to a severe heat stress (1 h at 30 degrees C). A total of 218 sequences representing potentially highly expressed genes in thermally stressed shrimp were obtained. Expression of 11 genes involved in various cell functions was quantified in control and heat shocked specimens using real-time PCR. Differential expression was observed for some specific genes such as mannose receptor Cl, metalloprotease, histone H1, and hemocyanin with a strong up-regulation of several genes encoding heat shock proteins. These results suggest that R. exoculata is affected at both cellular and molecular levels by sustained exposure at 30 degrees C. The sequenced ESTs presented here will provide an excellent basis for future thermal stress studies on deep-sea vent fauna. (C) 2010 Elsevier B.V. All rights reserved.</t>
  </si>
  <si>
    <t>10.1016/j.margen.2010.05.002</t>
  </si>
  <si>
    <t>Zhou, YD; He, YD; Wang, CS; Zhang, XB</t>
  </si>
  <si>
    <t>Characterization of miRNAs from hydrothermal vent shrimp Rimicaris exoculata</t>
  </si>
  <si>
    <t>Deep-sea hydrothermal vent shrimp Rimicaris exoculata is a dominant species aggregating in vent fields along the Mid-Atlantic Ocean Ridge. MicroRNAs play important roles in life cycles of eukaryotes. However, little is known about miRNAs of vent animals. In the present study, a small RNA cDNA library from the muscle of R. exoculata was constructed and the miRNA sequencing was performed. The results indicated that a total of 7,983,331 raw reads were obtained, representing 569,354 unique sequences. Based on sequence analysis, R. exoculata contained 159 conserved miRNAs and 34 novel miRNAs. The conserved miRNAs included 54 families belonging to three different taxonomic units (bilaterian, protostomes and arthropods). The results also showed that miR-2001, a lost miRNA in crustaceans, existed in R. exoculata. Among the conserved miRNAs, iso-miRs were detected. Therefore, this study presented the first insight into the miRNAs of deep-sea hydrothermal vent animals. (c) 2015 Elsevier B.V. All rights reserved.</t>
  </si>
  <si>
    <t>10.1016/j.margen.2015.09.004</t>
  </si>
  <si>
    <t>Détrée, C; Nuñez-Acuña, G; Tapia, F; Gallardo-Escárate, C</t>
  </si>
  <si>
    <t>Long non-coding RNAs are associated with spatiotemporal gene expression profiles in the marine gastropod Tegula atra</t>
  </si>
  <si>
    <t>Increasing evidence suggests that long non-coding RNAs (IncRNAs) play diverse roles in cellular processes, including in the regulation of embryogenesis and growth. However, little is known about the role of lncRNAs in marine invertebrates inhabiting changing environments. Therefore, the aim of this study was to present the first characterization of lncRNAs in an intertidal marine gastropod. Specifically, Tegula atra individuals were sampled in four sites of the central-northern Chilean coastline (28-31) during summer and winter. A pipeline was constructed, and 3524 putative lncRNAs were identified from transcriptome databases specific to T. atra. These IncRNAs exhibited characteristics common to known IncRNAs, including a length shorter than coding sequences, low GC-content, and low sequence conservation. Expression analyses revealed that lncRNAs varied more in the summer. Furthermore, a majority of the differentially expressed lncRNAs were found in the southernmost population, the seasonal temperatures of which varied the greatest among all groups. Additionally, co-expression analysis found some lncRNAs strongly correlated with coding genes involved in the environmental stress response, such as heat shock proteins and metalloproteins. In contrast, other IncRNA expressions were strongly uncorrelated with genes involved in lipid/carbohydrates metabolism and cell-cell communication. This study provides the first large-scale characterization of lncRNAs in a marine gastropod, with results suggesting a putative role of IncRNAs in thermal tolerance, as well as an association with molecular mechanisms involved in the local adaptations of marine invertebrate populations. (C) 2017 Elsevier B.V. All rights reserved.</t>
  </si>
  <si>
    <t>10.1016/j.margen.2017.01.002</t>
  </si>
  <si>
    <t>Dyer, ES; Paulsen, MT; Markwart, SM; Goh, M; Livant, DL; Ljungman, M</t>
  </si>
  <si>
    <t>Phenylbutyrate inhibits the invasive properties of prostate and breast cancer cell lines in the sea urchin embryo basement membrane invasion assay</t>
  </si>
  <si>
    <t>Histone deacetylase inhibitors, such as phenylbutyrate, are currently undergoing clinical trials as potential anticancer agents. Phenylbutyrate can induce cell differentiation and apoptosis in a number of cancer cell types and can act in synergy with ionizing radiation and chemotherapy to induce apoptosis. We used the sea urchin embryo basement membrane invasion assay to show that phenylbutyrate potently inhibited the invasive properties of both prostate and breast cancer cells at clinically achievable doses. This inhibition was dose-dependent and persisted for at least 24 hr after the drug was removed. These results suggest that in addition to activating apoptosis in cancer cells, phenylbutyrate may be used in prevention of metastatic disease. (C) 2002 Wiley-Liss, Inc.</t>
  </si>
  <si>
    <t>OCT 10</t>
  </si>
  <si>
    <t>10.1002/ijc.10609</t>
  </si>
  <si>
    <t>Domínguez-Castanedo, O; Palomino-Cruz, D; Mascaró, M; Rodríguez-Fuentes, G; Juárez, OE; Galindo-Sánchez, CE; Caamal-Monsreal, C; Torres, PG; Díaz, F; Rosas, C</t>
  </si>
  <si>
    <t>Trans-generational physiological condition of embryos is conditioned by maternal thermal stress in Octopus maya</t>
  </si>
  <si>
    <t>Anthropogenic global warming generates profound metabolic alterations in marine ectotherm invertebrates capable of leading a wide range of these species to extinction. To evaluate the cross-generational effect of thermal stress on the cephalopod Octopus maya, groups of females were exposed at 24 and 30 degrees C until spawn. After, embryos of each female group were incubated at 24 and 30 degrees C allowing for evaluating the transgenerational effects on embryos exposed to high and low temperatures. We analyzed the morphology, oxygen consumption, antioxidant mechanisms, and oxidative stress indicators of the embryos. The results demonstrate that thermally stressed females produced smaller eggs with lower yolk content as observed in nonthermally stressed females. Also was observed that embryos from females acclimated at 30 degrees C had lower body weight and higher respiratory rates when compared with nonthermal stressed females. Embryos from females acclimated at 30 degrees C showed a collapse of the antioxidant defense system measured as lower both catalase activity and total glutathione concentrations. Additionally, glutathione-s transferase activity increased in embryos incubated at 30 degrees C and in females maintained at high temperatures in a clear deleterious and cross-generational effect of thermal stress on this octopus species. No changes were observed in the activity of B-esterases in octopus embryos linked with the thermal stress of females. Embryos from thermally stressed females had smaller sizes, less yolk, and higher metabolic rates. Additionally, a collapse in the antioxidant defense system was observed indicating they were unable to control the high load of ROS and oxidative damage, which was partially acquired by maternal inheritance.</t>
  </si>
  <si>
    <t>10.1007/s00227-023-04183-7</t>
  </si>
  <si>
    <t>Alderdice, R; Pernice, M; Cárdenas, A; Hughes, DJ; Harrison, PL; Boulotte, N; Chartrand, K; Kühl, M; Suggett, DJ; Voolstra, CR</t>
  </si>
  <si>
    <t>Hypoxia as a physiological cue and pathological stress for coral larvae</t>
  </si>
  <si>
    <t>Ocean deoxygenation events are intensifying worldwide and can rapidly drive adult corals into a state of metabolic crisis and bleaching-induced mortality, but whether coral larvae are subject to similar stress remains untested. We experimentally exposed apo-symbiotic coral larvae of Acropora selago to deoxygenation stress with subsequent reoxygenation aligned to their night-day light cycle, and followed their gene expression using RNA-Seq. After 12 h of deoxygenation stress (similar to 2 mg O-2/L), coral planulae demonstrated a low expression of HIF-targeted hypoxia response genes concomitant with a significantly high expression of PHD2 (a promoter of HIF alpha proteasomal degradation), similar to corresponding adult corals. Despite exhibiting a consistent swimming phenotype compared to control samples, the differential gene expression observed in planulae exposed to deoxygenation-reoxygenation suggests a disruption of pathways involved in developmental regulation, mitochondrial activity, lipid metabolism, and O-2-sensitive epigenetic regulators. Importantly, we found that treated larvae exhibited a disruption in the expression of conserved HIF-targeted developmental regulators, for example, Homeobox (HOX) genes, corroborating how changes in external oxygen levels can affect animal development. We discuss how the observed deoxygenation responses may be indicative of a possible acclimation response or alternatively may imply negative latent impacts for coral larval fitness.</t>
  </si>
  <si>
    <t>10.1111/mec.16259</t>
  </si>
  <si>
    <t>Hur, JH; Van Doninck, K; Mandigo, ML; Meselson, M</t>
  </si>
  <si>
    <t>Degenerate Tetraploidy Was Established Before Bdelloid Rotifer Families Diverged</t>
  </si>
  <si>
    <t>Rotifers of Class Bdelloidea are abundant freshwater invertebrates known for their remarkable ability to survive desiccation and their lack of males and meiosis. Sequencing and annotation of approximately 50-kb regions containing the four hsp82 heat shock genes of the bdelloid Philodina roseola, each located on a separate chromosome, have suggested that its genome is that of a degenerate tetraploid. In order to determine whether a similar structure exists in a bdelloid distantly related to P. roseola and if degenerate tetraploidy was established before the two species separated, we sequenced regions containing the hsp82 genes of a bdelloid belonging to a different family, Adineta vaga, and the histone gene clusters of P. roseola and A. vaga. Our findings are entirely consistent with degenerate tetraploidy and show that it was established before the two bdelloid families diverged and therefore probably before the bdelloid radiation.</t>
  </si>
  <si>
    <t>10.1093/molbev/msn260</t>
  </si>
  <si>
    <t>Zhao, C; Lin, CH; Zhang, B; Wang, PF; Zhang, B; Yan, LL; Wang, CL; Qiu, LH</t>
  </si>
  <si>
    <t>Study on the mechanism of miR-7562 regulating ATG5 and ATG12 genes in Penaeus monodon under Vibrio harveyi infection</t>
  </si>
  <si>
    <t>MicroRNAs (miRNAs) play a fundamental role in the post-transcriptional regulation of genes and are pivotal in modulating immune responses in marine species, particularly during pathogen assaults. This study focused on the function of miR-7562 and its regulatory effects on autophagy against Vibrio harveyi infection in the black tiger shrimp (Penaeus monodon), an economically important aquatic species. We successfully cloned and characterized two essential autophagy-related genes (ATGs) from P. monodon, PmATG5 and PmATG12, and then identified the miRNAs potentially involved in co-regulating these genes, which were notably miR-7562, miR-8485, and miR278. Subsequent bacterial challenge experiments and dual-luciferase reporter assays identified miR-7562 as the principal regulator of both genes, particularly by targeting the 3 ' UTR of each gene. By manipulating the in vivo levels of miR-7562 using mimics and antagomirs, we found significant differences in the expression of PmATG5 and PmATG12, which corresponded to alterations in autophagic activity. Notably, miR-7562 overexpression resulted in the downregulation of PmATG5 and PmATG12, leading to a subdued autophagic response. Conversely, miR-7562 knockdown elevated the expression levels of these genes, thereby enhancing autophagic activity. Our findings further revealed that during V. harveyi infection, miR-7562 continued to influence the autophagic pathway by specifically targeting the ATG5-ATG12 complex. This research not only sheds light on the miRNA-dependent mechanisms governing autophagic immunity in shrimp but also proposes miR-7562 as a promising target for therapeutic strategies intended to strengthen disease resistance within the crustacean aquaculture industry.</t>
  </si>
  <si>
    <t>10.1016/j.fsi.2024.109670</t>
  </si>
  <si>
    <t>Brown, BE; Cossins, AR</t>
  </si>
  <si>
    <t>The Potential for Temperature Acclimatisation of Reef Corals in the Face of Climate Change</t>
  </si>
  <si>
    <t>CORAL REEFS: AN ECOSYSTEM IN TRANSITION</t>
  </si>
  <si>
    <t>10.1007/978-94-007-0114-4_24</t>
  </si>
  <si>
    <t>Tempestini, A; Fortier, L; Pinchuk, A; Dufresne, F</t>
  </si>
  <si>
    <t>Molecular phylogeny of the genus Themisto (Guerin, 1925) (Amphipoda: Hyperiidae) in the Northern Hemisphere</t>
  </si>
  <si>
    <t>JOURNAL OF CRUSTACEAN BIOLOGY</t>
  </si>
  <si>
    <t>The Amphipoda is a highly speciose order of crustaceans with a life cycle characterized by direct development and no larval stage, making them interesting models for studies on marine speciation. The family Hyperiidae Dana, 1852 is a strictly pelagic group of Amphipoda. In northern latitudes, free-swimming hyperiids belonging to the genus Themisto (Guerin, 1825) are important components of marine ecosystems in term of abundance and biomass, but little is known about their genetic relationships. We present the first multi-locus molecular phylogenetic assessment of the Themisto in the Northern Hemisphere. We performed Bayesian and maximum likelihood reconstructions based on three nuclear loci (18S rDNA, 28S rDNA, and Histone 3) and mitochondrial cytochrome oxidase I data on eight specimens of Themisto from the Pacific, Arctic, and Atlantic oceans. We also provide an updated molecular phylogeny of Hyperiidae. Based on our multi-locus phylogeny, we report the presence of cryptic species in the North Pacific. Our results are discussed in the light of marine speciation.</t>
  </si>
  <si>
    <t>10.1093/jcbiol/rux076</t>
  </si>
  <si>
    <t>Lyu, K; Wu, YT; Li, JM; Yang, Z</t>
  </si>
  <si>
    <t>MicroRNA miR-210 Modulates the Water Flea Daphnia magna Response to Cyanobacterial Toxicity</t>
  </si>
  <si>
    <t>As a key form of post-transcriptional regulation, microRNAs (miRNAs) regulate gene expression by binding to target mRNAs, leading to mRNA decay or translational repression. Recently, the role of miRNAs in the response of aquatic organisms to environmental stressors has emerged. Daphnia, widely distributed cladocerans, play a crucial role in aquatic ecosystems. Cyanobacterial blooms often cause Daphnia populations to decrease, thereby disrupting ecosystem functionality and water quality. However, the post-transcriptional mechanisms behind Daphnia's response to toxic cyanobacteria are insufficiently understood. This study investigated the role of miR-210, a multifunctional miRNA involved in stress response and toxicity pathways, and its target genes (MLH3, CDHR5, and HYOU1) in two Daphnia magna clones exposed to toxic Microcystis aeruginosa. Results showed that M. aeruginosa inhibited somatic growth rates, led to microcystin accumulation, caused abnormal ultrastructural alterations in the digestive tract, and induced DNA damage in both clones. Notably, exposure significantly increased miR-210 expression and decreased the expression of its target genes compared with the controls. We identified miR-210s regulation on clonal-tolerance variations in D. magna to M. aeruginosa, emphasizing miRNAs' contribution to adaptive responses. Our work uncovered a novel post-transcriptional mechanism of cyanobacterial impact on zooplankton and provided essential insights for assessing cyanobacterial toxicity risks.</t>
  </si>
  <si>
    <t>OCT 9</t>
  </si>
  <si>
    <t>10.1021/acs.est.4c04190</t>
  </si>
  <si>
    <t>Liu, JQ; Zhao, XL; Duan, XM; Zhang, WW; Li, CH</t>
  </si>
  <si>
    <t>CircRNA75 and CircRNA72 Function as the Sponge of MicroRNA-200 to Suppress Coelomocyte Apoptosis Via Targeting Tollip in Apostichopus japonicus</t>
  </si>
  <si>
    <t>Circular RNAs (circRNAs) act as essential regulators in many biological processes, especially in mammalian immune response. Nonetheless, the functions and mechanisms of circRNAs in the invertebrate immune system are largely unclarified. In our previous work, 261 differentially expressed circRNAs potentially related to the development of Apostichopus japonicus skin ulceration syndrome (SUS), which is a major problem restricting the sea cucumber breeding industry, were identified by genome-wide screening. In this study, via miRanda analysis, both circRNA75 and circrRNA72 were shown to share the miR-200 binding site, a key microRNA in the SUS. The two circRNAs were verified to be increased significantly in LPS-exposed primary coelomocytes, similar to the results of circRNA-seq in sea cucumber under Vibrio splendidus-challenged conditions. A dual-luciferase assay indicated that both circRNA75 and circRNA72 could bind miR-200 in vivo, in which circRNA75 had four binding sites of miR-200 and only one for circRNA72. Furthermore, we found that miR-200 could bind the 3'-UTR of Toll interacting protein (Tollip) to negatively mediate the expression of Tollip. Silencing Tollip increased primary coelomocyte apoptosis. Consistently, inference of circRNA75 and circRNA72 could also downregulate Tollip expression, thereby increasing the apoptosis of primary coelomocytes, which could be blocked by miR-200 inhibitor treatment. Moreover, the rate of si-circRNA75-downregulated Tollip expression was higher than that of si-circRNA72 under an equivalent amount. CircRNA75 and circRNA72 suppressed coelomocyte apoptosis by sponging miR-200 to promote Tollip expression. The ability of circRNA to adsorb miRNA might be positively related to the number of binding sites for miRNA.</t>
  </si>
  <si>
    <t>NOV 17</t>
  </si>
  <si>
    <t>10.3389/fimmu.2021.770055</t>
  </si>
  <si>
    <t>Wang, X; Liu, YD; Li, J; Wang, GH</t>
  </si>
  <si>
    <t>StackCirRNAPred: computational classification of long circRNA from other lncRNA based on stacking strategy</t>
  </si>
  <si>
    <t>Background: CircRNAs are essential for the regulation of post-transcriptional gene expression, including as miRNA sponges, and play an important role in disease development. Some computational tools have been proposed recently to predict circRNA, since only one classifier is used, there is still much that can be done to improve the performance. Results: StackCirRNAPred was proposed, the computational classification of long circRNA from other lncRNA based on stacking strategy. In order to cope with the potential problem that a single feature might not be able to distinguish circRNA well from other lncRNA, we first extracted features from different sources, including nucleic acid composition, sequence spatial features and physicochemical properties, Alu and tandem repeats. We innovatively apply the stacking strategy to integrate the more advantageous classifiers of RF, LightGBM, XGBoost. This allows the model to incorporate these features more flexibly. StackCirRNAPred was found to be significantly better than other tools, with precision, accuracy, F1, recall and MCC of 0.843, 0.833, 0.831, 0.819 and 0.666 respectively. We tested it directly on the mouse dataset. StackCirRNAPred was still significantly better than other methods, with precision, accuracy, F1, recall and MCC of 0.837, 0.839, 0.839, 0.841, 0.677. Conclusions: We proposed StackCirRNAPred based on stacking strategy to distinguish long circRNAs from other lncRNAs. With the test results demonstrating the validity and robustness of StackCirRNAPred, we hope StackCirRNAPred will complement existing circRNA prediction methods and is helpful in down-stream research.</t>
  </si>
  <si>
    <t>DEC 27</t>
  </si>
  <si>
    <t>10.1186/s12859-022-05118-7</t>
  </si>
  <si>
    <t>Liu, Y; Sun, JY; Qi, P</t>
  </si>
  <si>
    <t>Long non-coding RNA titin-antisense RNA1 contributes to growth and metastasis of cholangiocarcinoma by suppressing microRNA-513a-5p to upregulate stratifin</t>
  </si>
  <si>
    <t>BIOENGINEERED</t>
  </si>
  <si>
    <t>Cholangiocarcinoma (CCA) is one of the most common histological types of primary hepatic malignancy and is associated with poor overall prognosis, causing a ponderous burden on human life. Hence, it is necessary to elucidate the pathogenesis of CCA. The objective of our research was to shed light on the mechanism through which long non-coding RNA titin-antisense RNA1 (lncRNA TTN-AS1) is involved in the development of CCA. Reverse transcription quantitative polymerase chain reaction was used to detect TTN-AS1 expression in CCA samples and cells. Functional experiments were performed using the Cell Counting Kit-8, 5-ethynyl-2MODIFIER LETTER PRIME-deoxyuridine, transwell, and in vivo tumor growth assays. The relationship between TTN-AS1, miR-513a-5p, and stratifin (SFN) was explored using a dual luciferase reporter assay, RNA immunoprecipitation (RIP) experiment, and Pearson correlation analysis. The result showed that TTN-AS1 and SFN are highly expressed in CCA tissues. Bioinformatics analysis, luciferase reporter and RIP experiments revealed the correlation between TTN-AS1, miR-513a-5p, and SFN. In addition, silencing TTN-AS1 mitigated CCA cell proliferation and migration. Mechanistically, miR-513a-5p is sponged by TTN-AS1. The miR-513a-5p inhibitor abolished the effect of TTN-AS1 silencing on the aggressive behaviors of CCA cells. Furthermore, we showed that miR-513a-5p is a regulator of CCA by targeting SFN. TTN-AS1 induced CCA cell growth and metastasis via the miR-513a-5p/SFN pathway, which offers a new strategy for therapeutic interventions for CCA.</t>
  </si>
  <si>
    <t>DEC 20</t>
  </si>
  <si>
    <t>10.1080/21655979.2021.2011014</t>
  </si>
  <si>
    <t>Sun, SM; Fu, HT; Ge, XP; Zhu, J; Gu, ZM; Xuan, FJ</t>
  </si>
  <si>
    <t>Identification and comparative analysis of the oriental river prawn (Macrobrachium nipponense) microRNA expression profile during hypoxia using a deep sequencing approach</t>
  </si>
  <si>
    <t>Hypoxia refers to a state of oxygen deficiency, which is observed frequently in aquaculture ponds. MicroRNAs (miRNAs) are small non-coding RNAs that are important effectors in regulating gene expression through post transcriptional mechanisms. They are key elements in the response to hypoxia. The oriental river prawn (Macrobrachium nipponense) is an important commercial aquaculture species, and is sensitive to hypoxia. To date, there are no reports describing M. nipponense miRNAs. In this study, Solexa deep sequencing technology was used for high-throughput analysis of miRNAs in a small RNA library isolated from four M. nipponense tissues (gill, hepatopancreas, muscle and hemocytes). In total, 9,227,356 reads were obtained, 4,293,155 of which were related to 267 unique miRNAs, including 203 conserved and 64 prawn-specific miRNAs. Furthermore, miRNA features including length distribution and end variations were characterized. Annotation of targets revealed a broad range of biological processes and signal transduction pathways regulated by M. nipponense miRNAs. In addition, 880 co-expressed and 39 specific (25 normoxia-specific and 14 hypoxia-specific) miRNAs that may be involved in the response to hypoxia were confirmed using miRNA microarray analysis from the four prawn tissues combined. Real-time quantitative PCR (qPCR) analysis of eight miRNAs in the normoxia and hypoxia groups showed good concordance between the sequencing and qPCR data. This study provides the first large-scale identification and characterization of M. nipponense miRNAs and their potential targets, and represents a foundation for further characterization of their roles in the regulation of the diversity of hypoxia processes. (C) 2016 Elsevier Inc. All rights reserved.</t>
  </si>
  <si>
    <t>10.1016/j.cbd.2016.01.003</t>
  </si>
  <si>
    <t>Nunomura, K; Kawakami, S; Shimizu, T; Hara, T; Nakamura, K; Terakawa, Y; Yamasaki, A; Ikegami, S</t>
  </si>
  <si>
    <t>In vivo cross-linking of nucleosomal histones catalyzed by nuclear transglutaminase in starfish sperm and its induction by egg jelly triggering the acrosome reaction</t>
  </si>
  <si>
    <t>EUROPEAN JOURNAL OF BIOCHEMISTRY</t>
  </si>
  <si>
    <t>A histone heterodimer, designated as p28, which contains an N-epsilon(gamma-glutamyl) lysine cross-link between Gln9 of histone H2B and Lys5 or Lys12 of histone H4, is present in starfish (Asterina pectinifera) sperm. Treatment of sperm nuclei with micrococcal nuclease produced soluble chromatin, which was size-fractionated by sucrose-gradient centrifugation to give p28-containing oligonucleosome and p28-free mono-nucleosome fractions, indicating that the cross-link is internucleosomal. When sperm nuclei were incubated with monodansylcadaverine, a fluorescent amine, in the presence or absence of Ca2+, histone H2B was modified only in the presence of Ca2+. Gln9, in the N-terminal region, was modified, but the other Gln residues located in the internal region were not, suggesting that the modi. cation takes place on the surface of the nucleosome core by the in situ action of a Ca2+-dependent nuclear transglutaminase. Treatment of sperm with the egg jelly, which activates Ca2+ influx to induce the acrosome reaction, resulted in a significant elevation of the p28 content in the nucleus. This is the first demonstration of an in vivo activation of transglutaminase leading to the formation of a cross-link in intracellular proteins.</t>
  </si>
  <si>
    <t>10.1046/j.1432-1033.2003.03761.x</t>
  </si>
  <si>
    <t>Liu, YQ; Dong, ZH; Chen, K; Yang, ML; Shi, NF; Liao, X</t>
  </si>
  <si>
    <t>microRNA-mRNA Analysis Reveals Tissue-Specific Regulation of microRNA in Mangrove Clam (Geloina erosa)</t>
  </si>
  <si>
    <t>Geloina erosa is an important benthic animal in the mangrove, serving as an indicator organism for coastal environmental pollution. This study aimed to investigate the tissue-specific expression of miRNAs and their regulatory roles in predicted targets in G. erosa. Through miRNA sequencing and co-expression network analysis, we extensively studied the miRNA expression in three tissues: gills, hepatopancreas, and muscle. The results revealed a total of 1412 miRNAs, comprising 1047 known miRNAs, and 365 newly predicted miRNAs. These miRNAs exhibited distinct tissue-specific expression patterns. In the miRNA target gene prediction, a total of 7404 potential predicted targets were identified, representing approximately 33% of all unique transcripts associated with miRNAs. Further co-expression network analysis revealed nine modules, each showing a positive correlation with specific tissues (gills, hepatopancreas, or muscle). The blue module showed a significant correlation with gills (r = 0.83, p-value = 0.006), the black module was significantly related to the hepatopancreas (r = 0.78, p-value = 0.01), and the purple module was significantly correlated with muscle (r = 0.83, p-value = 0.006). Within these modules, related miRNAs tended to cluster together, while their correlations with other modules were relatively weak. Functional enrichment analysis was performed on miRNAs and their predicted targets in each tissue. In the gills, miRNAs primarily regulate immune-related genes, substance transport, and cytoskeletal organization. In the hepatopancreas, miRNAs suppressed genes involved in shell formation and played a role in cellular motor activity and metabolism. In muscle, miRNAs participate in metabolism and photoreceptive processes, as well as immune regulation. In summary, this study provides valuable insights into the tissue-specific regulation of miRNAs in G. erosa, highlighting their potential roles in immune response, metabolism, and environmental adaptation. These findings offer important clues for understanding the molecular mechanisms and biological processes in G. erosa, laying the foundation for further validation and elucidation of these regulatory relationships.</t>
  </si>
  <si>
    <t>10.3390/biology12121510</t>
  </si>
  <si>
    <t>Moore, B; Jolly, J; Izumiyama, M; Kawai, E; Ryu, T; Ravasi, T</t>
  </si>
  <si>
    <t>Clownfish larvae exhibit faster growth, higher metabolic rates and altered gene expression under future ocean warming</t>
  </si>
  <si>
    <t>Increasing ocean temperatures have been demonstrated to have a range of negative impacts on coral reef fishes. How-ever, despite a wealth of studies of juvenile/adult reef fish, studies of how early developmental stages respond to ocean warming are limited. As overall population persistence is influenced by the development of early life stages, detailed studies of larval responses to ocean warming are essential. Here, in an aquaria-based study we investigate how temper-atures associated with future warming and present-day marine heatwaves (+3 degrees C) impact the growth, metabolic rate, and transcriptome of 6 discrete developmental stages of clownfish larvae (Amphiprion ocellaris). A total of 6 clutches of larvae were assessed, with 897 larvae imaged, 262 larvae undergoing metabolic testing and 108 larvae subject to tran-scriptome sequencing. Our results show that larvae reared at +3 degrees C grow and develop significantly faster and exhibit higher metabolic rates than those in control conditions. Finally, we highlight the molecular mechanisms underpinning the response of larvae from different developmental stages to higher temperatures, with genes associated with metab-olism, neurotransmission, heat stress and epigenetic reprogramming differentially expressed at +3 degrees C. Overall, these results indicate that clownfish development could be altered under future warming, with developmental rate, meta-bolic rate, and gene expression all affected. Such changes may lead to altered larval dispersal, changes in settlement time and increased energetic costs.</t>
  </si>
  <si>
    <t>MAY 15</t>
  </si>
  <si>
    <t>10.1016/j.scitotenv.2023.162296</t>
  </si>
  <si>
    <t>Han, GD; Zhang, S; Marshall, DJ; Ke, CH; Dong, YW</t>
  </si>
  <si>
    <t>Metabolic energy sensors (AMPK and SIRT1), protein carbonylation and cardiac failure as biomarkers of thermal stress in an intertidal limpet: linking energetic allocation with environmental temperature during aerial emersion</t>
  </si>
  <si>
    <t>The effects of heat stress on organisms are manifested at the levels of organ function, metabolic activity, protein stability and gene expression. Here, we examined effects of high temperature on the intertidal limpet Cellana toreuma to determine how the temperatures at which (1) organ failure (cardiac function), (2) irreversible protein damage (carbonylation) and (3) expression of genes encoding proteins involved in molecular chaperoning (hsp70 and hsp90) and metabolic regulation (ampk and sirt1) occur compare with field temperatures, which commonly exceed 30 degrees C and can reach 46 degrees C. Heart failure, indexed by the Arrhenius break temperature, occurred at 34.3 degrees C. Protein carbonylation rose significantly at 38 degrees C. Genes for heat shock proteins HSP70 (hsp70) and HSP90 (hsp90), for two subunits of AMP-activated protein kinase (AMPK) (ampk alpha and ampk beta) and for histone/protein deacetylase SIRT1 (sirt1) all showed increased expression at 30 degrees C. Temperatures of maximal expression differed among genes, as did temperatures at which upregulation ceased. Expression patterns for ampk and sirt1 indicate that heat stress influenced cellular energy homeostasis; above similar to 30 degrees C, upregulation of ATP-generating pathways is suggested by elevated expression of genes for ampk; an altered balance between reliance on carbohydrate and lipid fuels is indicated by changes in expression of sirt1. These results show that C. toreuma commonly experiences temperatures that induce expression of genes associated with the stress response (hsp70 and hsp90) and regulation of energy metabolism (ampk and sirt1). At high temperatures, there is likely to be a shift away from anabolic processes such as growth to catabolic processes, to provide energy for coping with stress-induced damage, notably to proteins.</t>
  </si>
  <si>
    <t>10.1242/jeb.084269</t>
  </si>
  <si>
    <t>Song, K</t>
  </si>
  <si>
    <t>Genome-Wide Identification of Long Non-coding RNAs in Crassostrea gigas and Their Association with Heat Stress</t>
  </si>
  <si>
    <t>Oysters face a complex and changeable environment in the intertidal zone. Heat stress is the main cause of their mass summer deaths. Several important genes are identified to be associated with heat response for oysters. However, regulation of these heat response genes in oysters remains largely unknown. In this study, 27 RNA-seq datasets are used to give a relatively comprehensive of long noncoding RNA (lncRNA) sets for C. gigas. Then, the differential expressed genes and lncRNAs are identified under heat stress. Among all the heat shock proteins (HSPs) and inhibitor of apoptosis proteins (IAPs) in the C. gigas genome, 25 heat shock proteins and 14 IAPs are differential expressed. The Gene Ontology analysis reveals that differential expressed genes (DEGs) are enriched in 6, 7, and 7 GO terms in cellular components, molecular function, and biological process, respectively. Within these terms, cellular response to stimulus is the most abundant term. Furthermore, the potential cis target of the differential expressed lncRNAs (DELs) are predicted to investigate their functions. Of the 394 DELs, there are 80 DELs being found to be corresponded to 113 protein-coding genes. Of them, eight HSPs are found to be regulated by their lncRNA regulators under heat stress. This work provides valuable resource of lncRNA and their regulatory roles under heat stress in C. gigas and gives new insights into adaptive evolution in marine mollusks.</t>
  </si>
  <si>
    <t>10.1007/s10126-022-10140-0</t>
  </si>
  <si>
    <t>Lei, YG; Wan, BQ; Ao, CM; Yang, M; Jiang, Y; Wang, W</t>
  </si>
  <si>
    <t>Genome-wide characterization of the AlkB homolog (ALKBH) gene family in Litopenaeus vannamei identifies LvALKBH1 and LvALKBH8 as promising crustacean m6A demethylases involved in molting regulation and ammonia stress response</t>
  </si>
  <si>
    <t>N6-methyladenosine (m6A) is the most abundant chemical modification on eukaryotic mRNAs. In crustaceans, the absence of canonical m6A demethylases, namely fat mass and obesity-associated protein (FTO) and AlkB Homolog 5 (ALKBH5), poses an unresolved puzzle about the m6A demethylation machinery of these invertebrates. Here, a genome-wide search for potential ALKBH gene family members in the whiteleg shrimp Litopenaeus vannamei was conducted. Six homologues of the ALKBH family were identified from the genome of L. vannamei, and comparative genomics analysis indicated that ALKBH3 and ALKBH5 are likely to exist in the common ancestor of arthropods and molluscs but are then lost in arthropods. Except for LvALKBH4 and LvALKBH7, all LvALKBH proteins possessed a typical 2OG-Fe(II)_Oxy_2 functional domain. Functional experiments revealed that LvALKBH1 and LvALKBH8 possessed significant m6A demethylation activity. Moreover, LvALKBH1 and LvALKBH8 significantly affected the m6A methylation and expression levels of the ecdysone receptor (EcR), retinoid X receptor (RXR), aspartate aminotransferase (AST), and glutamine synthetase (GS), implying their potential roles in regulating shrimp molting and ammonia toxicity resistance. The study provides important baseline information on the molecular characteristics of the ALKBH gene family in shrimp, and fills a current research gap concerning the m6A demethylation toolkit of crustaceans.</t>
  </si>
  <si>
    <t>10.1016/j.ijbiomac.2025.140425</t>
  </si>
  <si>
    <t>Yang, H; Xu, ZT; Guo, BY; Zhang, XL; Liao, Z; Qi, PZ; Yan, XJ</t>
  </si>
  <si>
    <t>Integrated analysis of miRNAome and transcriptome reveals miRNA-mRNA network regulation in Vibrio alginolyticus infected thick shell mussel Mytilus coruscus</t>
  </si>
  <si>
    <t>MOLECULAR IMMUNOLOGY</t>
  </si>
  <si>
    <t>The thick shell mussel Mytilus coruscus has developed into a model species for studying the interaction between molluscs and environmental stimuli. Herein, integrated analysis of miRNAome and transcriptome was performed to reveal miRNA-mRNA network regulation in Vibrio alginolyticus infected M. coruscus. There have detected some histological abnormalities in digestive gland and gills of V. alginolyticus challenged mussels, ascertaining the effective irritation by the present bacterial strain. A total of 265 novel miRNAs were finally predicted, of which 26 were differentially expressed miRNAs (DEMs). Additionally, 667 differentially expressed genes (DEGs) were detected, which may be potentially associated with innate immune response to V. alginolyticus infection. A regulatory network linked to 22 important pathways and 16 DEMs and 34 OGs was constructed. Some traditional immune-related signaling pathways such as toll-like receptor signaling pathway (TLR) signaling pathway, transforming growth factor-beta (TGF-beta) signaling pathway, peroxisome, phagosome, lysosome, mammalian target of rapamyoin (mTOR) signaling pathway were linked to specific miRNAs and genes in this network. Further, interactional relationship between certain miRNAs and TLR pathway was dissected, which the results predicted that a number of TLRs and TLR-associated signaling genes including TLR1, TLR2, TLR4, TLR6, IRAK1, TRAF6, MAPK, and IL-17 were negatively regulated by novel_miR_11, novel_miR_145, novel_miR_196, novel_miR_5, novel_miR_163 and novel_miR_217 in the TLR pathway. Additionally, interactional relationship between novel_miR_145 and TLR2 was validated by laboratory experiment. The integrated analysis of mRNA and microRNA deep sequencing data exhibited a sophisticated miRNA-mRNA regulation network in M. coruscus in response to V. alginolyticus challenge, which shed a new light on the underlying mechanism of molluscan confronting bacterial infection.</t>
  </si>
  <si>
    <t>10.1016/j.molimm.2021.01.006</t>
  </si>
  <si>
    <t>Rodriguez, A; Martell-Huguet, EM; González-García, M; Alpízar-Pedraza, D; Alba, A; Vazquez, AA; Grieshober, M; Spellerberg, B; Stenger, S; Münch, J; Kissmann, AK; Rosenau, F; Wessjohann, LA; Wiese, S; Ständker, L; Otero-Gonzalez, AJ</t>
  </si>
  <si>
    <t>Identification and Characterization of Three New Antimicrobial Peptides from the Marine Mollusk Nerita versicolor (Gmelin, 1791)</t>
  </si>
  <si>
    <t>Mollusks have been widely investigated for antimicrobial peptides because their humoral defense against pathogens is mainly based on these small biomolecules. In this report, we describe the identification of three novel antimicrobial peptides from the marine mollusk Nerita versicolor. A pool of N. versicolor peptides was analyzed with nanoLC-ESI-MS-MS technology, and three potential antimicrobial peptides (Nv-p1, Nv-p2 and Nv-p3) were identified with bioinformatical predictions and selected for chemical synthesis and evaluation of their biological activity. Database searches showed that two of them show partial identity to histone H4 peptide fragments from other invertebrate species. Structural predictions revealed that they all adopt a random coil structure even when placed near a lipid bilayer patch. Nv-p1, Nv-p2 and Nv-p3 exhibited activity against Pseudomonas aeruginosa. The most active peptide was Nv-p3 with an inhibitory activity starting at 1.5 mu g/mL in the radial diffusion assays. The peptides were ineffective against Klebsiella pneumoniae, Listeria monocytogenes and Mycobacterium tuberculosis. On the other hand, these peptides demonstrated effective antibiofilm action against Candida albicans, Candida parapsilosis and Candida auris but not against the planktonic cells. None of the peptides had significant toxicity on primary human macrophages and fetal lung fibroblasts at effective antimicrobial concentrations. Our results indicate that N. versicolor-derived peptides represent new AMP sequences and have the potential to be optimized and developed into antibiotic alternatives against bacterial and fungal infections.</t>
  </si>
  <si>
    <t>10.3390/ijms24043852</t>
  </si>
  <si>
    <t>Song, Y; Xie, L; Lee, Y; Brede, DA; Lyne, F; Kassaye, Y; Thaulow, J; Caldwell, G; Salbu, B; Tollefsen, KE</t>
  </si>
  <si>
    <t>Integrative assessment of low-dose gamma radiation effects on Daphnia magna reproduction: Toxicity pathway assembly and AOP development</t>
  </si>
  <si>
    <t>High energy gamma radiation is potentially hazardous to organisms, including aquatic invertebrates. Although extensively studied in a number of invertebrate species, knowledge on effects induced by gamma radiation is to a large extent limited to the induction of oxidative stress and DNA damage at the molecular/cellular level, or survival, growth and reproduction at the organismal level. As the knowledge of causal relationships between effects occurring at different levels of biological organization is scarce, the ability to provide mechanistic explanation for observed adverse effects is limited, and thus development of Adverse Outcome Pathways (AOPs) and larger scale implementation into next generation hazard and risk predictions is restricted. The present study was therefore conducted to assess the effects of high-energy gamma radiation from cobalt-60 across multiple levels of biological organization (i.e., molecular, cellular, tissue, organ and individual) and characterize the major toxicity pathways leading to impaired reproduction in the model freshwater crustacean Daphnia magna (water flea). Following gamma exposure, a number of bioassays were integrated to measure relevant toxicological endpoints such as gene expression, reactive oxygen species (ROS), lipid peroxidation (LPO), neutral lipid storage, adenosine triphosphate (ATP) content, apoptosis, ovary histology and reproduction. A non-monotonic pattern was consistently observed across the levels of biological organization, albeit with some variation at the lower end of the dose-rate scale, indicating a complex response to radiation doses. By integrating results from different bioassays, a novel pathway network describing the key toxicity pathways involved in the reproductive effects of gamma radiation were proposed, such as DNA damage-oocyte apoptosis pathway, LPO-ATP depletion pathway, calcium influx-endocrine disruption pathway and DNA hypermethylation pathway. Three novel AOPs were proposed for oxidative stressor-mediated excessive ROS formation leading to reproductive effect, and thus introducing the world's first AOPs for non-chemical stressors in aquatic invertebrates. (C) 2019 Elsevier B.V. All rights reserved.</t>
  </si>
  <si>
    <t>FEB 25</t>
  </si>
  <si>
    <t>10.1016/j.scitotenv.2019.135912</t>
  </si>
  <si>
    <t>Inguglia, L; Chiaramonte, M; Arizza, V; Turiák, L; Vékey, K; Drahos, L; Pitonzo, R; Avellone, G; Di Stefano, V</t>
  </si>
  <si>
    <t>Changes in the proteome of sea urchin Paracentrotus lividus coelomocytes in response to LPS injection into the body cavity</t>
  </si>
  <si>
    <t>Background The immune system of echinoderm sea urchins is characterised by a high degree of complexity that is not completely understood. The Mediterranean sea urchin Paracentrotus lividus coelomocytes mediate immune responses through phagocytosis, encapsulation of non-self particles, and production of diffusible factors including antimicrobial molecules. Details of these processes, and molecular pathways driving these mechanisms, are still to be fully elucidated. Principal findings In the present study we treated the sea urchin P. lividus with the bacterial lipopolysaccharide (LPS) and collected coelomocytes at different time-points (1, 3, 6 and 24 hours). We have shown, using label-free quantitative mass spectrometry, how LPS is able to modulate the coelomocyte proteome and to effect cellular pathways, such as endocytosis and phagocytosis, as soon as the immunomodulating agent is injected. The present study has also shown that treatment can modulate various cellular processes such as cytoskeleton reorganisation, and stress and energetic homeostasis. Conclusions Our data demonstrates, through mass spectrometry and the following functional annotation bioinformatics analysis, how the bacterial wall constituent is sufficient to set off an immune response inducing cytoskeleton reorganisation, the appearance of clusters of heat shock proteins (Hsp) and histone proteins and the activation of the endocytic and phagocytic pathways. Data are available via ProteomeXchange with identifier PXD008439.</t>
  </si>
  <si>
    <t>FEB 19</t>
  </si>
  <si>
    <t>10.1371/journal.pone.0228893</t>
  </si>
  <si>
    <t>Galià-Camps, C; García, AE; Cobb-Fletcher, J; Garcia, EF; Valdés, A</t>
  </si>
  <si>
    <t>Insights into the phylogeny and evolution of the genus Dendrodoris (Mollusca: Nudibranchia) with the description of a new deep-sea species</t>
  </si>
  <si>
    <t>ORGANISMS DIVERSITY &amp; EVOLUTION</t>
  </si>
  <si>
    <t>Recent genomic studies on Dendrodoris evolution revealed two distinct mitochondrial lineages corresponding to tuberculated and smooth mantle morphotypes, suggesting habitat transitions as a key driver of cladogenesis. However, limited taxon sampling and the absence of deep-sea specimens prevented more definitive conclusions. Here, we sequenced the molecular markers cytochrome oxidase 1 (cox1), large ribosomal subunit 16S (16S), and Histone 3 (H3) for the tuberculated D. warta and an unidentified deep-sea Dendrodoris species from the Gulf of Mexico. After incorporating these undersampled taxa into phylogenetic and species delimitation analyses, we recovered D. warta within the smooth Dendrodoris clade, and identified the deep-sea Dendrodoris species as the earliest diverging lineage within the smooth Dendrodoris clade. Interestingly, based on nuclear H3 data, the deep-sea species is more closely related to the tuberculated species D. atromaculata. Supported by ancestral reconstruction state analyses, we hypothesize that Dendrodoris species experienced significant habitat transitions, from medium depths to intertidal environments, with a subsequent colonization of the deep-sea, accompanied by molecular and morphological evolution. Moreover, the species delimitation analyses conducted herein also indicate the presence of multiple species complexes, and provide molecular support for the description of the deep sea Dendrodoris sinusensis sp. nov. This study offers new insights into the evolutionary history of the genus Dendrodoris, highlighting ecological transitions and their impact on mitochondrial evolution. Future research on this group should focus on the underlying molecular mechanisms driving ecological transitions and their evolutionary consequences.</t>
  </si>
  <si>
    <t>2025 FEB 15</t>
  </si>
  <si>
    <t>10.1007/s13127-025-00672-3</t>
  </si>
  <si>
    <t>Ji, YK; Sun, YF; Gao, W; Chu, KL; Wang, RC; Zhao, Q; Sun, HY</t>
  </si>
  <si>
    <t>Out of the Sichuan Basin: Rapid species diversification of the freshwater crabs in Sinopotamon (Decapoda: Brachyura: Potamidae) endemic to China</t>
  </si>
  <si>
    <t>Sinopotamon Bott, 1967 is the most speciose and widely distributed freshwater crab genus in East Asia. Our extensive sampling includes about 76% of the known Sinopotamon taxa, and nearly covers its entire distribution area. Based on mitochondrial cytochrome oxidase I (COI) and 16S rRNA, as well as nuclear 28S rRNA and histone H3, we reconstructed the Sinopotamon phylogeny using maximum likelihood and Bayesian approaches. The divergence time was estimated and multiple methods were used to conduct diversification analyses. The ancestral geographic distribution and character state were reconstructed. Three main clades (Clades I, II and III) that roughly correspond to their main geographic distribution ranges were recovered. Our results challenge the current view of the four major species groups based on the morphological differences in the male first gonopod (G1). The most recent common ancestor of Sinopotamon most likely originated from the Sichuan Basin and surrounding mountains (SBSM) and subsequently dispersed throughout central and eastern China. The exceptionally rapid, recent diversification was detected in Clade II. The high incidence of species-level non-monophyly found in Clade II can be explained by recent rapid radiation. Climatic changes, morphological innovations, range expansion and geographical heterogeneity may all contribute to the diversification in Sinopotamon. This study contributes to our knowledge on diversification of freshwater benthic macro-invertebrates in the East Asian inland ecosystem. (C) 2016 Elsevier Inc. All rights reserved.</t>
  </si>
  <si>
    <t>10.1016/j.ympev.2016.04.003</t>
  </si>
  <si>
    <t>Abrishamdar, M; Jalali, MS; Rashno, M</t>
  </si>
  <si>
    <t>MALAT1 lncRNA and Parkinson's Disease: The role in the Pathophysiology and Significance for Diagnostic and Therapeutic Approaches</t>
  </si>
  <si>
    <t>MOLECULAR NEUROBIOLOGY</t>
  </si>
  <si>
    <t>Parkinson's disease (PD) is the second most common age-related neurodegenerative disorder. PD is characterized by progressive loss of dopamine-producing neurons in the substantia nigra (SN) region of brain tissue followed by the alpha-synuclein-based Lewy bodies' formation. These conditions are manifested by various motor and non-motor symptoms such as resting tremor, limb rigidity, bradykinesia and posture instability, cognitive impairment, sleep disorders, and emotional and memory dysfunctions. Long non-coding RNAs (lncRNAs) are closely related to protein-coding genes and are involved in various biological processes. Metastasis-associated lung adenocarcinoma transcript 1 (MALAT1) lncRNA is involved in different pathways, including alternative splicing, transcriptional regulation, and post-transcriptional regulation, and also interacts with RNAs as a miRNA sponge. MALAT1 is highly expressed in brain tissues and several lines of evidence suggested it is probably involved in synapse generation and other neurophysiological pathways. This narrative review discussed all aspects of MALAT1-associated mechanisms involved in the PD pathogenesis, i.e., perturbed alpha-synuclein homeostasis, apoptosis and autophagy, and neuro-inflammation. Lastly, the possible applications of MALAT1 as a diagnostic biomarker and its importance to developing therapeutic strategies were highlighted. The literature search was conducted using neurodegeneration, neurodegenerative disorders, Parkinson's disease, lncRNA, and MALAT1 as search items in Google Scholar, Web of Knowledge, PubMed, and Scopus up to December 2021.</t>
  </si>
  <si>
    <t>10.1007/s12035-022-02899-z</t>
  </si>
  <si>
    <t>Li, ZAZA; Li, Q; Liu, SK; Han, ZQ; Kong, LF; Yu, H</t>
  </si>
  <si>
    <t>Integrated Analysis of Coding Genes and Non-coding RNAs Associated with Shell Color in the Pacific Oyster (Crassostrea gigas)</t>
  </si>
  <si>
    <t>Molluscan shell color polymorphism is important in genetic breeding, while the molecular information mechanism for shell coloring is unclear. Here, high-throughput RNA sequencing was used to compare expression profiles of coding and non-coding RNAs (ncRNAs) from Pacific oyster Crassostrea gigas with orange and black shell, which were from an F2 family constructed by crossing an orange shell male with a black shell female. First, 458, 13, and 8 differentially expressed genes (DEGs), lncRNAs (DELs), and miRNAs (DEMs) were identified, respectively. Functional analysis suggested that the DEGs were significantly enriched in 9 pathways including tyrosine metabolism and oxidative phosphorylation pathways. Several genes related to melanin synthesis and biomineralization expressed higher whereas genes associated with carotenoid pigmentation or metabolism expressed lower in orange shell oyster. Then, based on the ncRNA analysis, 163 and 20 genes were targeted by 13 and 8 differentially expressed lncRNAs (DELs) and miRNAs (DEMs), severally. Potential DELs-DEMs-DEGs interactions were also examined. Seven DEMs-DEGs pairs were detected, in which tyrosinase-like protein 1 was targeted by lgi-miR-133-3p and lgi-miR-252a and cytochrome P450 was targeted by dme-miRNA-1-3p. These results revealed that melanin synthesis-related genes and miRNAs-mRNA interactions functioned on orange shell coloration, which shed light on the molecular regulation of shell coloration in marine shellfish.</t>
  </si>
  <si>
    <t>10.1007/s10126-021-10034-7</t>
  </si>
  <si>
    <t>Zhang, SY; Shao, YA; Li, CH</t>
  </si>
  <si>
    <t>Characterization of Host lncRNAs in Response to Vibrio splendidus Infection and Function as Efficient miRNA Sponges in Sea Cucumber</t>
  </si>
  <si>
    <t>Long non-coding RNAs (lncRNAs) have been reported to play critical roles during pathogen infection and innate immune response in mammals. Such observation inspired us to explore the expression profiles and functions of lncRNAs in invertebrates upon bacterial infection. Here, the lncRNAs of sea cucumber (Apostichopus japonicus) involved in Vibrio splendidus infection were characterized. RNA-seq obtained 2897 differentially expressed lncRNAs from Vibrio splendidus infected coelomocytes of sea cucumbers. The potential functions of the significant differentially expressed lncRNAs were related to immunity and metabolic process based on the gene ontology (GO) and Kyoto Encyclopedia of Genes and Genomes (KEGG) databases. Moreover, we identify a lncRNA (XLOC_028509), which is downregulated with Vibrio splendidus challenged, further study indicated that XLOC_028509 adsorb miR-2008 and miR-31 as competing endogenous RNAs (ceRNAs) through base complementarity, which in turn decreased the amount of miRNAs (microRNAs) bound to the 3'UTRs (untranslated regions) of mRNAs to reduce their inhibition of target gene translation. These data demonstrated that the lncRNAs of invertebrates might be important regulators in pathogen-host interactions by sponging miRNAs.</t>
  </si>
  <si>
    <t>NOV 16</t>
  </si>
  <si>
    <t>10.3389/fimmu.2021.792040</t>
  </si>
  <si>
    <t>Ou, JT; Chen, H; Luan, XQ; Ju, R; Sun, Y; Zhang, BH; Bian, YX; Meng, YS; Ji, H; Wang, ZS; Zhao, WH</t>
  </si>
  <si>
    <t>Leveraging lncRNA-miRNA-mRNA network to reveal anti-Spiroplasma eriocheiris infection mechanisms in Macrobrachium nipponense</t>
  </si>
  <si>
    <t>The oriental river prawn Macrobrachium nipponense (M. nipponense) is a commercially important shrimp susceptible to Spiroplasma eriocheiris (S. eriocheiris) infection. Long non-coding RNAs (lncRNAs) play critical roles in a host immune defense against invading pathogens through acting as competing endogenous RNAs (ceRNAs). However, the protective roles of lncRNAs associated ceRNAs in M. nipponense against S. eriocheiris infection remain largely unexplored. To address this problem, a comprehensive lncRNA-mRNA-miRNA network in the hemocyte of M. nipponense challenged with S. eriocheiris at different time points (0, 6, 24, and 48 h) was constructed in this study. The results showed that 238 differentially expressed lncRNAs (DElncRs), 3547 DEmRNAs, and 258 DEmiRNAs were identified during the challenge process. The target genes of DEmRNAs, DElncRNAs and DEmiRNAs were significantly enriched in multiple immune-related pathways, such as Toll-like receptor, PI3KAkt, and TNF signaling pathways. The lncRNA associated ceRNAs network was also constructed, including 12 DElncRNAs, 23 DEmiRNAs, and 25 DETmRNAs. This network revealed that DElncRNAs (transcript_18441, transcript_11191, transcript_10673, transcript_10806, and transcript_17607), DEmiRNAs (miR-2c, miR-71-3p, miR-423-5p, and miR-423a), and DETmRNAs (ALF, PCE, and PPAE) were involved in M. nipponense immune defense against S. eriocheiris challenge. Taken together, our study identified crucial lncRNA associated ceRNA networks, playing pivotal roles in the immune response of M. nipponense against S. eriocheiris infection, and thus paving a novel avenue to develop strategies for spiroplasma disease prevention and control.</t>
  </si>
  <si>
    <t>AUG 30</t>
  </si>
  <si>
    <t>10.1016/j.aquaculture.2022.738286</t>
  </si>
  <si>
    <t>Huang, SQ; Yoshitake, K; Asaduzzaman, M; Kinoshita, S; Watabe, S; Asakawa, S</t>
  </si>
  <si>
    <t>Discovery and functional understanding of MiRNAs in molluscs: a genome-wide profiling approach</t>
  </si>
  <si>
    <t>RNA BIOLOGY</t>
  </si>
  <si>
    <t>Small non-coding RNAs play a pivotal role in gene regulation, repression of transposable element and viral activity in various organisms. Among the various categories of these small non-coding RNAs, microRNAs (miRNAs) guide post-translational gene regulation in cellular development, proliferation, apoptosis, oncogenesis, and differentiation. Here, we performed a genome-wide computational prediction of miRNAs to improve the understanding of miRNA observation and function in molluscs. As an initial step, hundreds of conserved miRNAs were predicted in 35 species of molluscs through genome scanning. Afterwards, the miRNAs' population, isoforms, organization, and function were characterized in detail. Furthermore, the key miRNA biogenesis factors, including AGO2, DGCR8, DICER, DROSHA, TRABP2, RAN, and XPO5, were elucidated based on homologue sequence searching. We also summarized the miRNAs' function in biomineralization, immune and stress response, as well as growth and development in molluscs. Because miRNAs play a vital role in various lifeforms, this study will provide insight into miRNA biogenesis and function in molluscs, as well as other invertebrates.</t>
  </si>
  <si>
    <t>NOV 2</t>
  </si>
  <si>
    <t>10.1080/15476286.2020.1867798</t>
  </si>
  <si>
    <t>Chernyshev, AV; Polyakova, NE</t>
  </si>
  <si>
    <t>Nemerteans collected in the Bering Sea during the research cruises aboard the R/V Akademik MA Lavrentyev in 2016, 2018, and 2021 with an analysis of deep-sea heteronemertean and hoplonemertean species</t>
  </si>
  <si>
    <t>DEEP-SEA RESEARCH PART II-TOPICAL STUDIES IN OCEANOGRAPHY</t>
  </si>
  <si>
    <t>During the research cruises aboard the R/V Akademik M.A. Lavrentyev in 2016, 2018, and 2021 four nemertean species were collected from the bathyal zone of the Bering Sea: Cerebratulus mordukhovichi sp. nov., Lineidae sp. Bering G06, Nipponnemertes cf. rubella (Koryak slope, depths 420???662 m), and Oerstedia sp. (Piip Volcano, depth 783???984 m). These species, as well as deep-sea nemerteans collected in the Northwestern Pacific, the North Atlantic, Arctic, and Antarctic, were included in a phylogenetic analysis of Lineidae, Cratenemertidae, and Oerstediidae based on five gene markers (COI, 16S, 18S, 28S, and histone H3). It has been shown that deep-sea species of Lineidae are found in 8 phylogenetic lineages out of 12, with new Lineage Q comprised only of deepsea species. Lineidae sp. Bering G06 belongs to Lineage G and is closely related to Lineidae sp. 3DS from the abyssal zone of the Sea of Okhotsk. Cerebratulus mordukhovichi sp. nov., found in the Bering Sea and off the Kuril Islands, belongs to Lineage J and the subclade including ???Micrura??? bathyalis, Cerebratulus herculeus, and Cerebratulus californiensis. Nipponnemertes cf. rubella, found at depths from 5 to 662 m in the Bering Sea, off the Kuril Islands, and California, belongs to clade A and is very close to N. pulchra (with COI p-distances within 3.8???4.3%). Oerstedia sp. is the deepest-dwelling of all known members of the genus Oerstedia, but it does not belong to any of the two clades (Oerstedia and Paroerstediella) of this genus. The subgenus Kurilonemertes Chernyshev, 1993 is upgraded to the genus level. The assumption on eurybathic distribution of any nemertean species should be supported by genetic methods. Pseudomicrura afzelii and Gononemertes parasita are confirmed to be eurybathic species found at depths from 15???70 m???886 m.</t>
  </si>
  <si>
    <t>10.1016/j.dsr2.2022.105081</t>
  </si>
  <si>
    <t>Wu, R; Guo, F; Wang, C; Qian, BH; Shen, FM; Huang, F; Xu, WD</t>
  </si>
  <si>
    <t>Bibliometric Analysis of Global Circular RNA Research Trends from 2007 to 2018</t>
  </si>
  <si>
    <t>CELL JOURNAL</t>
  </si>
  <si>
    <t>Objective: Circular RNA (circRNA) is of significant interest in genetic research. The aim of this study was to assess global trends in circRNA research production in order to shed new light on future research frontiers. Materials and Methods: In this retrospective study, we conducted a literature search using the Web of Science Core Collection (WoSCC) database on March 21, 2019 to retrieve publications from 2007 to 2018. Excel 2013, CiteSpace V, and VOSviewer were used to evaluate bibliometric features that included publication output, countries/regions, institutions, journals, citation frequency, H-index, and research hotspots. Results: Global cumulative publication output on circRNA consisted of 998 papers with a total citation of 28595 during 2007-2018. China, the US, and Germany were the most prolific countries. China ranked first in H-index (60 times) and citations (13333 times). The most productive institution was Nanjing Medical University with 73 papers. Biochemical and Biophysical Research Communications (impact factor [IF]2017:2.559) ranked first among journals in the number of publications (64 papers). The keywords shifted from sequence, intron, and splice-site to transcriptome, microRNA sponge, exon circularization, and circRNA biogenesis overtime. The burst keywords transcriptome, microRNA sponge, exon circularization, and circRNA biogenesis were the latest frontiers by 2018. Conclusion: This is a relatively novel bibliometric analysis to inspect research related to circRNA. The results show that publications have continuously increased in the past decade. China, the US, and Germany were the leading countries/regions in terms of quantity. Recent studies on topics related to circRNA biogenesis and function should be closely followed in this field.</t>
  </si>
  <si>
    <t>10.22074/cellj.2021.7143</t>
  </si>
  <si>
    <t>Ravara, A; Marçal, AR; Wiklund, H; Hilário, A</t>
  </si>
  <si>
    <t>First account on the diversity of Ophryotrocha (Annelida, Dorvilleidae) from a mammal-fall in the deep-Atlantic Ocean with the description of three new species</t>
  </si>
  <si>
    <t>Annelids of the genus Ophryotrocha are globally distributed in a wide variety of organically enriched habitats. Although mostly known from shallow water, the expansion of deep-sea research revealed several new Ophryotrocha species mainly associated with organic-falls, in particular with cetacean carcasses, or whale-falls. Despite the great deal of interest that fauna associated with whale-falls have attracted, very little is known about this fauna in the deep-Atlantic Ocean. Hereby we analyse, for the first time, the Ophryotrocha assemblage associated with a mammal-fall in this region of the world's ocean. Specimens were collected from the bones of degrading cow carcasses deployed in the Setubal canyon at approximately 1000 m depth. Using morphological characters and phylogenetic analyses based on the nuclear gene H3 performed on 31 Ophryotrocha species, we report the presence of five different species, we describe three new species and extend the distribution of O. scutella. Ophryotrocha scutella was previously known from a shallow-water whale-fall and organically enriched sediments beneath a fish farm off Scandinavia and is the first species to be reported from organic-falls in both shallow and deep waters. The presence of five congeners emphasize the importance of the genus Ophryotrocha in the degradation of organic matter in the deep-sea. Our results substantially increase the number of deep Atlantic species in the genus Ophryotrocha and highlight the remarkable unknown diversity and biogeographic patterns hidden behind unstudied deep-sea habitats.http://zoobank.org/urn:lsid:zoobank.org:pub:A12699DA-E580-4782-941A-48D7B31E4DAE</t>
  </si>
  <si>
    <t>10.1080/14772000.2015.1047428</t>
  </si>
  <si>
    <t>Huo, D; Su, F; Yang, HS; Sun, LA</t>
  </si>
  <si>
    <t>Exosomal microRNAs regulate the heat stress response in sea cucumber Apostichopus japonicus</t>
  </si>
  <si>
    <t>Exosomes are small extracellular vesicles that contain nucleic acids such as microRNAs and may participate in important biological processes. We made the initial report of exosomes from sea cucumber Apostichopus japo-nicus, that were classically cup-shaped and had an average size of 74.65 nm, and identified specific exosome biomarkers (HSP70, TSG101, and CD9). We explored changes in the global expression of microRNAs in exosomes from the commercially important A. japonicus under normal conditions and heat-stressed conditions for 3 and 7 d. We found that heat stress increased exosome production and modified the expression profiles of the micro-RNAs that they contained. Novel_mir31, novel_mir132, novel_mir26, miR-92_1, and novel_mir27 were commonly found to be differentially expressed in three comparison groups, indicating their importance in the heat stress response. The microRNA expression levels were validated by qPCR. Function analysis of the target genes of these microRNAs indicated they were involved mainly in replication and repair in the initial response of A. japonicus to heat stress exposure. Conversely, during acclimation to the high temperature conditions, the target genes of the differentially expressed microRNAs were primarily involved in metabolism adjustments. Our results will contribute to a better understanding of the regulatory roles of exosomes in sea cucumber, and provide insights into the functions of sea cucumber exosome-shuttled microRNAs against environmental stresses exacerbated by global warming.</t>
  </si>
  <si>
    <t>10.1016/j.ecoenv.2022.114419</t>
  </si>
  <si>
    <t>Medina, JM; Abbas, MN; Bensaoud, C; Hackenberg, M; Kotsyfakis, M</t>
  </si>
  <si>
    <t>Bioinformatic Analysis of Ixodes ricinus Long Non-Coding RNAs Predicts Their Binding Ability of Host miRNAs</t>
  </si>
  <si>
    <t>Ixodes ricinus ticks are distributed across Europe and are a vector of tick-borne diseases. Although I. ricinus transcriptome studies have focused exclusively on protein coding genes, the last decade witnessed a strong increase in long non-coding RNA (lncRNA) research and characterization. Here, we report for the first time an exhaustive analysis of these non-coding molecules in I. ricinus based on 131 RNA-seq datasets from three different BioProjects. Using this data, we obtained a consensus set of lncRNAs and showed that lncRNA expression is stable among different studies. While the length distribution of lncRNAs from the individual data sets is biased toward short length values, implying the existence of technical artefacts, the consensus lncRNAs show a more homogeneous distribution emphasizing the importance to incorporate data from different sources to generate a solid reference set of lncRNAs. KEGG enrichment analysis of host miRNAs putatively targeting lncRNAs upregulated upon feeding showed that these miRNAs are involved in several relevant functions for the tick-host interaction. The possibility that at least some tick lncRNAs act as host miRNA sponges was further explored by identifying lncRNAs with many target regions for a given host miRNA or sets of host miRNAs that consistently target lncRNAs together. Overall, our findings suggest that lncRNAs that may act as sponges have diverse biological roles related to the tick-host interaction in different tissues.</t>
  </si>
  <si>
    <t>10.3390/ijms23179761</t>
  </si>
  <si>
    <t>Zhang, YC; Zheng, JB; Li, F; Ge, CT; Zhang, HQ</t>
  </si>
  <si>
    <t>MicroRNA transcriptome analysis for elucidating the immune mechanism of the redclaw crayfish Cherax quadricarinatus under Decapod iridescent virus 1 infection</t>
  </si>
  <si>
    <t>Redclaw crayfish (Cherax quadricarinatus) is a large, tropical freshwater crustacean species with considerable potential of commercial production. In recent years, infection with DIV1 in redclaw crayfish is being reported in aquaculture industries, causing high mortality and huge economic losses. However, many characteristics of this virus, including pathogenesis, transmission mechanism, and host immunity, remain largely unknown.MicroRNAs are known to play important roles in numerous biological processes, and many microRNAs are reported to be involved in the regulation of immune responses. In this study, nine-small RNA libraries were constructed using hemocytes of redclaw crayfish to characterize the differentially expressed miRNAs (DE-miRNAs) at 24 and 48 h postinfection (hpi). A total of 14 and 22 DE-miRNAs were identified in response to DIV1 infection at 24 and 48 hpi, respectively. Further, functional annotation of the predicted host target genes using GO and KEGG pathway enrichment analyses indicated that relevant biological processes and signal pathways underwent miRNAmediated regulation after DIV1 infection. Our results enhanced the understanding of the mechanisms of miRNA-mediated regulation of immune responses under DIV1 infection in crustaceans.</t>
  </si>
  <si>
    <t>10.1016/j.fsi.2023.109026</t>
  </si>
  <si>
    <t>Fraboulet, RM; Ahmed, YS; Aubry, M; Corre, S; Galibert, MD; Blum, Y</t>
  </si>
  <si>
    <t>Cirscan: a shiny application to identify differentially active sponge mechanisms and visualize circRNA-miRNA-mRNA networks</t>
  </si>
  <si>
    <t>BackgroundNon-coding RNAs represent a large part of the human transcriptome and have been shown to play an important role in disease such as cancer. However, their biological functions are still incompletely understood. Among non-coding RNAs, circular RNAs (circRNAs) have recently been identified for their microRNA (miRNA) sponge function which allows them to modulate the expression of miRNA target genes by taking on the role of competitive endogenous RNAs (ce-circRNAs). Today, most computational tools are not adapted to the search for ce-circRNAs or have not been developed for the search for ce-circRNAs from user's transcriptomic data.ResultsIn this study, we present Cirscan (CIRcular RNA Sponge CANdidates), an interactive Shiny application that automatically infers circRNA-miRNA-mRNA networks from human multi-level transcript expression data from two biological conditions (e.g. tumor versus normal conditions in the case of cancer study) in order to identify on a large scale, potential sponge mechanisms active in a specific condition. Cirscan ranks each circRNA-miRNA-mRNA subnetwork according to a sponge score that integrates multiple criteria based on interaction reliability and expression level. Finally, the top ranked sponge mechanisms can be visualized as networks and an enrichment analysis is performed to help its biological interpretation. We showed on two real case studies that Cirscan is capable of retrieving sponge mechanisms previously described, as well as identifying potential novel circRNA sponge candidates.ConclusionsCirscan can be considered as a companion tool for biologists, facilitating their ability to prioritize sponge mechanisms for experimental validations and identifying potential therapeutic targets. Cirscan is implemented in R, released under the license GPL-3 and accessible on GitLab (https://gitlab.com/geobioinfo/cirscan_Rshiny). The scripts used in this paper are also provided on Gitlab (https://gitlab.com/geobioinfo/cirscan_paper).</t>
  </si>
  <si>
    <t>FEB 1</t>
  </si>
  <si>
    <t>10.1186/s12859-024-05668-y</t>
  </si>
  <si>
    <t>Worsaae, K; Gonzalez, BC; Kerbl, A; Nielsen, SH; Jorgensen, JT; Armenteros, M; Iliffe, TM; Martinez, A</t>
  </si>
  <si>
    <t>Diversity and evolution of the stygobitic Speleonerilla nom. nov. (Nerillidae, Annelida) with description of three new species from anchialine caves in the Caribbean and Lanzarote</t>
  </si>
  <si>
    <t>MARINE BIODIVERSITY</t>
  </si>
  <si>
    <t>Anchialine caves have revealed a variety of highly adapted animals including several records of nerillid annelids. However, only one stygobitic lineage, Speleonerilla nom. nov. (previously known as Longipalpa), seems obligate to this environment. We here provide new information on this lineage including the description of three new species, two new records, and the first phylogeny of the genus. All species have been collected from the water column of anchialine caves in the Caribbean, Bermuda, and Canary Islands, contrary to their benthic and interstitial nerillid relatives. New species were described combining light, scanning electron, and confocal laser scanning microscopy and named after traditional dances from their corresponding countries. Speleonerilla isa sp. n. is morphologically the most divergent species, characterized by the presence of nine segments, two pairs of spermioducts, and parapodial cirri present on all segments. Speleonerilla calypso sp. n. and S. salsa sp. n. are mainly distinguished from S. saltatrix by the presence of one additional pair of nephridia and are diagnosed based on unique combinations of characters including the specific arrangements of trunk ciliation, parapodial cirri, and number of chaetae. Two additional records from anchialine caves in Northeast Cuba and Mexico were not described due to limited available material. Phylogenetic analyses of four molecular markers recovered the East Atlantic S. isa as sister to a clade containing the West Atlantic species, the interrelationship of which did not further reflect the geographical distances within the Caribbean. Evolutionary adaptations are discussed, such as the long ciliated palps and pygidial lobes of Speleonerilla used for swimming and their high tolerance to changing salinities when apparently feeding on bacteria in the halocline of the anchialine cave systems.</t>
  </si>
  <si>
    <t>10.1007/s12526-018-0906-5</t>
  </si>
  <si>
    <t>Liu, JQ; Shao, YN; Li, CH</t>
  </si>
  <si>
    <t>YTHDC1/CRM1 Facilitates m6A-Modified circRNA388 Nuclear Export to Induce Coelomocyte Autophagy via the miR-2008/ULK Axis in Apostichopus japonicus</t>
  </si>
  <si>
    <t>JOURNAL OF IMMUNOLOGY</t>
  </si>
  <si>
    <t>N6-methyladenosine (m6A), the most prevalent internal modification in eukaryotic RNA, was able to mediate circular RNA (circRNA) function in many immune processes. Nevertheless, the functional role of m6A-modified circRNAs in innate immunity of invertebrates remained unclear. In this study, we identified m6A-modified circRNA388 from cultured sea cucumber (Apostichopus japonicus) coelomocytes, which was mainly detected in cytoplasm after Vibrio splendidus infection. A knockdown assay indicated that cytoplasm circRNA388 promoted coelomocyte autophagy and decreased the number of intracellular V. splendidus. Mechanistically, the circRNA388 in the cytoplasm directly sponged miR-2008 to block its interaction with Unc-51-like kinase 1 from A. japonicus vital to circRNA388 nuclear export with YTH domain-containing protein 1 from A. japonicus (AjYTHDC1) as the reader. AjYTHDC1 facilitated the nuclear export of m6A-modified circRNA388 via interaction with exportin-1 (chromosomal maintenance 1) from A. japonicus (AjCRM1). Knockdown of AjCRM1 could significantly decrease the content of cytoplasm circRNA388. Overall, our results provide the first evidence that nuclear export of m6A-modified circRNA388 is dependent on the novel AjCRM1 to our knowledge, which was further promoted coelomocyte autophagy by miR-2008/AjULK axis to clear intracellular V. splendidus.</t>
  </si>
  <si>
    <t>10.4049/jimmunol.2300761</t>
  </si>
  <si>
    <t>Xu, YQ; Dong, YY; Deng, YH; Qi, QR; Wu, M; Liang, HM; She, QY; Guo, Q</t>
  </si>
  <si>
    <t>Identifying an lncRNA-Related ceRNA Network to Reveal Novel Targets for a Cutaneous Squamous Cell Carcinoma</t>
  </si>
  <si>
    <t>Simple Summary The exact functions and molecular mechanism of lncRNAs, acting as competitive endogenous RNAs in a cutaneous squamous cell carcinoma, remain unexplored. The present study was conducted to identify the differentially expressed lncRNAs and mRNAs and establish the lncRNA-related competing endogenous RNA networks associated with a cutaneous squamous cell carcinoma. A competing endogenous RNA network consisting of 137 miRNA-lncRNA and 221 miRNA-mRNA pairs was constructed. As for the functional analysis of the mRNAs in the network, a FoxO signaling pathway, an autophagy and cellular senescence were the top enrichment terms based on the Kyoto Encyclopedia of Genes and Genomes analysis. We identified five core mRNAs and built a core mRNA-associated competing endogenous RNA network. Finally, one lncRNA HLA-F-AS1 and three mRNAs named AGO4, E2F1 and CCND1 in the core mRNA-associated competing endogenous RNA network were validated with the same expression patterns. The core mRNAs and their associated lncRNAs may provide potential therapeutic targets for cutaneous squamous cell carcinomas. A cutaneous squamous cell carcinoma (cSCC) derived from keratinocytes is the second most common cause of non-melanoma skin cancer. The accumulation of the mutational burden of genes and cellular DNA damage caused by the risk factors (e.g., exposure to ultraviolet radiation) contribute to the aberrant proliferation of keratinocytes and the formation of a cSCC. A cSCC encompasses a spectrum of diseases that range from recursor actinic keratosis (AK) and squamous cell carcinoma (SCC) in situ (SCCIS) to invasive cSCCs and further metastatic SCCs. Emerging evidence has revealed that lncRNAs are involved in the biological process of a cSCC. According to the ceRNA regulatory theory, lncRNAs act as natural miRNA sponges and interact with miRNA response elements, thereby regulating the mRNA expression of their down-stream targets. This study was designed to search for the potential lncRNAs that may become potential therapeutic targets or biomarkers of a cSCC. Considering the spirit of the study to be adequately justified, we collected microarray-based datasets of 19 cSCC tissues and 12 normal skin samples from the GEO database (GSE42677 and GSE45164). After screening the differentially expressed genes via a limma package, we identified 24 differentially expressed lncRNAs (DElncRNAs) and 3221 differentially expressed mRNAs (DEmRNAs). The miRcode, miRTarBase, miRDB and TargetScan databases were used to predict miRNAs that could interact with DElncRNAs and DEmRNAs. A total of 137 miRNA-lncRNA and 221 miRNA-mRNA pairs were retained in the ceRNA network, consisting of 31 miRNAs, 11 DElncRNAs and 155 DEmRNAs. For the functional analysis, the top enriched biological process was enhancer sequence-specific DNA binding in Gene Ontology (GO) terms. The FoxO signaling pathway, autophagy and cellular senescence were the top enrichment terms based on a Kyoto Encyclopedia of Genes and Genomes (KEGG) analysis. The combination of a STRING tool and Cytoscape software (plug-in MCODE) identified five core mRNAs and built a core mRNA-associated ceRNA network. The expression for five identified core mRNAs and their related nine lncRNAs was validated using the external dataset GSE7553. Finally, one lncRNA HLA-F-AS1 and three mRNAs named AGO4, E2F1 and CCND1 were validated with the same expression patterns. We speculate that lncRNA HLA-F-AS1 may sponge miR-17-5p or miR-20b-5p to regulate the expression of CCND1 and E2F1 in the cSCC. The present study may provide potential diagnostic and therapeutic targets for cSCC patients.</t>
  </si>
  <si>
    <t>10.3390/biology10050432</t>
  </si>
  <si>
    <t>Hong, MW; Huang, ZX</t>
  </si>
  <si>
    <t>Profiling Circular RNA Expression Across 11 Tissues in the Marine Gastropod Rapana venosa</t>
  </si>
  <si>
    <t>The carnivorous marine gastropod, Rapana venosa, also known as the veined rapa whelk, has recently gained considerable attention due to its dual significance as both a valuable commercial seafood resource and a biological invader with widespread ecological implications. Significant efforts have been made to investigate the molecular pathways governing the specific adaptations in R. venosa. However, the regulatory mechanisms of these pathways remain largely unclear. Circular RNA (circRNA), a newly-recognized class of non-coding molecules, plays crucial roles in post-transcriptional regulation, impacting various fundamental bioprocesses including development, cell cycle, immunity and disease pathogenesis. In this study, we conducted a comprehensive genome wide profiling of circRNAs across 11 tissues of R. venosa. We identified a total of 1214 circRNA genes across tissues, with 640 regarded as high-confidence candidates. circRNAs displayed overall low expression levels, diverse isoform types and dynamic expression patterns across various tissues. Our comparative analyses revealed a few circRNA genes with a great diversity of isoforms and abundant expression in the salivary gland, suggesting potential roles in the feeding process of R. venosa. Furthermore, Gene Ontology (GO) enrichment analysis indicated the potential involvement of commonly expressed circRNAs in fundamental cellular processes, including cell division, amide biosynthesis and cellular response to hormone stimuli. Our study describes a preliminary examination of circRNAs across various tissues of R. venosa, offering a foundation for future research into the molecular mechanisms that influence the biology, ecology and behaviour of marine gastropods.</t>
  </si>
  <si>
    <t>OCT 7</t>
  </si>
  <si>
    <t>10.1155/2024/4118218</t>
  </si>
  <si>
    <t>Lee, KY; Liu, CM; Chen, LH; Lee, CY; Lu, TP; Chuang, LL; Lai, LC</t>
  </si>
  <si>
    <t>Hypoxia-responsive circular RNA circAAGAB reduces breast cancer malignancy by activating p38 MAPK and sponging miR-378 h</t>
  </si>
  <si>
    <t>CANCER CELL INTERNATIONAL</t>
  </si>
  <si>
    <t>BackgroundBreast cancer is a prevalent disease in women, with high prevalence worldwide. The hypoxic microenvironment of solid tumors develops during the progress of carcinogenesis and leads to greater malignancy and treatment resistance. Recently, accumulating evidence indicates that non-coding RNAs, such as circular RNAs (circRNAs), play a pivotal role in altering cellular functions. However, the underlying mechanisms of circRNAs in breast cancer are still unclear. Therefore, the purpose of this study was to investigate the role of a tumor-suppressive circRNA, circAAGAB, in breast cancer by assuming down-regulation of circAAGAB under hypoxia and the properties of a tumor suppressor.MethodsFirstly, circAAGAB was identified from expression profiling by next generation sequencing. Next, the stability of circAAGAB increased by interacting with the RNA binding protein FUS. Moreover, cellular and nuclear fractionation showed that most circAAGAB resided in the cytoplasm and that it up-regulated KIAA1522, NKX3-1, and JADE3 by sponging miR-378 h. Lastly, the functions of circAAGAB were explored by identifying its down-stream genes using Affymetrix microarrays and validated by in vitro assays.ResultsThe results showed that circAAGAB reduced cell colony formation, cell migration, and signaling through p38 MAPK pathway, as well as increased radiosensitivity.ConclusionThese findings suggest that the oxygen-responsive circAAGAB acts as a tumor suppressor in breast cancer, and may contribute to the development of a more specific therapeutic regimen for breast cancer.</t>
  </si>
  <si>
    <t>MAR 10</t>
  </si>
  <si>
    <t>10.1186/s12935-023-02891-0</t>
  </si>
  <si>
    <t>Wang, FF; Zhao, F; Tan, AP; Deng, YT; Wang, L; Gong, H; Lai, YL; Huang, ZB; Li, FH</t>
  </si>
  <si>
    <t>Integrated analysis of a miRNA-mRNA network related to immunity and autophagy in Macrobrachium rosenbergii infected with Aeromonas hydrophila</t>
  </si>
  <si>
    <t>MicroRNAs (miRNAs) are a group of RNAs that regulate gene expression in the post-transcriptionally. miRNAs can regulate numerous processes, such as the immune response, due to their dynamic expression patterns. The giant freshwater prawn Macrobrachium rosenbergii is a major freshwater aquaculture prawn that is attacked by various bacteria, including Aeromonas hydrophila. For this study, we performed an analysis of the miRNA and mRNA transcriptome analysis of M. rosenbergii which was infected with A. hydrophila. We identified 56 differentially expressed miRNAs (DEMs) and 1542 differentially expressed mRNAs. Furthermore, an integrated analysis of miRNA-mRNA expression led to the identification of 729 differentially predicted target genes (DETGs) of the DEMs. Multiple functional categories related to immunity, apoptosis, and autophagy were found to be enriched in the DETGs. During the infection of M. rosenbergii by A. hydrophila, an elaborate regulatory network involving Toll and immune deficiency (IMD) signaling, mitogen-activated protein kinase (MAPK) signaling, lysosome, and cell apoptosis was formed by a complex interplay of 40 crucial DEMs and 22 DETGs, all associated with the immune and autophagy pathway. The findings suggest that infection with A. hydrophila triggers intricate responses in both miRNA and mRNA, significantly impacting immune and autophagy processes in M. rosenbergii.</t>
  </si>
  <si>
    <t>10.1016/j.fsi.2023.109052</t>
  </si>
  <si>
    <t>Hookabe, N; Kohtsuka, H; Fujiwara, Y; Tsuchida, S; Ueshima, R</t>
  </si>
  <si>
    <t>Three new species in Tetrastemma Ehrenberg, 1828 (Nemertea, Monostilifera) from sublittoral to upper bathyal zones of the northwestern Pacific</t>
  </si>
  <si>
    <t>ZOOKEYS</t>
  </si>
  <si>
    <t>Monostiliferous nemerteans in the genus Tetrastemma Ehrenberg, 1828 are generally characterized as having four eyes, and they occur worldwide, from the intertidal zone to the deep-sea bottom. Recent extensive sampling of Tetrastemma has explored the high species diversity, including many undescribed forms, but phylogenic analysis has revealed non-monophyly of the genus. We herein describe three new species of the genus (T. album sp. nov., T. persona sp. nov., and T. shohoense sp. nov.) from northwestern Pacific waters based on specimens collected by dredging or by use of a remotely operated vehicle at depths of 116-455 m. Since anatomical and histological characters traditionally used in systematics of the genus are sometimes interspecifically uniform, a histology-free approach is applied for the species descriptions in this study. To confirm the generic affiliation of the new species, a molecular phylogenetic analysis based on partial sequences of cytochrome c oxidase subunit I, 16S rRNA, 18S rRNA, 28S rRNA, and histone H3 genes was performed. Our result shows that all three new species are nested in a subclade formed by species from the North Pacific and American Atlantic, inferring that geographic distribution does not reflect the cladogenesis of Tetrastemma. Furthermore, two Tetrastemma species with a cylindrical stylet basis, T. freyae Chernyshev et al., 2020 from off the coast of India and Hawaii and T. shohoense sp. nov. from Shoho Seamount, Japan, constitute a clade in the resulting tree.</t>
  </si>
  <si>
    <t>FEB 7</t>
  </si>
  <si>
    <t>10.3897/zookeys.1146.95004</t>
  </si>
  <si>
    <t>Dang, LT; Kondo, H; Aoki, T; Hirono, I</t>
  </si>
  <si>
    <t>Engineered virus-encoded pre-microRNA (pre-miRNA) induces sequence-specific antiviral response in addition to nonspecific immunity in a fish cell line: Convergence of RNAi-related pathways and IFN-related pathways in antiviral response</t>
  </si>
  <si>
    <t>ANTIVIRAL RESEARCH</t>
  </si>
  <si>
    <t>Transfection with synthesized virus-specific small interfering RNAs (siRNAs) efficiently inhibits viral replication in viral-infected fish cell lines, implying the involvement of RNA interference (RNAi)-related pathways in the antiviral response of fish cells. Here, we demonstrate that plasmid expressing virus-encoded pre-microRNAs (pre-miRNAs) can also inhibit viral replication through these pathways. By incorporating sequences encoding miRNAs specific to major capsid protein (MCP) gene of red sea bream iridovirus (RSIV) and a miRNA specific to hirame rhabdovirus (HIRRV) genome into a murine miR-155 pre-miRNA backbone, we were able to intracellularly express viral pre-miRNAs (miR-MCPs and miR-HIRRV) in a fish cell line. The miR-MCPs and miR-HIRRV, delivered as pre-miRNA precursors in transfected cells, inhibited viral replication when these cells were infected with the target virus. Although this may Suggest sequence-specific interference, inhibitory effect on viral replication was also observed in cells transfected with a plasmid expressing pre-miRNA targeting beta-galactosidase gene (miR-LacZ) that served as a specificity control. Expression of pre-miRNAs was found to activate interferon (IFN)-related pathways, correlating with upregulation of the antiviral IFN-induced Mx protein. The antiviral effects of viral-miRNAs observed here were partly the result of the antiviral miRNA-related pathways and partly the result of the antiviral IFN-related pathways. We propose that engineered virus-encoded pre-miRNA can engage not only RNAi-related pathways but also IFN-related pathways to induce potent antiviral responses in fish cells. (C) 2008 Elsevier B.V. All rights reserved.</t>
  </si>
  <si>
    <t>10.1016/j.antiviral.2008.07.005</t>
  </si>
  <si>
    <t>Wang, H; Wei, BQ; Dong, ZY; Xin, ZQ; Lin, HJ; Zhang, WL; Ye, YY; Liao, Z; Wang, WF; Yan, XJ; Song, MS; Guo, BY</t>
  </si>
  <si>
    <t>Whole transcriptomic analysis reveals the lncRNA-miRNA-mRNA regulatory mechanism underlying the heat-hardening formation in Mytilus coruscus</t>
  </si>
  <si>
    <t>Heat-hardening is a critical adaptation mechanism that enables the mussel Mytilus coruscus to endure hightemperature events caused by low tides and adverse weather condition. However, the molecular regulatory mechanism underlying heat-hardening remains unclear. Herein, we analyzed the whole transcriptome of heathardening M. coruscus to explore formation mechanism of heat-hardening. M. coruscus were treated with 27 degrees C for 5 days, 3 h per day, to promote heat-hardening formation, and sampled at 6, 8, 10, 12, 14, and 16 days. We identified 203 differentially expressed lncRNAs (DE-lncRNAs), 11 differentially expressed miRNAs (DE-miRNAs) and 207 differentially expressed mRNAs (DE-mRNAs). GO and KEGG enrichment analysis revealed that the DEmRNAs were mainly enriched in arachidonic acid metabolism pathway, apoptosis pathway, NOD-like receptor signaling pathway and the platelet-activated pathway, WGCNA results suggested that arachidonic acid metabolism and cytochrome P450 were significantly correlated with heat-hardening during formation. PLA2 was identified as an essential gene in heat-hardening, with high node degrees, enriched in the arachidonic acid metabolism pathway and regulated by a lncRNA (MSTRG.113849.1) and a miRNA (novel_miR_425). MSTRG.113849.1-novel_miR_425-PLA2 relationship pairs were identified for heat-hardening in M. coruscus. Our finding suggests that miRNAs and lncRNAs play pivotal roles in heat-hardening by targeting PLA2, providing a mechanism for M. coruscus to adapt to heat stress, which also offers a mechanism to adapt to stressors arising from a rapidly changing oceanic environment.</t>
  </si>
  <si>
    <t>10.1016/j.cbd.2025.101468</t>
  </si>
  <si>
    <t>Araujo, R; Schneider, S; Roe, KJ; Erpenbeck, D; Machordom, A</t>
  </si>
  <si>
    <t>The origin and phylogeny of Margaritiferidae (Bivalvia, Unionoida): a synthesis of molecular and fossil data</t>
  </si>
  <si>
    <t>ZOOLOGICA SCRIPTA</t>
  </si>
  <si>
    <t>The family Margaritiferidae is a small but widely distributed group within the Unionoida, or freshwater mussels, whose taxonomy and systematics has been the subject of numerous publications. Despite several efforts, there is no consensus on which characters reliably diagnose this family. Herein, we present the results of a phylogenetic analysis of the most comprehensive data set for Margaritiferidae in terms of taxa and phylogenetic markers assembled to date, including eleven out of the twelve margaritiferid species currently considered valid. In addition, we review the fossil record of the family and attempt to integrate fossil and DNA sequence data to provide a diagnosis of Margaritiferidae, identify its origin and biogeographic patterns, and determine the systematic relationships of its constituent species and their taxonomic affinities. We assembled a molecular data set comprised of five markers: COI, 16S, 28S, 18S and histone 3 for a total of 59 specimens representing eleven species of Margaritifera. Our results indicate that the family Margaritiferidae is a monophyletic group comprised of the single genus Margaritifera, which includes the following 12 species: M. dahurica, M. margaritifera, M. monodonta, M. middendorffi, M. laevis, M. marrianae, M. hembeli, M. falcata, M. laosensis, M. auricularia and M. marocana plus the unstudied M. homsensis. Estimates of divergence times using fossil calibrations or mean substitution rates produced dramatically different results. Divergence estimates based on the fossil calibrations were 10 times higher than those obtained applying the mean substitution rates. The current distribution of the family implies dispersal across marine or brackish waters by their host fish, leaving a fossil record on four continents that dates to the Mesozoic. Margaritiferidae appear to be derived from putative ancestor in the Silesunionidae, with a likely origin in Asia. We suggest that Margaritiferidae had spread along the Tethys margins and crossed the Atlantic already in the Late Triassic or Early Jurassic. Further dispersal events, in the Late Cretaceous or Eocene, may be linked to salinity-depleted coastal waters or freshwater layering.</t>
  </si>
  <si>
    <t>10.1111/zsc.12217</t>
  </si>
  <si>
    <t>Zhao, TJ; Ren, LY; Li, CD; Liu, L; Zou, Y; Yan, HY; Zhan, YY; Chang, YQ</t>
  </si>
  <si>
    <t>MiR-7 Regulates Pathogen-Induced Immune Response via PAK1 in the Sea Cucumber Apostichopus japonicus</t>
  </si>
  <si>
    <t>MicroRNA-7 (miR-7) is a highly conserved short non-coding RNA involved in various bioprocesses via the regulation of multiple target genes. To enrich our knowledge of the functions of miR-7 in innate immune regulation in echinoderms, we first investigated the targeting relationship between miR-7 and PAK1 in the sea cucumber Apostichopus japonicus and then explored the functions of miR-7, the PAK1 gene, and the miR-7/PAK1 axis in the pathogen-induced immune response of A. japonicus. Our results showed that miR-7 can bind to the 3MODIFIER LETTER PRIMEUTR of PAK1 and negatively regulate the expression of PAK1 in A. japonicus. Overexpression and inhibition of miR-7 and inhibition of the expression of PAK1 can alter phagocytosis, cellular agglutination, and lysozyme contents in A. japonicus. Both miR-7 and the PAK1 gene are involved in immune defense against Vibrio splendidus infection; the miR-7/AjPAK1 axis showed immune regulatory function at 48 to 72 h post-infection (hpi) after V. splendidus infection in A. japonicus. In summary, the results of this study established that miR-7 regulates the pathogen-induced immune response by targeting PAK1 in A. japonicus.</t>
  </si>
  <si>
    <t>JUL 14</t>
  </si>
  <si>
    <t>10.3389/fimmu.2022.927796</t>
  </si>
  <si>
    <t>Peng, L; Zhou, L; Qing, YP; Tong, LY; Liang, ZH; Fu, H; Zhou, J</t>
  </si>
  <si>
    <t>High Sensitivity Detection of Gene-like Tumor Markers Based on SERS Characteristics of Hollow Sea-urchin Gold Nanoparticles and Noble Metal/semiconductor Substrate</t>
  </si>
  <si>
    <t>ACTA PHOTONICA SINICA</t>
  </si>
  <si>
    <t>Trace detection of genetic tumor marker microRNA (miRNA) has important application value for early diagnosis of cancer. According to the Surface-enhanced Raman Scattering characteristics of hollow sea urchin gold nanoparticles and Ag/ZnO nanostructures, and based on the principle of complementary base pairing, a sandwich structure of probe-nucleic acid-substrate is constructed and a highly sensitive quantitative detection scheme for genetic tumor marker miRNA is proposed. First, the captured DNA is linked to the hollow sea urchin gold nanoparticles modified with 4-mercaptobenzoic acid (4-MBA) as a probe. At the same time, the target DNA is modified on the Ag/ZnO nanostructure, and the SERS signal is detected to obtain the corresponding dose-response curve after complementary hybridization with miRNA-106a. The experimental results show that the detection limit of miRNA-106a reached 1.84 fmol.L-1 within the detection range of 1 fmol.L-1 similar to 1 nmol.L-1 . Meanwhile, the reliability of the miRNA detection scheme based on the hollow sea urchin gold nanoparticles and Ag/ZnO nano-structure SERS characteristics was verified by the Real-time quantitative Polynucleotide Chain Reaction (RT-qPCR) method.</t>
  </si>
  <si>
    <t>10.3788/gzxb20204908.0817002</t>
  </si>
  <si>
    <t>Yen, NCK; Rouse, GW</t>
  </si>
  <si>
    <t>Phylogeny, biogeography and systematics of Pacific vent, methane seep, and whale-fall Parougia (Dorvilleidae : Annelida), with eight new species</t>
  </si>
  <si>
    <t>INVERTEBRATE SYSTEMATICS</t>
  </si>
  <si>
    <t>Dorvilleidae is a diverse group of annelids found in many marine environments and also commonly associated with chemosynthetic habitats. One dorvilleid genus, Parougia, currently has 11 described species, of which two are found at vents or seeps: Parougia wolfi and Parougia oregonensis. Eight new Parougia species are recognised and described in this study from collections in the Pacific Ocean, all from whale-falls, hydrothermal vents, or methane seeps at 600-m depth or greater. The specimens were studied using morphology and phylogenetic analyses of DNA sequences from mitochondrial (cytochrome c oxidase subunit I, 16S rRNA, and cytochrome b) and nuclear (18S rRNA and histone 3) genes. Six sympatric Parougia spp. were found at Hydrate Ridge, Oregon, while three of the Parougia species occurred at different types of chemosynthetic habitats. Two new species were found over wide geographical and bathymetric ranges. Another dorvilleid genus, Ophryotrocha, has previously been highlighted as diversifying in the deep-sea environment. Our results document the hitherto unknown diversity of another dorvilleid genus, Parougia, at various chemosynthetic environments.</t>
  </si>
  <si>
    <t>10.1071/IS19042</t>
  </si>
  <si>
    <t>Lu, Z; Wu, SH; Xiao, ZY; Song, J; Wu, HF; Peng, X</t>
  </si>
  <si>
    <t>Responses of microRNA in digestive glands of mussel Mytilus galloprovincialis exposed to polystyrene nanoplastics</t>
  </si>
  <si>
    <t>Polystyrene nanoplastics (PS-NPs) are typical accumulated nanoplastics in the marine environment and organ-isms, and have strong potential risks to marine ecological environment and human health. MiRNAs could respond to and participate in the response process of environmental stressors. However, the response of miRNAs to nanoplastics has not been fully explored. In this study, miRNA responses of digestive glands in mussels Mytilus galloprovincialis treated by 200 nm PS-NPs (20, 200, 2000 mu g/L) for 7 days were characterized by BGISEQ-500 deep sequencing and bioinformatics analysis, along with histopathological quantification with planimetric pa-rameters on hematoxylin and eosin (H&amp;E) staining. Results showed that one novel miRNA (novel_mir63) and seven known miRNAs (miR-34_2, miR-34_5, miR-281_8, let-7-5p_6, miR-10, miR-124, miR-29b-3p) were significantly (adjusted P-value &lt; 0.05) differentially expressed after PS-NPs treatments, and most of them were down-regulated expect for novel_mir63 and miR-34_2. Function analysis of target genes corresponding to these differentially expressed miRNAs indicated that PS-NPs disturbed the process related to metabolism, aging, car-diac function, neural excitation, and repairment. Among them, acetyl-CoA C-acetyltransferase and purine metabolism pathway played vital connection roles. Meanwhile, significantly morphology changes of digestive tubes obtained from H&amp;E stained sections also implied severely disrupted metabolic capability in digestive glands, reflected by significantly increased mean diverticular radius (MDR) and mean luminal radius (MLR) values and the ratio of MLR to mean epithelial thickness (MET), and significantly decreased MET value and MET/ MDR. Overall, these findings have revealed new characterization of miRNAs and their target genes in mussel M. galloprovincialis under PS-NPs stress, and provide important clues to further elucidate the toxicity mechanisms of PS-NPs.</t>
  </si>
  <si>
    <t>10.1016/j.ecoenv.2022.114412</t>
  </si>
  <si>
    <t>Li, Y; Xu, Q; Liu, H; Dai, XL</t>
  </si>
  <si>
    <t>Differential expression of microRNAs in giant freshwater prawn (Macrobrachium rosenbergii) during the infection of Vibrio parahaemolyticus</t>
  </si>
  <si>
    <t>MicroRNAs (miRNAs) are a category of small non-coding RNAs regarded as vital regulatory factors in various biological processes, especially immune regulation. The differently expressed miRNAs in Macrobrachium rosenbergii after the challenge of Vibrio parahaemolyticus were identified using high-throughput sequencing. A total of 18 known as well as 12 novel miRNAs were markedly differently expressed during the bacterial infection. The results of the target gene prediction and enrichment analysis indicated that a total of 230 target genes involved in a large variety of signaling pathways and biological processes were mediated by the miRNAs identified in the current research. Additionally, the effects of novel-miR-56, a representative differentially expressed miRNA identified in the previous infection experiment, on the immune-related gene expression in M. rosenbergii were explored. The expression of the immune-related genes including Spatzle1(Spz1), Spz4, Toll-like receptor 1 (TLR1), TLR2, TLR3, immune deficiency (IMD), myeloid differentiation factor 88 (MyD88), antilipopolysaccharide factor 1 (ALF1), crustin1, as well as prophenoloxidase (proPO) was significantly repressed in the novel-miR-56-overexpressed prawns. The expression of these genes tested in the novel-miR-56overexpressed M. rosenbergii was still signally lower than the control in the subsequent V. parahaemolyticus challenge, despite the gene expression in each treatment increased significantly after the infection. Additionally, the cumulative mortality of the agomiR-56-treated prawns was significantly higher than the other treatments post the bacterial challenge. These results suggested that novel-miR-56 might function as a negative regulator of the immune-related gene expression of M. rosenbergii in the innate immune defense against V. parahaemolyticus.</t>
  </si>
  <si>
    <t>10.1016/j.fsi.2024.109827</t>
  </si>
  <si>
    <t>Moreira, R; Romero, A; Rey-Campos, M; Pereiro, P; Rosani, U; Novoa, B; Figueras, A</t>
  </si>
  <si>
    <t>Stimulation of Mytilus galloprovincialis Hemocytes With Different Immune Challenges Induces Differential Transcriptomic, miRNomic, and Functional Responses</t>
  </si>
  <si>
    <t>Mediterranean mussels (Mytilus galloprovincialis) are marine bivalve molluscs with high resilience to biotic and abiotic stress. This resilience is one of the reasons why this species is such an interesting model for studying processes such as the immune response. In this work, we stimulated mussel hemocytes with poly I:C, beta-glucans, and LPS and then sequenced hemocyte mRNAs (transcriptome) and microRNAs (miRNome) to investigate the molecular basis of the innate immune responses against these pathogen-associated molecular patterns (PAMPs). An immune transcriptome comprising 219,765 transcripts and an overview of the mussel miRNome based on 5,175,567 non-redundant miRNA reads were obtained. The expression analyses showed opposite results in the transcriptome and miRNome; LPS was the stimulus that triggered the highest transcriptomic response, with 648 differentially expressed genes (DEGs), while poly I:C was the stimulus that triggered the highest miRNA response, with 240 DE miRNAs. Our results reveal a powerful immune response to LPS as well as activation of certain immunometabolism- and ageing/senescence-related processes in response to all the immune challenges. Poly I:C exhibited powerful stimulating properties in mussels, since it triggered the highest miRNomic response and modulated important genes related to energy demand; these effects could be related to the stronger activation of these hemocytes (increased phagocytosis, increased NO synthesis, and increased velocity and accumulated distance). The transcriptome results suggest that after LPS stimulation, pathogen recognition, homeostasis and cell survival processes were activated, and phagocytosis was induced by LPS. beta-glucans elicited a response related to cholesterol metabolism, which is important during the immune response, and it was the only stimulus that induced the synthesis of ROS. These results suggest a specific and distinct response of hemocytes to each stimulus from a transcriptomic, miRNomic, and functional point of view.</t>
  </si>
  <si>
    <t>DEC 17</t>
  </si>
  <si>
    <t>10.3389/fimmu.2020.606102</t>
  </si>
  <si>
    <t>Jiang, F; Liu, GX; Chen, XW; Li, Q; Fang, FJ; Shen, XB</t>
  </si>
  <si>
    <t>Hsa_circ_0044301 Regulates Gastric Cancer Cell's Proliferation, Migration, and Invasion by Modulating the Hsa-miR-188-5p/DAXX Axis and MAPK Pathway</t>
  </si>
  <si>
    <t>CANCERS</t>
  </si>
  <si>
    <t>Simple Summary This study aimed to investigate whether circRNA could be potential prognosis or therapeutic target. And we found the upregulated hsa_circ_0044301 was positively correlated with the 5-year survival rate of patients, which also could influence the proliferation, migration and invasion of gastric cancer cells in vitro and in vivo. Mechanically, it could act as the sponge of hsa-miR-188-5p and regulate the expression and function of targeted gene DAXX. In addition, this circRNA could also modulate the effect of GDC-0994 on ERK1/2 or 5-FU in cells. These findings have made a significant contribution to the study of circRNA in the treatment field of gastric cancer. Meanwhile this is the first detailed investigation of hsa_circ_0044301 in gastric cancer, and the circRNA has the value of further animal and clinical translation. Background: Despite advances in diagnostic and therapeutic technologies, the prognosis of patients with gastric cancer (GC) remains poor, necessitating further search for more effective therapeutic targets and markers for prognosis prediction. Circular RNA (circRNA) plays a role in various diseases, including GC. Methods: CircRNA expression in GC tissues was detected by circRNA microarray and quantitative reverse transcription polymerase chain reaction (qRT-PCR). The correlation between circRNA-0044301 and patient survival was analyzed by log-rank test and Cox regression analysis. Next, in vitro characterization and functional analysis of circRNA-0044301 was done by various assays using RNase R, actinomycin D, and RNA fluorescence in situ hybridization, as well as investigations into its use as a drug to treat tumors in a subcutaneous tumorigenesis model. RNA immunoprecipitation and dual-luciferase reporter assays were used to identify circRNA-0044301-related miRNA (miRNA-188-5p), key proteins of the related pathway (ERK1/2), and the downstream target DAXX. Finally, we investigated the relationship between circRNA-0044301 and ravoxertinib (GDC-0994) and 5-fluorouracil (5-FU) using qRT-PCR, Western blotting, and CCK8 assays. Results: CircRNA-0044301 was upregulated in tissues and cancer cells compared to its levels in controls, related to patient prognosis, and its specific siRNA-vivo could slow tumor growth. On the mechanism, it acted as a sponge of miRNA-188-5p, could regulate the downstream target DAXX, and modulated the effect of GDC-0994 on ERK1/2 and 5-FU in cells. Conclusions: CircRNA-0044301/miRNA-188-5p/DAXX (ERK1/2) may be a key axis in GC progression, and circRNA-0044301 has immense potential to be a therapeutic target for GC.</t>
  </si>
  <si>
    <t>10.3390/cancers14174183</t>
  </si>
  <si>
    <t>Gong, Y; Chen, J; Cui, YL; Li, SK</t>
  </si>
  <si>
    <t>miR-2 contributes to WSSV infection by targeting Caspase 2 in mud crab (Scylla paramamosain)</t>
  </si>
  <si>
    <t>Caspase 2 is widely studied for its function in the regulation of apoptosis in mammals. Despite the fundamental role of apoptosis during the anti-viral immune response, the relationship between Caspase 2 and virus infection has not been extensively explored in invertebrates. Also, whether or not miRNAs involve this process remains unclear. To address this issue, the miRNA-mediated regulation of Caspase 2 in mud crab (Scylla paramamosain) (Sp-Caspase 2) was characterized in this study. Sp-Caspase 2 contains an open reading frame (ORF) of 969 bp encoding 322 deduced amino acids and possesses a conserved CASc domain. The results suggested that Sp- Caspase 2 could suppress white spot syndrome virus infection via apoptosis induction. The further data showed that Sp-Caspase 2 was directly targeted by miR-2 in mud crab. Silencing or overexpression of miR-2 could affect apoptosis and WSSV replication through the regulation of Sp-Caspase 2 expression. Taken together, these results demonstrated the crucial role of the miR-2-Caspase 2 pathway in the innate immunity of mud crabs and revealed a novel mechanism in the anti-viral immune response in marine invertebrates.</t>
  </si>
  <si>
    <t>10.1016/j.dci.2021.104217</t>
  </si>
  <si>
    <t>Galià-Camps, C; Carreras, C; Pascual, M; Greve, C; Schell, T; Turon, X; Palacín, C; Pérez-Portela, R; Wangensteen, OS; Pegueroles, C</t>
  </si>
  <si>
    <t>Chromosome-level genome assembly and annotation of the black sea urchin Arbacia lixula (Linnaeus, 1758)</t>
  </si>
  <si>
    <t>DNA RESEARCH</t>
  </si>
  <si>
    <t>The black sea urchin (Arbacia lixula) is a keystone species inhabiting the coastal shallow waters of the Mediterranean Sea, which is a key driver of littoral communities' structure. Here, we present the first genome assembly and annotation of this species, standing as the first Arbacioida genome, including both nuclear and mitochondrial genomes. To obtain a chromosome-level assembly, we used a combination of PacBio high fidelity (HiFi) reads and chromatin capture reads (Omni-C). In addition, we generated a high-quality nuclear annotation of both coding and non-coding genes, by using published RNA-Seq data from several individuals of A. lixula and gene models from closely related species. The nuclear genome assembly has a total span of 607.91 Mb, being consistent with its experimentally estimated genome size. The assembly contains 22 chromosome-scale scaffolds (96.52% of the total length), which coincides with its known karyotype. A total of 72,767 transcripts were predicted from the nuclear genome, 24,171 coding, and 48,596 non-coding that included lncRNA, snoRNA, and tRNAs. The circularized mitochondrial genome had 15,740 bp comprising 13 protein-coding genes, 2 rRNA, and 22 tRNA. This reference genome will enhance ongoing A. lixula studies and benefit the wider sea urchin scientific community.</t>
  </si>
  <si>
    <t>AUG 9</t>
  </si>
  <si>
    <t>10.1093/dnares/dsae020</t>
  </si>
  <si>
    <t>Arslan, N; Timm, T; Rojo, V; Vizcaíno, A; Schmelz, RM</t>
  </si>
  <si>
    <t>A new species of Enchytraeus (Enchytraeidae, Oligochaeta) from the profundal of Lake Van, the world's largest soda Lake (Turkey, East Anatolia)</t>
  </si>
  <si>
    <t>ZOOTAXA</t>
  </si>
  <si>
    <t>Enchytraeus polatdemiri sp. nov. (Enchytaeidae, Oligochaeta) was discovered in the framework of a sampling campaign of the benthic invertebrate fauna of the hyperalkaline Lake Van in Eastern Anatolia, Turkey, the third-largest closed lake and the largest soda lake on Earth. It was the only oligochaete species found in all samples. DNA sequencing included a fragment of the mitochondrial cytochrome c oxidase subunit I (COI) gene, and a fragment of the nuclear histone 3 (H3) gene. For comparison, specimens from laboratory cultures of E. albidus Henle, 1837, a widespread and morphologically similar species, were sequenced as well. The new species differs from E. albidus in comparatively small body size, 2 or 3 chaetae per bundle, saddle-shaped clitellum, absence of a copulatory field between the male pores and vasa deferentia usually not extending beyond the clitellum. The individual gene trees of COI and H3, as well as the combined phylogenetic analysis of both trees, recovered Enchytraeus polatdemiri sp. nov. as a monophyletic group within the genus Enchytraeus, closely related to E. albidus, but with an average p-distance for COI of 14.5 %. E. polatdemiri sp. nov. may have evolved from a local population of Enchytraeus albidus, a species well-adapted to changing salinity conditions, or from a common ancestor into an extremophile species that dwells and reproduces in the profundal of a strongly alkaline soda lake.</t>
  </si>
  <si>
    <t>FEB 21</t>
  </si>
  <si>
    <t>10.11646/zootaxa.4382.2.8</t>
  </si>
  <si>
    <t>Chernyshev, AV; Polyakova, N; Britayev, TA; Bratova, OA; Mekhova, ES</t>
  </si>
  <si>
    <t>Cephalotrichella echinicola, sp. nov. (Palaeonemertea:Cephalotrichellidae), a new nemertean associated with sea urchins from Nha Trang Bay (South China Sea)</t>
  </si>
  <si>
    <t>About 50 nemertean species have been reported to live in symbiotic relationships with other invertebrates, but only two hoplonemertean species are associated with echinoderms (starfish). The palaeonemertean Cephalotrichella echinicola, sp. nov. is described from samples collected in Nha Trang Bay, Vietnam, South China Sea. The species is the first known nemertean associated with sea urchins (Metalia sternalis and M. spatagus), living on both the oral and the aboral surfaces of the host and freely moving among its spines. The internal morphology of the new species is described based on histological sections and confocal laser scanning microscopy with phalloidin and antibody labelling. Sequences of three nuclear gene markers (18S rRNA, 28S rRNA, and histone H3) and two mitochondrial gene markers (16S rRNA and COI) were compared with those of other palaeonemertean species, and a phylogenetic analysis suggested that C. echinicola is closest to the free-living Cephalotrichella albaGibson &amp; Sundberg, 1992. Both the morphological data and the phylogenetic analysis provide additional evidence for distinguishing the families Cephalotrichidae and Cephalotrichellidae and support the rejection of Cephalotrichella as a junior synonym of Cephalothrix. A new diagnosis of the genus Cephalotrichella is given. http://zoobank.org/urn:lsid:zoobank.org:pub:091B5D56-71B2-4F4C-9AD8-F666B4610DE2</t>
  </si>
  <si>
    <t>10.1071/IS18080</t>
  </si>
  <si>
    <t>Oskars, TR; Malaquias, MAE</t>
  </si>
  <si>
    <t>A molecular phylogeny of the Indo-West Pacific species of Haloa sensu lato gastropods (Cephalaspidea: Haminoeidae): Tethyan vicariance, generic diversity, and ecological specialization</t>
  </si>
  <si>
    <t>The cephalaspidean gastropod genus Haminoea has been considered a worldwide radiation with species living in intertidal and shallow areas with algae, seagrass sandy-mud, mangroves, and coral reefs. Recently this monophyletic status was questioned and it was suggested that Haminoea proper only included Atlantic plus eastern Pacific species, whereas the Indo-West Pacific species were a separate radiation belonging to the genus Haloa. In this work we used an extended dataset of Haminoea sensu lato including to our best knowledge representatives of all Indo-West Pacific species, plus a large representation of Atlantic and eastern Pacific species. Bayesian and maximum likelihood molecular phylogenetic analyses using three mitochondrial (COI, 12S rRNA, 16S rRNA) and two nuclear genes (28S rRNA and Histone-3) were employed to study relationships and diversification including also the closely related genus Smaragdinella. Our results support a monophyletic Atlantic + eastern Pacific Haminoea Glade and a monophyletic Indo-West Pacific radiation with five genera all defined by unique morphological characters and ecological requirements, namely Haloa proper with tropical and sub-tropical species spread across the Indo-West Pacific, Lamprohaminoea including only colourful species of tropical and subtropical affinity, Bakawan gen. nov. with species associated with mangrove habitats across the tropical eastern Indian Ocean and western Pacific, Papawera gen. nov. restricted to temperate waters of Australasia, and Smaragdinella the only cephalaspidean genus inhabiting intertidal hard substrates across sub-tropical and tropical regions of the Indo-West Pacific. This result suggests the role of the closure of the Tethys seaway structuring the phylogeny of worldwide Haminoea snails and of ecology driving the phylogenetic structure of the Indo-West Pacific radiation.</t>
  </si>
  <si>
    <t>10.1016/j.ympev.2019.106557</t>
  </si>
  <si>
    <t>Klaus, S; Selvandran, S; Goh, JW; Wowor, D; Brandis, D; Koller, P; Schubart, CD; Streit, B; Meier, R; Ng, PKL; Yeo, DCJ</t>
  </si>
  <si>
    <t>Out of Borneo: Neogene diversification of Sundaic freshwater crabs (Crustacea: Brachyura: Gecarcinucidae: Parathelphusa)</t>
  </si>
  <si>
    <t>Aim We investigate the biogeographical history of the species-rich Sundaic freshwater crab genus Parathelphusa (family Gecarcinucidae). In particular, we ask to what extent eustatic sea-level fluctuations influenced diversification and species distribution. We test the prediction that sea-level fluctuations in the course of the Pleistocene glaciations increased speciation rates. Location Malay Peninsula, Greater Sunda Islands (Borneo, Java, Sumatra, Sulawesi), Bali and the Philippines (Palawan, Mindoro). Methods Phylogenetic inference calculations were based on partial mitochondrial cytochrome c oxidase subunit I (COX1), 16S ribosomal RNA and nuclear histone subunit 3 (H3) genes using maximum likelihood, maximum parsimony and Bayesian approaches. Divergence time estimation was performed with beast based on external substitution rates. Biogeographical analyses were conducted with a parametric likelihood method (Lagrange) and a Bayesian method (BayesTraits). Lineage diversification was studied with a lineage-through-time plot, and a maximum likelihood approach as implemented in the R package laser. Results We propose a Late Miocene age for the most recent common ancestor of Parathelphusa, with an ancestral range covering Borneo and the adjacent part of Sundaland. The evolution of six lineages pre-dates the Pliocene, five of them occurring on Borneo. Subsequent dispersal during the Miocene and Pliocene extended the range of Parathelphusa to the Philippines, Sulawesi, the Malay Peninsula and Sumatra, and, during the Late Pliocene and Pleistocene, to Java. Pleistocene divergence occurred between species from the Malay Peninsula and Sumatra, Java and Sumatra, and Java and Borneo. Main conclusions Although low sea levels during the Pleistocene in all probability facilitated the dispersal of freshwater crabs among the Greater Sunda islands (excluding Sulawesi, which is not part of the Sunda Shelf), there is no complete Pleistocene geographical admixture of species, and pre-Pleistocene biogeographical patterns were retained. Furthermore, Pleistocene vicariance did not lead to an increased diversification rate in Parathelphusa. Instead, single colonization events out of Borneo during the Neogene, followed by species radiation (e.g. on Palawan and Sulawesi), contributed substantially to species diversity in Parathelphusa. This involved the crossing of marine barriers such as the Wallace Line.</t>
  </si>
  <si>
    <t>10.1111/j.1365-2699.2012.02771.x</t>
  </si>
  <si>
    <t>Dennis, AB; Loomis, SH; Hellberg, ME</t>
  </si>
  <si>
    <t>Latitudinal Variation of Freeze Tolerance in Intertidal Marine Snails of the Genus Melampus (Gastropoda: Ellobiidae)</t>
  </si>
  <si>
    <t>PHYSIOLOGICAL AND BIOCHEMICAL ZOOLOGY</t>
  </si>
  <si>
    <t>Low temperatures limit the poleward distribution of many species such that the expansion of geographic range can only be accomplished via evolutionary innovation. We have tested for physiological differences among closely related species to determine whether their poleward latitudinal ranges are limited by tolerance to cold. We measured lower temperature tolerance (LT50) among a group of intertidal pulmonate snails from six congeneric species and nine locales. Differences in tolerance are placed in the context of a molecular phylogeny based on one mitochondrial (cytochrome oxidase subunit I) and two nuclear (histone 3 and a mitochondrial phosphate carrier protein) markers. Temperate species from two separate lineages had significantly lower measures of LT50 than related tropical species. Range differences within the temperate zone, however, were not explained by LT50. These results show that multiple adaptations to cold and freezing may have enabled range expansions out of the tropics in Melampus. However, northern range limits within temperate species are not governed by cold tolerance alone.</t>
  </si>
  <si>
    <t>JUL-AUG</t>
  </si>
  <si>
    <t>10.1086/676138</t>
  </si>
  <si>
    <t>Spagna, JC; Crews, SC; Gillespie, RG</t>
  </si>
  <si>
    <t>Patterns of habitat affinity and Austral/Holarctic parallelism in dictynoid spiders (Araneae : Entelegynae)</t>
  </si>
  <si>
    <t>The ability to survive in a terrestrial environment was a major evolutionary hurdle for animals that, once passed, allowed the diversification of most arthropod and vertebrate lineages. Return to a truly aquatic lifestyle has occurred only rarely among terrestrial lineages, and is generally associated with modifications of the respiratory system to conserve oxygen and allow extended periods of apnea. Among chelicerates, in particular spiders, where the circulatory system also serves as a hydrostatic skeleton, very few taxa have exploited aquatic environments, though these environments are abundant and range from freshwater ponds to the marine intertidal and relictual (salt) lakes. The traditional systematic positions of the taxa inhabiting these environments are controversial. Partitioned Bayesian analysis using a doublet model for stems in the nearly complete 18S rRNA gene (similar to 1800 nt) and in the D2 and D3 regions of the 28S rRNA gene (similar to 690 nt), and standard models for loops and full protein-coding histone H3 (349 nt) partitions (totalling 3133 bp when aligned) of dictynoid spiders and related lineages revealed that the only truly aquatic spider species, Argyroneta aquatica (Clerck, 1767) (Cybaeidae Banks, 1892), belongs in a clade containing other taxa with unusual habitat affinities related to an aquatic existence, including occupation of semi-aquatic (intertidal) areas (Desidae Pocock, 1985: Paratheuma spp.) and highly alkaline salt-crusts (Dictynidae O. Pickard-Cambridge, 1871: Saltonia incerta (Banks, 1898)). In a contrasting pattern, other spiders that also occupy intertidal zones, including some other members of the family Desidae (Desis spp., Badumna longinqua (L. Koch, 1867)), are an independently derived clade found primarily in the southern hemisphere. Use of the doublet model reduced some branch-support values in the single-gene trees for rRNA data, but resulted in a robust combined-data phylogeny from 18S rRNA, 28S rRNA, and histone H3. This combination of results-reduction in support in single-gene trees and gain in support in combined-data trees-is consistent with use of the doublet model reducing problematic signal from non-independent base pairs in individual data partitions, resulting in improved resolution in the combined-data analyses.</t>
  </si>
  <si>
    <t>10.1071/IS10001</t>
  </si>
  <si>
    <t>Huang, YF; Qiao, Y; Zhong, SP; Zhang, XZ; Hu, MH; Kwan, K; Pengsakul, T; Guo, JS; Chen, XY; Ma, XW; Li, QZ</t>
  </si>
  <si>
    <t>MiRNA-mRNA integration analysis of three continuous embryonic stages of Chinese horseshoe crab Tachypleus tridentatus</t>
  </si>
  <si>
    <t>Horseshoe crabs are marine chelicerates which have existed for about 450 million years. Their long coexistence with microbial pathogens presumably is due to their efficient immune system. Herein, the first large-scale transcriptome and microRNA (miRNA) dataset of embryonic stages of the horseshoe crab Tachypleus tridentatus were presented. It provides a general overview of global gene expression changes during horseshoe crab's early development. This study focuses on the stages 18-20 of the embryonic development of T. tridentatus, which are the first three major embryonic molt stages and involve the formation of several vital organs. We identified 138,260 unigenes, including 34 immune-related gene families such as pattern recognition receptors, signaling and transduction pathway genes, antimicrobial peptides, and coagulation cascade genes. Additionally, 1522 miRNAs (1046 known miRNAs and 476 novel miRNAs) were predicted to 29,584 target genes. Numerous mRNAmiRNA interactions were also identified. Results of Quantitative PCR proved that the immune genes such as Spaetzle, ankyrin-3, peptidoglycan-recognition protein, coagulogen, TNF-receptor-associated factor, and CD-9 antigen were negatively regulated by miR-5735, miR-200, miR-145, miR-199, miR-144, and miR-322, respectively. Futhermore, we confirmed the target regulatory relationship between miR-200 and ankyrin-3 by dual luciferase reporter gene assay. To better understand the complex developmental gene regulatory networks in T. tridentatus, the time-course gene expression data analysis is the first step. Our results provide a valuable resource for analyzing the functions of gene repertoires in embryonic developmental stages (Stage 18 to Stage 20)of horseshoe crab.</t>
  </si>
  <si>
    <t>10.1016/j.aqrep.2024.102354</t>
  </si>
  <si>
    <t>Green, GR; Ferlita, RR; Walkenhorst, WF; Poccia, DL</t>
  </si>
  <si>
    <t>Linker DNA destabilizes condensed chromatin</t>
  </si>
  <si>
    <t>The contribution of the linker region to maintenance of condensed chromatin was examined in two model systems, namely sea urchin sperm nuclei and chicken red blood cell nuclei. Linkerless nuclei, prepared by extensive digestion with micrococcal nuclease, were compared with Native nuclei using several assays, including microscopic appearance, nuclear turbidity, salt stability, and trypsin resistance. Chromatin in the Linkerless nuclei was highly condensed, resembling pyknotic chromatin in apoptotic cells. Linkerless nuclei were more stable in low ionic strength buffers and more resistant to trypsin than Native nuclei. Analysis of histones from the trypsinized nuclei by polyacrylamide gel electrophoresis showed that specific histone H1, H2B, and H3 tail regions stabilized linker DNA in condensed nuclei. Thermal denaturation of soluble chromatin preparations from differentially trypsinized sperm nuclei demonstrated that the N-terminal regions of histones Sp H1, Sp H2B, and H3 bind tightly to linker DNA, causing it to denature at a high temperature. We conclude that linker DNA exerts a disruptive force on condensed chromatin structure which is counteracted by binding of specific histone tail regions to the linker DNA. The inherent instability of the linker region may be significant in all eukaryotic chromatins and may promote gene activation in living cells.</t>
  </si>
  <si>
    <t>10.1139/bcb-79-3-349</t>
  </si>
  <si>
    <t>Li, M; Huang, Q; Wang, JF; Li, CW</t>
  </si>
  <si>
    <t>Differential expression of microRNAs in Portunus trituberculatus in response to Hematodinium parasites</t>
  </si>
  <si>
    <t>Latest studies have indicated that microRNAs (miRNAs) play important roles in defending against bacterial and viral infections in marine crustacean, whereas little is known regarding the immunological roles of crustacean miRNAs in response to parasitic infection. To further reveal the host-parasite interactions between the parasitic dinoflagellate Hematodinium and its crustacean hosts, we applied the high-throughput sequencing technology to identify and characterize miRNAs in the Chinese swimming crab Portunus trituberculatus challenged with the Hematodinium parasite at a timescale of 16 days (d). A total of 168 miRNAs were identified and 51 miRNAs were differentially expressed in the hepatopancreas tissues of affected hosts. Eleven of the differentially expressed miRNAs were selected and verified by the quantitative real-time RT-PCR (qRT-PCR), manifesting the consistency between the high throughout sequencing and qRT-PCR assays. Further analysis of the putative target genes indicated that various immune-related pathways (e.g. endocytosis, Fc gamma R-mediated phagocytosis, lysosome, ECM-receptor interaction, complement and coagulation cascades, antigen processing and presentation, focal adhesion, etc.) and signal transduction pathways (e.g. JAK-STAT signaling pathway, MAPK signaling pathway, p53 signaling pathway, etc.) were mediated by the differentially expressed miRNAs. The results presented fundamental knowledge on the immunological roles of crustacean miRNAs and contributed to the better understanding of hosts' miRNAs-mediated immunity against the parasitic infection.</t>
  </si>
  <si>
    <t>10.1016/j.fsi.2018.09.011</t>
  </si>
  <si>
    <t>Martín-Hervás, MD; Carmona, L; Malaquias, MAE; Krug, PJ; Gosliner, TM; Cervera, JL</t>
  </si>
  <si>
    <t>A molecular phylogeny of Thuridilla Bergh, 1872 sea slugs (Gastropoda, Sacoglossa) reveals a case of flamboyant and cryptic radiation in the marine realm</t>
  </si>
  <si>
    <t>CLADISTICS</t>
  </si>
  <si>
    <t>The genus Thuridilla Bergh, 1872 comprises mostly tropical sap-sucking sea slugs species with flamboyantly coloured forms. However, the potential for cryptic or pseudocryptic species masked by convergent or polymorphic colour patterns has not been tested using molecular characters. In this study, we sampled 20 of the 23 recognized worldwide species and performed the most comprehensive molecular phylogenetic analysis of the genus to date using a multi-locus approach combining two mitochondrial (cytochrome c oxidase subunit I, 16S rRNA) and two nuclear (Histone H3, 28S rRNA) genes using maximum likelihood, maximum-parsimony and Bayesian criteria. Three molecular species delimitation methods (ABGD, GMYC, bPTP) and the morphology of radular teeth were additionally used to aid in species delimitation. Our analyses supported 35 species within Thuridilla, of which more than one-third (13) are part of a single radiation here named the Thuridilla gracilis (Risbec, 1928) species-complex. This complex includes T. gracilis, T. splendens (Baba, 1949), T. bayeri (Er. Marcus, 1965), and T. ratna (Er. Marcus, 1965), plus nine additional undescribed species. All 13 species are distinguishable by radular characters, external morphology and their DNA. The detection of this radiation led diversity of Thuridilla to be underestimated by about 25% and provides a new comparative system for studying the role of colour patterns in marine diversification.</t>
  </si>
  <si>
    <t>10.1111/cla.12465</t>
  </si>
  <si>
    <t>Zhu, YR; Wang, ZJ; Li, HP; Ren, Z; Zi, T; Qin, X; Sun, WHZ; Chen, X; Wu, G</t>
  </si>
  <si>
    <t>LncRNA HCG18 promotes prostate cancer progression by regulating the miR-512-3p/HK-2 axis</t>
  </si>
  <si>
    <t>ASIAN JOURNAL OF UROLOGY</t>
  </si>
  <si>
    <t>Objective: Long non-coding RNAs (lncRNAs) play an important role in tumor progression. Numerous studies show that lncRNAs are strongly associated with prostate cancer (PCa) progression. The aim of this study was to investigate the pathway through which lncRNA HCG18 regulates PCa progression by bioinformatics analysis and experiments. Methods: We compared HCG18 expression in PCa versus normal tissue and cells by data and cell lines, followed by comparing the changes in tumor cell proliferation, migration, and invasive ability after knockdown of HCG18. Then we searched for its downstream pathway by database and validated the pathway in vivo and in vitro. Results: HCG18 was highly expressed in PCa and has the ability to promote tumor proliferation, migration, and invasion; knockdown of HCG18 led to a decrease in the ability of cells to do so, which can be reversed by knockdown of miR-512-3p or overexpression of hexokinase 2. Conclusion: Our in vivo and in vitro experiments suggest that HCG18 can play a role in promoting PCa progression by blocking the inhibition of hexokinase 2 by miR-512-3p via sponge adsorption. (c) 2024 Editorial Office of Asian Journal of Urology. Production and hosting by Elsevier B.V. This is an open access article under the CC BY-NC-ND license (http://creativecommons.org/ licenses/by-nc-nd/4.0/).</t>
  </si>
  <si>
    <t>10.1016/j.ajur.2024.01.007</t>
  </si>
  <si>
    <t>Ahsan, MI; Chowdhury, MSR; Das, M; Akter, S; Roy, S; Sharma, B; Akhand, RN; Hasan, M; Uddin, MB; Ahmed, SSU</t>
  </si>
  <si>
    <t>In Silico Identification and Functional Characterization of Conserved miRNAs in the Genome of Cryptosporidium parvum</t>
  </si>
  <si>
    <t>BIOINFORMATICS AND BIOLOGY INSIGHTS</t>
  </si>
  <si>
    <t>Cryptosporidium parvum, a predominant causal agent of a fatal zoonotic protozoan diarrhoeal disease called cryptosporidiosis, bears a worldwide public health concern for childhood mortality and poses a key threat to the dairy and water industries. MicroRNAs (miRNAs), small but powerful posttranscriptional gene silencing RNA molecules, regulate a variety of molecular, biological, and cellular processes in animals and plants. As to the present date, there is a paucity of information regarding miRNAs of C. parvum; hence, this study was used to identify miRNAs in the organism using a comprehensible expressed sequence tag-based homology search approach consisting of a series of computational screening process from the identification of putative miRNA candidates to the functional annotation of the important gene targets in C. parvum. The results revealed a conserved miRNA that targeted 487 genes in the model organism (Drosophila melanogaster) and 85 genes in C. parvum, of which 11 genes had direct involvements in several crucial virulence factors such as environmental oocyst protection, excystation, locomotion, adhesion, invasion, stress protection, intracellular growth, and survival. Besides, 20 genes showed their association with various major pathways dedicated for the ribosomal biosynthesis, DNA repair, transportation, protein production, gene expression, cell cycle, cell proliferation, development, immune response, differentiation, and nutrient metabolism of the organism in the host. Thus, this study provides a strong evidence of great impact of identified miRNA on the biology, virulence, and pathogenesis of C. parvum. Furthermore, the study suggests that the detected miRNA could be a potential epigenomic tool for controlling the protozoon through silencing those virulent and pathway-related target genes.</t>
  </si>
  <si>
    <t>10.1177/11779322211027665</t>
  </si>
  <si>
    <t>Yao, DX; Zhang, L; Zheng, MY; Sun, XW; Lu, Y; Liu, PY</t>
  </si>
  <si>
    <t>Circ2Disease: a manually curated database of experimentally validated circRNAs in human disease</t>
  </si>
  <si>
    <t>Circular RNAs (circRNAs), a new class of regulatory noncoding RNAs, play important roles in human diseases. While a growing number of circRNAs have been characterized with biological functions, it is necessary to integrate all the information to facilitate studies on circRNA functions and regulatory networks in human diseases. Circ2Disease database contains 273 manually curated associations between 237 circRNAs and 54 human diseases with strong experimental evidence from 120 studies. Each association includes circRNA name, disease name, expression pattern, experimental method, a brief functional description of the circRNA-disease relationship, and other detailed information. The experimentally validated miRNAs that may be 'sponged up' by these circRNAs and their validated targets were also integrated to form a comprehensive regulatory network. Circ2Disease provides a user-friendly interface to browse, search, analyze regulatory network and download data. With the rapidly increasing interest in circRNAs, Circ2Disease will significantly improve our understanding of circRNA deregulation in diseases and is a useful resource for studying posttranscriptional regulatory roles of circRNAs in human diseases.</t>
  </si>
  <si>
    <t>JUL 20</t>
  </si>
  <si>
    <t>10.1038/s41598-018-29360-3</t>
  </si>
  <si>
    <t>Rose, D; Hertel, J; Reiche, K; Stadler, PF; Hackermüller, J</t>
  </si>
  <si>
    <t>NcDNAlign:: Plausible multiple alignments of non-protein-coding genomic sequences</t>
  </si>
  <si>
    <t>Genome-wide multiple sequence alignments (MSAs) are a necessary prerequisite for an increasingly diverse collection of comparative genomic approaches. Here we present a versatile method that generates high-quality MSAS for non-protein-coding sequences. The NcDNAlign pipeline combines pairwise BLAST alignments to create initial MSAs, which are then locally improved and trimmed. The program is optimized for speed and hence is particulary well-suited to pilot studies. We demonstrate the practical use of NcDNAlign in three case studies: the search for ncRNAs in gammaproteobacteria and the analysis of conserved noncoding DNA in nematodes and teleost fish, in the latter case focusing on the fate of duplicated ultra-conserved regions. Compared to the currently widely used genome-wide alignment program TBA, our program results in a 20- to 30-fold reduction of CPU time necessary to generate gamma proteobacterial alignments. A showcase application of bacterial ncRNA prediction based on alignments of both algorithms results in similar sensitivity, false discovery rates,and up to 100 putatively novel ncRNA structures. Similar findings hold for our application Of NcDNAlign to the identification of ultra-conserved regions in nematodes and teleosts. Both approaches yield conserved sequences of unknown function, result in novel evolutionary insights into conservation patterns among these genomes, and manifest the benefits of an efficient and reliable genome-wide alignment package. The software is available under the GNU Public License at http://www.bioinf.uni-leipzig.de/Software/NcDNAlign/. (C) 2008 Elsevier Inc. All rights reserved.</t>
  </si>
  <si>
    <t>10.1016/j.ygeno.2008.04.003</t>
  </si>
  <si>
    <t>Wang, P; Wu, CX; Xu, YL; Liang, MX; Tan, WQ; Wang, QH; Deng, YW; Zheng, Z</t>
  </si>
  <si>
    <t>Exosomal miRNAs Mediate Immune-Metabolic Interactions in the Hemocytes of the Pearl Oyster Pinctada fucata martensii</t>
  </si>
  <si>
    <t>ANIMALS</t>
  </si>
  <si>
    <t>Simple Summary The development of marine pastures is vital for sustainable blue economies but faces increasing threats, such as disease outbreaks. This study investigates how pearl oysters, an economically important bivalve, utilize exosomes and their cargo microRNAs to regulate key immune and metabolic pathways-including apoptosis, inflammation, and metabolic reprogramming-following lipopolysaccharide (LPS) stimulation. Our findings elucidate the innate disease-resistance mechanisms in bivalves and suggest that exosomal miRNAs could serve as potential biomarkers for assessing their health in aquaculture settings.Abstract Mollusks, such as bivalves, face increasing threats, such as disease, in aquaculture. Exosomes, widely derived from living cells carrying diverse bioactive molecules, affect the immune response. To overcome these challenges, bivalves utilize exosomal miRNAs as critical regulators of immune responses. This study investigates the role of exosomal miRNAs in modulating immune and metabolic responses in Pinctada fucata martensii following lipopolysaccharide (LPS) stimulation. Exosomes (75-150 nm) were isolated from hemolymph and characterized. High-throughput sequencing identified 30 differentially expressed miRNAs (DEMs) and 1349 differentially expressed genes (DEGs) in LPS-treated oysters, with significant enrichment in TNF, TLR/NF-kappa B, and metabolic pathways. This study revealed exosomal miRNA-mediated regulation of immune genes (I kappa B alpha, TRAF6, IRAK1, and BIRC2/3) and metabolic enzymes (PCK and CYP2J), demonstrating their role in apoptosis, inflammation, and metabolic reprogramming. Network analysis highlighted miRNA-mRNA interactions, including miR-7/I kappa B alpha (TNF pathway) and miR-34_5/IRAK1 (TLR pathway). Additionally, exosomal miRNAs (miR-92_2 and novel_mir5) were found to regulate oxidative stress (SOD1) and gluconeogenesis (PCK), linking immune defense with metabolic adaptation. These findings provide novel insights into exosomal miRNA-mediated immune regulation in bivalves, revealing conserved mechanisms with potential implications for molluscan health and disease management.</t>
  </si>
  <si>
    <t>OCT 13</t>
  </si>
  <si>
    <t>10.3390/ani15202955</t>
  </si>
  <si>
    <t>Li, HY; Shi, L; Wang, DZ; Wang, MH</t>
  </si>
  <si>
    <t>Impacts of mercury exposure on life history traits of Tigriopus japonicus: Multigeneration effects and recovery from pollution</t>
  </si>
  <si>
    <t>Here, through a multigenerational life-cycle test, Tigriopus japonicus were exposed to different mercuric chloride treatments in seawater (nominal concentrations of 0, 0.5, 1, 10, and 50 mu g/L) for five successive generations (F0-F4), and subsequently all the treatments were recovered in clean environments for one generation (F5). Six life history traits (survival, developmental time for nauplius phase, developmental time to maturation, fecundity, number of clutches, and number of nauplii/clutch) were examined for each generation. Mercury (Hg) accumulation was also analyzed for the adult copepods in the F1, F3, and F5. The results indicated that Hg accumulated in a dose-dependent manner for the F1, F3, and F5 generations. Moreover, higher Hg contents were observed in F3 than Fl at the same exposure levels. Among the six life history traits, only fecundity and number of nauplii/clutch showed a greater sensitivity to Hg toxicity, and the inhibitory effects worsened from F0 to F3, which was explained by a trend for higher metal accumulation with increasing generations. In the recovery generation (F5), none of the traits differed from the control, highlighting that Hg might not induce any epigenetic or parental effects in the following generations. Thus, we hypothesized that although cumulative effects might have been involved in Hg multigenerational toxicity, physiological acclimation, that is, phenotypic plasticity could explain Hg tolerance obtained by marine copepods. Impacts on important life history traits could disturb the population dynamics of some important marine copepods, hence having unexpected ecological consequences in the marine ecosystem. Yet, the Hg harmful impacts rapidly fade away as the Hg is cleared from the environment. (C) 2015 Elsevier B.V. All rights reserved.</t>
  </si>
  <si>
    <t>10.1016/j.aquatox.2015.06.015</t>
  </si>
  <si>
    <t>Razak, NFA; Supramaniam, CV; Zieritz, A</t>
  </si>
  <si>
    <t>A dichotomous PCR-RFLP identification key for the freshwater mussels (Bivalvia: Unionida) of Peninsular Malaysia</t>
  </si>
  <si>
    <t>CONSERVATION GENETICS RESOURCES</t>
  </si>
  <si>
    <t>Accurate species identification is the basis for successful species conservation and research, but extensive phenotypic plasticity in freshwater mussel (Bivalvia: Unionida) species often leads to misidentification by morphology alone. Molecular techniques have proven a powerful alternative tool for identification of freshwater mussels in North America and Europe. Unfortunately, no such tools are currently available for tropical mussels, which are subject to particularly severe habitat alteration and destruction. We developed a PCR-RFLP key for the freshwater mussel fauna of Peninsular Malaysia, comprising nine native and one non-native species from seven genera and three unionid subfamilies (Gonideinae, Rectidentinae and Anodontinae). The key enables identification of each species in two to four single digestion steps using six restriction endonucleases. All species can be identified using a single PCR fragment of 374 bp length (Histone H3) with the exception of two Pseudodon species, which can be differentiated through amplification and subsequent digestion of a 709 bp CO1 gene fragment. Reliability of the key was tested with specimens from 46 populations sampled from 13 different river basins of Peninsular Malaysia.</t>
  </si>
  <si>
    <t>10.1007/s12686-018-1038-8</t>
  </si>
  <si>
    <t>Carpi, S; Scoditti, E; Polini, B; Brogi, S; Calderone, V; Proksch, P; Ebada, SS; Nieri, P</t>
  </si>
  <si>
    <t>Pro-Apoptotic Activity of the Marine Sponge Dactylospongia elegans Metabolites Pelorol and 5-epi-Ilimaquinone on Human 501Mel Melanoma Cells</t>
  </si>
  <si>
    <t>The natural environment represents an important source of drugs that originates from the terrestrial and, in minority, marine organisms. Indeed, the marine environment represents a largely untapped source in the process of drug discovery. Among all marine organisms, sponges with algae represent the richest source of compounds showing anticancer activity. In this study, the two secondary metabolites pelorol (PEL) and 5-epi-ilimaquinone (EPI), purified from Dactylospongia elegans were investigated for their anti-melanoma activity. PEL and EPI induced cell growth repression of 501Mel melanoma cells in a concentration- and time-dependent manner. A cell cycle block in the G1 phase by PEL and EPI was also observed. Furthermore, PEL and EPI induced significant accumulation of DNA histone fragments in the cytoplasmic fraction, indicating a pro-apoptotic effect of both compounds. At the molecular level, PEL and EPI induced apoptosis through the increase in pro-apoptotic BAX expression, confirmed by the decrease in its silencing miR-214-3p and the decrease in the anti-apoptotic BCL-2, MCL1, and BIRC-5 mRNA expression, attested by the increase in their silencing miRNAs, i.e., miR-193a-3p and miR-16-5p. In conclusion, our data indicate that PEL and EPI exert cytotoxicity activity against 501Mel melanoma cells promoting apoptotic signaling and inducing changes in miRNA expression and their downstream effectors. For these reasons could represent promising lead compounds in the anti-melanoma drug research.</t>
  </si>
  <si>
    <t>10.3390/md20070427</t>
  </si>
  <si>
    <t>Sampilo, NF; Stepicheva, NA; Zaidi, SAM; Wang, LY; Wu, W; Wikramanayake, A; Song, JL</t>
  </si>
  <si>
    <t>Inhibition of microRNA suppression of Dishevelled results in Wnt pathway-associated developmental defects in sea urchin</t>
  </si>
  <si>
    <t>DEVELOPMENT</t>
  </si>
  <si>
    <t>MicroRNAs (miRNAs) are highly conserved, small non-coding RNAs that regulate gene expressions by binding to the 3' untranslated region of target mRNAs thereby silencing translation. Some miRNAs are key regulators of the Wnt signaling pathways, which impact developmental processes. This study investigates miRNA regulation of different isoforms of Dishevelled (Dvl/Dsh), which encode a key component in the Wnt signaling pathway. The sea urchin Dvl mRNA isoforms have similar spatial distribution in early development, but one isoform is distinctively expressed in the larval ciliary band. We demonstrated that Dvl isoforms are directly suppressed by miRNAs. By blocking miRNA suppression of Dvl isoforms, we observed dose-dependent defects in spicule length, patterning of the primary mesenchyme cells, gut morphology, and cilia. These defects likely result from increased Dvl protein levels, leading to perturbation of Wnt-dependent signaling pathways and additional Dvl-mediated processes. We further demonstrated that overexpression of Dvl isoforms recapitulated some of the Dvl miRNATP-induced phenotypes. Overall, our results indicate that miRNA suppression of Dvl isoforms plays an important role in ensuring proper development and function of primary mesenchyme cells and cilia.</t>
  </si>
  <si>
    <t>10.1242/dev.167130</t>
  </si>
  <si>
    <t>Mohd-Shamsudin, MI; Kang, Y; Zhao, LL; Tan, TT; Kwong, QB; Liu, H; Zhang, GJ; Othman, RY; Bhassu, S</t>
  </si>
  <si>
    <t>In-Depth Tanscriptomic Analysis on Giant Freshwater Prawns</t>
  </si>
  <si>
    <t>Gene discovery in the Malaysian giant freshwater prawn (Macrobrachium rosenbergii) has been limited to small scale data collection, despite great interest in various research fields related to the commercial significance of this species. Next generation sequencing technologies that have been developed recently and enabled whole transcriptome sequencing (RNA-seq), have allowed generation of large scale functional genomics data sets in a shorter time than was previously possible. Using this technology, transcriptome sequencing of three tissue types: hepatopancreas, gill and muscle, has been undertaken to generate functional genomics data for M. rosenbergii at a massive scale. De novo assembly of 75-bp paired end Ilumina reads has generated 102,230 unigenes. Sequence homology search and in silico prediction have identified known and novel protein coding candidate genes (similar to 24%), non-coding RNA, and repetitive elements in the transcriptome. Potential markers consisting of simple sequence repeats associated with known protein coding genes have been successfully identified. Using KEGG pathway enrichment, differentially expressed genes in different tissues were systematically represented. The functions of gill and hepatopancreas in the context of neuroactive regulation, metabolism, reproduction, environmental stress and disease responses are described and support relevant experimental studies conducted previously in M. rosenbergii and other crustaceans. This large scale gene discovery represents the most extensive transcriptome data for freshwater prawn. Comparison with model organisms has paved the path to address the possible conserved biological entities shared between vertebrates and crustaceans. The functional genomics resources generated from this study provide the basis for constructing hypotheses for future molecular research in the freshwater shrimp.</t>
  </si>
  <si>
    <t>MAY 29</t>
  </si>
  <si>
    <t>10.1371/journal.pone.0060839</t>
  </si>
  <si>
    <t>Chen, LY; Li, XL; Hong, HZ; Shi, DL</t>
  </si>
  <si>
    <t>Multigenerational effects of 4-methylbenzylidene camphor (4-MBC) on the survival, development and reproduction of the marine copepod Tigriopus japonicus</t>
  </si>
  <si>
    <t>One of the most widely used organic UV filters, 4-methylbenzylidene camphor (4-MBC), is present at high concentrations in offshore waters. The marine copepod Tigriopus japonicus was exposed to different concentrations of 4-MBC (i.e., 0, 0.5, 1, 5 and 10 mu g L-1) for 4 consecutive generations (F0-F3) to evaluate the impact of 4-MBC on marine ecosystems. The results showed that in the FO generation, 4-MBC caused significant lethal toxicity in T. japonicas at concentrations of 5 and 10 mu g L-1 and the nauplii were more sensitive to 4-MBC toxicity than the adults. However in the F1-F3 generations, 4-MBC exposure did not affect the survival rate. The hatching rate and the developmental duration from the nauplii to the copepodite (N-C) and from the nauplii to adult (N-A) decreased significantly in the F1-F2 generations and in the F2-F3 generations, respectively, even at the lowest exposure concentration (0.5 mu g L-1). In the subsequent two generations (i.e., the F4-F5 generations) of recovery exposure in clean seawater, the growth rates of the original 4-MBC exposure groups were still faster than the control in both the N-C and N-A stages, suggesting possible transgenerational genetic and/or epigenetic changes upon chronic 4-MBC exposure. The expression of the ecdysone receptor gene was up-regulated by 4-MBC, which was consistent with the decrease of the N-C/N-A duration. In addition, 4-MBC may induce oxidative stress and trigger apoptosis in T. japonicas, resulting in developmental, reproductive and even lethal toxicity. A preliminary risk assessment suggested that under environmentally realistic concentrations, 4-MBC had significant potential to pose a threat to marine crustaceans and marine ecosystems.</t>
  </si>
  <si>
    <t>10.1016/j.aquatox.2017.11.008</t>
  </si>
  <si>
    <t>Lindgren, AR</t>
  </si>
  <si>
    <t>Molecular inference of phylogenetic relationships among Decapodiformes (Mollusca: Cephalopoda) with special focus on the squid Order Oegopsida</t>
  </si>
  <si>
    <t>Squids, cuttlefish and bobtail squids comprise the molluscan superorder Decapodiformes (Mollusca: Cephalopoda). Although these animals exemplify the morphological and ecological diversity seen in Cephalopoda, no previous study has focused resolving decapodiform relationships, particularly within Oegopsida, a large order comprised of pelagic squid. To further clarify the phylogenetic history of Decapodiformes, and Oegopsida in particular, molecular data for five genes (18S rRNA, 28S rRNA, Histone H3, 16S rRNA, COI) was collected for 90 taxa representing all major lineages and families and evaluated using parsimony, likelihood, and Bayesian analysis. Although ordinal relationships were sensitive to analytical method, several conclusions can be inferred: the pelagic order Myopsida is closely related to the benthic sepioids, whose relationships were ambiguous, and Bathyteuthoidea is distinct from Oegopsida. Within Oegopsida several clades are consistently recovered, some with previous morphological support (e.g. chiroteuthid, lepidoteuthid, histioteuthid families) while others suggest novel relationships (e.g. Architeuthidae + Neoteuthidae). This study, with its broad coverage of taxa, provides the first in-depth analysis of Decapodiformes with special focus on the morphologically and biogeographically diverse Oegopsida, confirms several sister-taxon relationships, and provides new hypotheses of cephalopod evolution in the open ocean. (C) 2010 Elsevier Inc. All rights reserved.</t>
  </si>
  <si>
    <t>10.1016/j.ympev.2010.03.025</t>
  </si>
  <si>
    <t>Picone, B; Rhode, C; Roodt-Wilding, R</t>
  </si>
  <si>
    <t>Identification and characterization of miRNAs transcriptome in the South African abalone, Haliotis midae</t>
  </si>
  <si>
    <t>Aquatic animal diseases are one of the most important limitations to the growth of aquaculture. miRNAs represent an important class of small ncRNAs able to modulate host immune and stress responses. In Mollusca, a large phylum of invertebrates, miRNAs have been identified in several species. The current preliminary study identified known miRNAs from the South African abalone, Haliotis midae. The economic and ecological importance of abalone makes this species a suitable model for studying and understanding stress response in marine gastropods. Furthermore, the identification of miRNA, represents an alternative and powerful tool to combat infectious disease. (C) 2016 Elsevier B.V. All rights reserved.</t>
  </si>
  <si>
    <t>10.1016/j.margen.2016.10.005</t>
  </si>
  <si>
    <t>Chen, XL; Qiu, LM; Si, XR; Zhang, XL; Guo, BY; Liao, Z; Yan, XJ; Qi, PZ</t>
  </si>
  <si>
    <t>Exploring the Role of a Novel Interleukin-17 Homolog from Invertebrate Marine Mussel Mytilus coruscus in Innate Immune Response: Is Negative Regulation by Mc-Novel_miR_145 the Key?</t>
  </si>
  <si>
    <t>Interleukin-17 (IL-17) represents a class of proinflammatory cytokines involved in chronic inflammatory and degenerative disorders. Prior to this study, it was predicted that an IL-17 homolog could be targeted by Mc-novel_miR_145 to participate in the immune response of Mytilus coruscus. This study employed a variety of molecular and cell biology research methods to explore the association between Mc-novel_miR_145 and IL-17 homolog and their immunomodulatory effects. The bioinformatics prediction confirmed the affiliation of the IL-17 homolog with the mussel IL-17 family, followed by quantitative real-time PCR assays (qPCR) to demonstrate that McIL-17-3 was highly expressed in immune-associated tissues and responded to bacterial challenges. Results from luciferase reporter assays confirmed the potential of McIL-17-3 to activate downstream NF-kappa b and its targeting by Mc-novel_miR_145 in HEK293 cells. The study also produced McIL-17-3 antiserum and found that Mc-novel_miR_145 negatively regulates McIL-17-3 via western blotting and qPCR assays. Furthermore, flow cytometry analysis indicated that Mc-novel_miR_145 negatively regulated McIL-17-3 to alleviate LPS-induced apoptosis. Collectively, the current results showed that McIL-17-3 played an important role in molluscan immune defense against bacterial attack. Furthermore, McIL-17-3 was negatively regulated by Mc-novel_miR_145 to participate in LPS-induced apoptosis. Our findings provide new insights into noncoding RNA regulation in invertebrate models.</t>
  </si>
  <si>
    <t>10.3390/ijms24065928</t>
  </si>
  <si>
    <t>Hookabe, N; Manzano, GG; Jimi, N; Kise, H; Reimer, JD; Tsuchida, S; Fujiwara, Y</t>
  </si>
  <si>
    <t>Ribbon worms living on deep-sea trees: Alvinonemertes daitoensis sp. nov. (Nemertea, Monostilifera) associated with the glass sponge Walteria leuckarti (Porifera, Hexactinellida)</t>
  </si>
  <si>
    <t>We describe a new species of nemertean, Alvinonemertes daitoensis sp. nov., discovered at a depth of 843 metres northwest of Minamidaito Island, Japan. This species is closely associated with the hexactinellid glass sponge Walteria leuckarti. Phylogenetic analyses using multiple genetic markers (cytochrome c oxidase subunit I, 16S rRNA, 18S rRNA, 28S rRNA, and histone H3) confirm the nemertean's placement within the Gononemertes clade in Oerstediina. Alvinonemertes daitoensis sp. nov. exhibits a distinctive ecological behaviour, wrapping around the branches of its host sponge, similar to Alvinonemertes dariae and Sagornya dagmarae, suggesting convergent arboreal adaptations to tree-shaped host animals. Our findings emphasize the importance of integrating ecological traits and in situ observations into taxonomic studies, particularly for deep-sea species with limited morphological differentiation. http://zoobank.org/urn:lsid:zoobank.org:pub:E356F81D-8426-41B7-9CE5-AEAA3616740</t>
  </si>
  <si>
    <t>DEC 31</t>
  </si>
  <si>
    <t>10.1080/14772000.2025.2504484</t>
  </si>
  <si>
    <t>Li, CJ; Zhang, QY; Zhang, B; Liang, HY; Ma, LN; Salman, M</t>
  </si>
  <si>
    <t>Study on the response mechanism of MicroRNA novel-13 and novel-44 to Vibrio parahaemolyticus infection in Pinctada fucata martensii</t>
  </si>
  <si>
    <t>BMC VETERINARY RESEARCH</t>
  </si>
  <si>
    <t>Pinctada fucata martensii (P. f. martensii) is one of the main pearl oysters cultured in artificial seawater in China. However, it is highly susceptible to pathogen infection under intensive cultivation near the coast. MicroRNAs (miRNAs), as an innovative and potent regulator of immune function, play a pivotal role in the immune response of pearl oysters to external stimuli and are a potent marker for the response of P. f. martensii to infection. This study identified two novel miRNAs, novel-13 and novel-44, from the whole transcriptome of the P. f. martensii hemocyte before and after infection with Vibrio parahaemolyticus. The dual luciferase results showed that novel-13 negatively regulated LAAO and novel-44 negatively regulated ILK. The activity of antioxidant-related enzymes increased significantly in the synthetic miRNA (novel-13 and novel-44) inhibitors and decreased significantly in the synthetic miRNA mimics. In the challenge experiment, injection with miRNA inhibitor increased the relative survival percentage by 10% compared with the control group. In conclusion, the overexpression of novel-13 and novel-44 can decrease the activity of immune and antioxidant-related enzymes, possibly affecting immune regulation in P. f. martensii by negatively regulating the LAAO and ILK target genes.</t>
  </si>
  <si>
    <t>JAN 24</t>
  </si>
  <si>
    <t>10.1186/s12917-024-04467-0</t>
  </si>
  <si>
    <t>Storey, KB; Storey, JM</t>
  </si>
  <si>
    <t>Molecular Biology of Freezing Tolerance</t>
  </si>
  <si>
    <t>COMPREHENSIVE PHYSIOLOGY</t>
  </si>
  <si>
    <t>Winter survival for many kinds of animals involves freeze tolerance, the ability to endure the conversion of about 65% of total body water into extracellular ice and the consequences that freezing imposes including interruption of vital processes (e.g., heartbeat and breathing), cell shrinkage, elevated osmolality, anoxia/ischemia, and potential physical damage from ice. Freeze-tolerant animals include various terrestrially hibernating amphibians and reptiles, many species of insects, and numerous other invertebrates inhabiting both terrestrial and intertidal environments. Well-known strategies of freezing survival include accumulation of low molecular mass carbohydrate cryoprotectants (e.g., glycerol), use of ice nucleating agents/proteins for controlled triggering of ice growth and of antifreeze proteins that inhibit ice recrystallization, and good tolerance of anoxia and dehydration. The present article focuses on more recent advances in our knowledge of the genes and proteins that support freeze tolerance and the metabolic regulatory mechanisms involved. Important roles have been identified for aquaporins and transmembrane channels that move cryoprotectants, heat shock proteins and other chaperones, antioxidant defenses, and metabolic rate depression. Genome and proteome screening has revealed many new potential targets that respond to freezing, in particular implicating cytoskeleton remodeling as a necessary facet of low temperature and/or cell volume adaptation. Key regulatory mechanisms include reversible phosphorylation control of metabolic enzymes and microRNA control of gene transcript expression. These help to remodel metabolism to preserve core functions while suppressing energy expensive metabolic activities such as the cell cycle. All of these advances are providing a much more complete picture of life in the frozen state. (C) 2013 American Physiological Society.</t>
  </si>
  <si>
    <t>10.1002/cphy.c130007</t>
  </si>
  <si>
    <t>Shi, XH; Yang, JX; Liu, MY; Zhang, YQ; Zhou, ZJ; Luo, WY; Fung, KM; Xu, C; Bronze, MS; Houchen, CW; Li, M</t>
  </si>
  <si>
    <t>Circular RNA ANAPC7 Inhibits Tumor Growth and Muscle Wasting via PHLPP2-AKT-TGF-I3 Signaling Axis in Pancreatic Cancer</t>
  </si>
  <si>
    <t>GASTROENTEROLOGY</t>
  </si>
  <si>
    <t>BACKGROUND &amp; AIMS: Pancreatic cancer has the highest prevalence of cancer-associated cachexia among all cancers. ZIP4 promotes pancreatic cancer progression by regulating oncogenic miR-373, and perturbation of circular RNAs (circRNAs) is associated with cancer aggressiveness. This study aimed to identify circRNAs involved in ZIP4/miR-373-driven cancer growth and cachexia and decipher the underlying mechanism. METHODS: Differentially expressed circRNAs and potential targets of microRNA were identified through in silico analysis. The RNA interactions were determined by means of biotinylated microRNA pulldown, RNA immunoprecipitation, and luciferase reporter assays. The function of circRNA in ZIP4-miR-373 signaling axis were examined in human pancreatic cancer cells, 3-dimensional spheroids and organo-ids, mouse models, and clinical specimens. Mouse skeletal muscles were analyzed by means of histology. RESULTS: We identified circANAPC7 as a sponge for miR-373, which inhibited tumor growth and muscle wasting in vitro and in vivo. Mechanistic studies showed that PHLPP2 is a down-stream target of ZIP4/miR-373. CircANAPC7 functions through PHLPP2-mediated dephosphorylation of AKT, thus suppressing cancer cell proliferation by down-regulating cyclin D1 and inhibiting muscle wasting via decreasing the secretion of transforming growth factor-b through STAT5. We further demonstrated that PHLPP2 induced dephosphoryla-tion of CREB, a zinc-dependent transcription factor activated by ZIP4, thereby forming a CREB-miR-373-PHLPP2 feed-forward loop to regulate tumor progression and cancer cachexia. CONCLUSION: This study identified circANAPC7 as a novel tumor suppressor, which functions through the CREB- miR-373-PHLPP2 axis, leading to AKT dephosphorylation, and cyclin D1 and transforming growth factor-b down-regulation to suppress tumor growth and muscle wasting in pancreatic cancer.</t>
  </si>
  <si>
    <t>10.1053/j.gastro.2022.02.017</t>
  </si>
  <si>
    <t>Ou, JT; Meng, QG; Li, Y; Xiu, YJ; Du, J; Gu, W; Wu, T; Li, WJ; Ding, ZF; Wang, W</t>
  </si>
  <si>
    <t>Identification and comparative analysis of the Eriocheir sinensis microRNA transcriptome response to Spiroplasma eriocheiris infection using a deep sequencing approach</t>
  </si>
  <si>
    <t>The Chinese mitten crab Eriocheir sinensis is one of the most important freshwater aquaculture crustacean species in China. MicroRNAs (miRNAs) are small non-coding RNAs that are important effectors in the intricate host pathogen interaction network. To increase the repertoire of miRNAs characterized in crustaceans and to examine the relationship between host miRNA expression and pathogen infection, we used the Illumina/Solexa deep sequencing technology to sequence two small RNA libraries prepared from haemocytes of E. sinensis under normal conditions and during infection with Spiroplasma eriocheiris. The high-throughput sequencing resulted in approximately 30,975,151 and 30,826,277 raw reads corresponding to 12,077,088 and 16,271,545 high-quality mappable reads for the normal and infected haemocyte samples, respectively. Bioinformatic analyses identified 735 unique miRNAs, including 36 that are conserved in crustaceans, 134 that are novel to crabs but are present in other arthropods (PN-type), and 565 that are completely new (PC-type). Two hundred twenty-eight unique miRNAs displayed significant differential expression between the normal and infected haemocyte samples (p &lt; 0.0001). Of these, 133 (58%) were significantly up-regulated and 95 (42%) were significantly down-regulated upon challenge with S. eriocheiris. Real-time quantitative PCR (RT-qPCR) experiments were preformed for 10 miRNAs of the two samples, and agreement was found between the sequencing and RT-qPCR data. To our knowledge, this is the first report of comprehensive identification of E. sinensis miRNAs and of expression analysis of E. sinensis miRNAs after exposure to S. eriocheiris. Many miRNAs were differentially regulated when exposed to the pathogen, and these findings support the hypothesis that certain miRNAs might be essential in host pathogen interactions. Our results suggest that elucidation of the molecular mechanisms responsible for miRNA regulation of the host's innate immune system should help with the development of new control strategies to prevent or treat S. eriocheiris infections in crustaceans. Crown Copyright (C) 2011 Published by Elsevier Ltd. All rights reserved.</t>
  </si>
  <si>
    <t>10.1016/j.fsi.2011.11.027</t>
  </si>
  <si>
    <t>Dorrington, T; Villamil, L; Gómez-Chiarri, M</t>
  </si>
  <si>
    <t>Upregulation in response to infection and antibacterial activity of oyster histone H4</t>
  </si>
  <si>
    <t>Several histones and histone-derived peptides have been shown to have antimicrobial activity and a potential role in innate immune defenses. A histone H4 sequence was identified in a subtractive suppression library containing genes upregulated in American cupped oysters, Crassostrea virginica, in response to challenge with the protozoan parasite Perkinsus marinus. Oyster histone H4 protein levels significantly increased in hemocyte lysates and cell free hemolymph of oysters experimentally challenged with P. marinus. The complete histone H4 coding sequence of C virginica was cloned into a Saccharomyces cerevisiae yeast expression system and recombinant expression was confirmed using SDS-PAGE analysis and western blot. Delivery of yeast cells expressing recombinant oyster histone H4 into the gut of brine shrimp, Artemia salinas, challenged with a streptomycin resistant strain of Vibrio anguillarum resulted in a significant and dose-dependent decrease in the load of V. anguillarum. Purified recombinant histone H4 showed antimicrobial activity against V. anguillarum and Escherichia coli at micromolar concentrations, but did not affect the viability of P. marinus in culture. These results support the role of histone H4 in the defense of oysters against bacterial infection and validate the use of a novel oyster antimicrobial H4 in a yeast feed-based delivery system for the treatment of bacterial infections in aquaculture applications. (C) 2010 Elsevier Ltd. All rights reserved.</t>
  </si>
  <si>
    <t>10.1016/j.fsi.2010.09.006</t>
  </si>
  <si>
    <t>Evans, DL; Kaur, H; Leary, J III; Praveen, K; Jaso-Friedmann, L</t>
  </si>
  <si>
    <t>Molecular characterization of a novel pattern recognition protein from nonspecific cytotoxic cells: Sequence analysis, phylogenetic comparisons and anti-microbial activity of a recombinant homologue</t>
  </si>
  <si>
    <t>Nonspecific cytotoxic cells (NCC) are the first identified and most extensively studied killer cell population in teleosts. NCC kill a wide variety of target cells including tumor cells, virally transformed cells and protozoan parasites. The present study identified a novel evolutionarily conserved oligodeoxynucleotide (ODN) binding membrane protein expressed by channel catfish (Italurus punctatus) NCC. Peptide fingerprinting analysis of the ODN binding protein (referred to as NCC cationic anti-microbial protein-1/ncamp-1) identified a peptide that was used to design degenerate primers. A catfish NCC cDNA library was used as template with these primers and the PCR-amplified product was sequenced. The translated sequence contained 203 amino acids (molecular mass of 22,064.63 Da) with characteristic lysine rich regions and a pI = pH 10.75. Sequence comparisons of this protein indicated similarity to zebrafish (51.2%) histone family member I-X and (to a lesser extent) to trout H1. A search of EST databases confirmed that ncamp-1 is also expressed in various tissues of channel catfish as well as zebrafish. Inspection for signature repeats in ncamp-1 and comparisons with histone-like peptides from different species indicated the presence of multiple lysine based motifs composed of AKKA or PKK repeats. The novel protein was cloned, expressed in E. coli and the recombinant was used to generate rabbit anti-serum. The recombinant ncamp-1 bound GpC and CpG ODNs and was detected with homologous anti-ncamp-1 polyclonal antibodies. Western blots of NCC membranes using anti-neamp-1 serum detected a 29 kDa protein. Binding competition experiments demonstrated that anti-ncamp-1 antibodies and GpC bound to the same protein on NCC. Two different truncated forms of ncamp-1 as well as the full-length recombinant protein exhibited antimicrobial activity. The present study demonstrated the expression by NCC of a new membrane protein that may participate in the recognition of bacterial DNA and as such participate in innate anti-microbial immune responses in teleosts. (c) 2005 Elsevier Ltd. All rights reserved.</t>
  </si>
  <si>
    <t>10.1016/j.dci.2005.03.011</t>
  </si>
  <si>
    <t>Wang, FF; Lv, BB; Liu, Y; Wen, J; Huang, YQ; Deng, YT; Tan, AP; Wang, L; Liao, YZ; Zhao, F</t>
  </si>
  <si>
    <t>BNIP3, targeted by miR-148 and miR-152, upregulates autophagy to inhibit Aeromonas hydrophila infection in the giant freshwater prawn Macrobrachium rosenbergii</t>
  </si>
  <si>
    <t>BNIP3 (Bcl-2/adenovirus E1B 19 kDa interacting protein 3) is a pro-apoptotic member of the Bcl-2 superfamily, that is implicated in autophagy during immune responses. To date, the mechanisms underlying BNIP3-mediated regulation of autophagy in crustaceans under pathogenic challenge remain poorly characterized. In this study, we demonstrated that BNIP3 in the giant freshwater prawn Macrobrachium rosenbergii (MrBNIP3), which is critical for immune defense, is essential for inducing autophagy during in vivo bacterial infection. The open reading frame of MrBNIP3 consists of 600 nucleotides that encode a 199-amino acid peptide containing multiple phosphorylation sites, a transmembrane domain, and a conserved BH3 motif. Phylogenetic analysis revealed high sequence similarity between MrBNIP3 and invertebrate BNIP3 orthologs as well as clustering within the crustacean clade. MrBNIP3 transcripts were ubiquitously expressed across all examined tissues, with maximal expression in muscle. Notably, MrBNIP3 expression was significantly upregulated in the gill and hepatopancreas following stimulation with the pathogenic bacterium Aeromonas hydrophila or lipopolysaccharide. RNA interference-mediated knockdown of MrBNIP3 suppressed autophagy activation and enhanced A. hydrophila invasion in M. rosenbergii. Furthermore, infection by A. hydrophila significantly downregulated microRNAs-148 and -152. Dual-luciferase reporter assays confirmed that these microRNAs co-targeted the 3 '-untranslated region of MrBNIP3 to repress its expression. Collectively, these findings identify MrBNIP3 as a positive regulator of innate immunity in M. rosenbergii that is modulated through microRNA-dependent mechanisms.</t>
  </si>
  <si>
    <t>10.1016/j.aquaculture.2025.743181</t>
  </si>
  <si>
    <t>Duguet, TB; Soichot, J; Kuzyakiv, R; Malmström, L; Tritten, L</t>
  </si>
  <si>
    <t>Extracellular Vesicle-Contained microRNA of C. elegans as a Tool to Decipher the Molecular Basis of Nematode Parasitism</t>
  </si>
  <si>
    <t>FRONTIERS IN CELLULAR AND INFECTION MICROBIOLOGY</t>
  </si>
  <si>
    <t>Among the fundamental biological processes affected by microRNAs, small regulators of gene expression, a potential role in host-parasite communication is intriguing. We compared the miRNA complement of extracellular vesicles released by the free-living nematode Caenorhabditis elegans in culture to that of other adult parasitic nematodes. Expecting convergent functional roles for secreted miRNAs due to the common parasitic lifestyle of the organisms under investigation, we performed a miRNA sequence analysis as well as target search and pathway enrichment for potential mRNA targets within host immune functions. We found that the parasite miRNA seed sequences were more often identical to those of C. elegans, rather than to those of their hosts. However, we observed that the nematode-secreted miRNA fractions shared more often seed sequences with host miRNAs than those that are not found in the extracellular environment. Development and proliferation of immune cells was predicted to be affected several-fold by nematode miRNA release. In addition, we identified the AGE-RAGE signaling as a convergent targeted pathway by species-specific miRNAs from several parasitic species. We propose a multi-species comparative approach to differentiate those miRNAs that may have critical functions in host modulation, from those that may not. With our simple analysis, we put forward a workflow to study traits of parasitism at the miRNA level. This work will find even more resonance and significance, as an increasing amount of parasite miRNA collections are expected to be produced in the future.</t>
  </si>
  <si>
    <t>MAY 25</t>
  </si>
  <si>
    <t>10.3389/fcimb.2020.00217</t>
  </si>
  <si>
    <t>Chernyshev, AV; Kuznetsov, VG</t>
  </si>
  <si>
    <t>A description of two new deep-sea nemerteans from North Pacific with reconsideration of the genus Oerstedia (Hoplonemertea, Oerstediidae)</t>
  </si>
  <si>
    <t>To date, a total of 30 nemertean species have been described from depths greater than 1000 m. All deep-sea species of the infraorder Oerstediina belong to the genera found at great depths only. A new species of the genus Oerstedia Quatrefages, 1846 (O. sashae sp. nov.), whose described species inhabit shallow waters, has been collected on the Emperor Seamounts from a depth of 1407 m. Oerstedia sashae sp. nov. differs from the other species of the genus by the lack of eyes. Another new species, Oerstedia sofiae sp. nov., which is very close to the symbiotic Cryptonemertes actinophila (B &amp; uuml;rger, 1904), has been described from the Sea of Okhotsk, from a depth of 250-490 m. A phylogenetic analysis based on five gene markers (COI, 16 S, 18 S, 28 S, and histone H3) has shown that O. sashae sp. nov., O. sofiae sp. nov., and C. actinophila belong to clade Paroerstediella of the genus Oerstedia. Cryptonemertes actinophila is here proposed to be transferred to the genus Oerstedia. Oerstedia sofiae sp. nov. and O. actinophila comb. nov. differ from the other species of the genus by the red blood and a very short proboscis and rhynchocoel.</t>
  </si>
  <si>
    <t>10.1016/j.dsr2.2024.105390</t>
  </si>
  <si>
    <t>Fischer, MG; Allen, MJ; Wilson, WH; Suttle, CA</t>
  </si>
  <si>
    <t>Giant virus with a remarkable complement of genes infects marine zooplankton</t>
  </si>
  <si>
    <t>As major consumers of heterotrophic bacteria and phytoplankton, microzooplankton are a critical link in aquatic foodwebs. Here, we show that a major marine microflagellate grazer is infected by a giant virus, Cafeteria roenbergensis virus (CroV), which has the largest genome of any described marine virus (approximate to 730 kb of double-stranded DNA). The central 618-kb coding part of this AT-rich genome contains 544 predicted protein-coding genes; putative early and late promoter motifs have been detected and assigned to 191 and 72 of them, respectively, and at least 274 genes were expressed during infection. The diverse coding potential of CroV includes predicted translation factors, DNA repair enzymes such as DNA mismatch repair protein MutS and two photolyases, multiple ubiquitin pathway components, four intein elements, and 22 tRNAs. Many genes including isoleucyl-tRNA synthetase, eIF-2 gamma, and an Elp3-like histone acetyltransferase are usually not found in viruses. We also discovered a 38-kb genomic region of putative bacterial origin, which encodes several predicted carbohydrate metabolizing enzymes, including an entire pathway for the biosynthesis of 3-deoxy-D-manno-octulosonate, a key component of the outer membrane in Gram-negative bacteria. Phylogenetic analysis indicates that CroV is a nucleocytoplasmic large DNA virus, with Acanthamoeba polyphaga mimivirus as its closest relative, although less than one-third of the genes of CroV have homologs in Mimivirus. CroV is a highly complex marine virus and the only virus studied in genetic detail that infects one of the major groups of predators in the oceans.</t>
  </si>
  <si>
    <t>NOV 9</t>
  </si>
  <si>
    <t>10.1073/pnas.1007615107</t>
  </si>
  <si>
    <t>Jin, SB; Fu, HT; Jiang, SF; Xiong, YW; Qiao, H; Zhang, WY; Gong, YS; Wu, Y</t>
  </si>
  <si>
    <t>Identification of androgenic gland microRNA and their target genes to discover sex-related microRNA in the oriental river prawn, Macrobrachium nipponense</t>
  </si>
  <si>
    <t>GENETICS AND MOLECULAR RESEARCH</t>
  </si>
  <si>
    <t>The oriental river prawn, Macrobrachium nipponense, is an important aquaculture species in China. The androgenic gland produces hormones that play crucial roles in the differentiation of crustaceans to the male sex. MicroRNA (miRNA) post-transcriptionally regulates many protein-coding genes, influencing important biological and metabolic processes. However, currently, there is no published data identifying miRNA in M. nipponense. In this study, we identified novel miRNA in the androgenic gland of M. nipponense. Using the high-throughput Illumina Solexa system, 1077 miRNA were identified from small RNA libraries by aligning with the de novo androgenic gland transcriptome of M. nipponense (obtained from RNA-Seq) and the sequences in the miRBase21 database. A total of 8,248, 76,011, and 78,307 target genes were predicted in the EST and SRA sequences provided in the NCBI database, and the androgenic gland transcriptome of M. nipponense, respectively. Some potential sex-related miRNA were identified based on the function of the predicted target genes. The results of our study provide new information regarding the miRNA expression in M. nipponense, which could be the basis for further genetic studies on decapod crustaceans.</t>
  </si>
  <si>
    <t>10.4238/2015.December.23.27</t>
  </si>
  <si>
    <t>Sun, M; Zhao, WY; Chen, ZF; Li, M; Li, SQ; Wu, B; Bu, RG</t>
  </si>
  <si>
    <t>Circ_0058063 regulates CDK6 to promote bladder cancer progression by sponging miR-145-5p</t>
  </si>
  <si>
    <t>JOURNAL OF CELLULAR PHYSIOLOGY</t>
  </si>
  <si>
    <t>BackgroundThe study was aimed to investigate the influence of circ_0058063 on tumorigenesis as well as the regulatory mechanism of circ_0058063/miR-145-5p/ CDK6 pathway in bladder cancer (BC). MethodsBioinformatics analysis was used to screen highly expressed circle RNA (circRNA) and search its downstream microRNA (miRNA) and protein. The expression level of circRNA, miRNA, and CDK6 in BC cell lines T24 and J82 were determined by quantitative real-time polymerase chain reaction (qRT-PCR) and western blot. Small interfering RNA was used to downregulate circ_0058063 expression. Cell proliferation, cell cycle, cell apoptosis, and cell migration of T24 cells and J82 cells were detected through MTT assay, flow cytometry, and wound-healing assay, respectively. The relationships among miR-145-5p, circ_0058063, and CDK6 were confirmed through dual luciferase reporter assay. In vivo experiment was also performed to explore the impact of circ_0058063/miR-145-5p/CDK6 pathway on tumorigenesis in BALB/c nude mice. ResultsCirc_0058063 was significantly overexpressed in BC tissues. The downregulation of circ_0058063 impaired BC cell proliferation and migration ability but improved cell apoptosis ability. Circ_0058063 repressed miR-145-5p, which inhibited the expression of CDK6. Downregulation of circ_0058063 or miR-145-5p transfection contributed to more cells arresting in G0/G1 stage. MiR-145-5p suppressed cell growth and migration ability in BC, whereas CDK6 exerted the opposite influence on these cellular events. In vivo experiment also indicated that tumor development in BALB/c nude mice was repressed remarkably when circ_0058063 was downregulated. ConclusionCirc_0058063 acted as a sponge of miR-145-5p to promote BC progression by regulating CDK6 expression, which provided some potential targets for BC treatment.</t>
  </si>
  <si>
    <t>10.1002/jcp.27280</t>
  </si>
  <si>
    <t>Pérez, MG; Macchiaroli, N; Lichtenstein, G; Conti, G; Asurmendi, S; Milone, DH; Stegmayer, G; Kamenetzky, L; Cucher, M; Rosenzvit, MC</t>
  </si>
  <si>
    <t>microRNA analysis of Taenia crassiceps cysticerci under praziquantel treatment and genome-wide identification of Taenia solium miRNAs</t>
  </si>
  <si>
    <t>INTERNATIONAL JOURNAL FOR PARASITOLOGY</t>
  </si>
  <si>
    <t>MicroRNAs (miRNAs) are small non-coding RNAs that have emerged as important regulators of gene expression and perform critical functions in development and disease. In spite of the increased interest in miRNAs from helminth parasites, no information is available on miRNAs from Taenia solium, the causative agent of cysticercosis, a neglected disease affecting millions of people worldwide. Here we performed a comprehensive analysis of miRNAs from Taenia crassiceps, a laboratory model for T. solium studies, and identified miRNAs in the T. solium genome. Moreover, we analysed the effect of praziquantel, one of the two main drugs used for cysticercosis treatment, on the miRNA expression profile of T. crassiceps cysticerci. Using small RNA-seq and two independent algorithms for miRNA prediction, as well as northern blot validation, we found transcriptional evidence of 39 miRNA loci in T. crassiceps. Since miRNAs were mapped to the T. solium genome, these miRNAs are considered common to both parasites. The miRNA expression profile of T. crassiceps was biased to the same set of highly expressed miRNAs reported in other cestodes. We found a significant altered expression of miR-7b under praziquantel treatment. In addition, we searched for miRNAs predicted to target genes related to drug response. We performed a detailed target prediction for miR-7b and found genes related to drug action. We report an initial approach to study the effect of sub-lethal drug treatment on miRNA expression in a cestode parasite, which provides a platform for further studies of miRNA involvement in drug effects. The results of our work could be applied to drug development and provide basic knowledge of cysticercosis and other neglected helminth infections. (C) 2017 Australian Society for Parasitology. Published by Elsevier Ltd. All rights reserved.</t>
  </si>
  <si>
    <t>10.1016/j.ijpara.2017.04.002</t>
  </si>
  <si>
    <t>Xiong, YL; Zhang, CJ; Yuan, J; Zhu, Y; Tan, ZX; Kuang, XM; Wang, XH</t>
  </si>
  <si>
    <t>Hepatitis C virus represses the cellular antiviral response by upregulating the expression of signal transducer and activator of transcription 3 through sponging microRNA-122</t>
  </si>
  <si>
    <t>MOLECULAR MEDICINE REPORTS</t>
  </si>
  <si>
    <t>microRNAs (miRNAs) are small, non-coding RNAs that inhibit the expression of target protein coding genes at the post-transcriptional level. miR-122 is a liver specific miRNA. Notably, miR-122 is used by the hepatitis C virus (HCV) for triggering viral replication by interacting with the 5' untranslated region of the HCV RNA. The present study demonstrated that miR-122 inhibited the expression of signal transducer and activator of transcription 3 (STAT3), an antivirus response repressor. The HCV RNA acted as an 'miRNA sponge', which upregulated the expression of STAT3 by sealing miR-122. Subsequently, it was confirmed that this miR-122 sponge function of HCV RNA repressed the expression of polyinosinic-polycytidylic acid-stimulated type I interferons. The present study provided a deeper understanding of the complex role of miR-122 in the progression of HCV infection and supported the miR-122 inhibition strategy in anti-HCV infection treatment.</t>
  </si>
  <si>
    <t>10.3892/mmr.2014.2897</t>
  </si>
  <si>
    <t>Gómez-Chiarri, M; Guo, XM; Tanguy, A; He, Y; Proestou, D</t>
  </si>
  <si>
    <t>The use of -omic tools in the study of disease processes in marine bivalve mollusks</t>
  </si>
  <si>
    <t>Our understanding of disease processes and host pathogen interactions in model species has benefited greatly from the application of medium and high-throughput genomic, metagenomic, epigenomic, transcriptomic, and proteomic analyses. The rate at which new, low-cost, high-throughput -omic technologies are being developed has also led to an expansion in the number of studies aimed at gaining a better understanding of disease processes in bivalves. This review provides a catalogue of the genetic and -omic tools available for bivalve species and examples of how -omics has contributed to the advancement of marine bivalve disease research, with a special focus in the areas of immunity, bivalve pathogen interactions, mechanisms of disease resistance and pathogen virulence, and disease diagnosis. The analysis of bivalve genomes and transcriptomes has revealed that many immune and stress-related gene families are expanded in the bivalve taxa examined thus far. In addition, the analysis of proteomes confirms that responses to infection are influenced by epigenetic, post-transcriptional, and post-translational modifications. The few studies performed in bivalves show that epigenetic modifications are non-random, suggesting a role for epigenetics in regulating the interactions between bivalves and their environments. Despite the progress -omic tools have enabled in the field of marine bivalve disease processes, there is much more work to be done. To date, only three bivalve genomes have been sequenced completely, with assembly status at different levels of completion. Transcriptome datasets are relatively easy and inexpensive to generate, but their interpretation will benefit greatly from high quality genome assemblies and improved data analysis pipelines. Finally, metagenomic, epigenomic, proteomic, and metabolomic studies focused on bivalve disease processes are currently limited but their expansion should be facilitated as more transcriptome datasets and complete genome sequences become available for marine bivalve species. (C) 2015 Elsevier Inc. All rights reserved.</t>
  </si>
  <si>
    <t>10.1016/j.jip.2015.05.007</t>
  </si>
  <si>
    <t>Piquet, B; Lallier, FH; André, C; Shillito, B; Andersen, AC; Duperron, S</t>
  </si>
  <si>
    <t>Regionalized cell proliferation in the symbiont-bearing gill of the hydrothermal vent musselBathymodiolus azoricus</t>
  </si>
  <si>
    <t>SYMBIOSIS</t>
  </si>
  <si>
    <t>Deep-sea musselsBathymodiolusspp. harbor high densities of chemosynthetic bacterial symbionts located within their gill epithelial cells. Compared to non-symbiotic coastal mussel relatives of similar size,Bathymodiolusgills are considerably larger, a feature often considered an adaptation to symbiosis because it is related to the presence of intracellular bacteria in epithelial cells located in the lateral zone. In order to document the mechanisms underlying these sizes differences, this study compares gill cell proliferation patterns inBathymodiolus azoricusandMytilus edulisusing microscopy-based approaches. We used incubation experiments with a synthetic nucleotide (5-ethynyl 2 '-deoxyuridine, EdU), detectable throughout novel cell divisions, and phosphohistone H3 immunolabeling, a marker of mitosis. The results revealed proliferation areas in the ciliated zone and in the bacteria-loaded bacteriocytes located close to the frontal zone of gill filaments, swept by the incurrent sea-waterflow, and also in the dorsal region of gills inB. azoricus. Cell proliferation seems far less intensive inM. edulis. This study overall suggests high cell turnover and fast tissue dynamics in symbiont-bearing mussels.</t>
  </si>
  <si>
    <t>10.1007/s13199-020-00720-w</t>
  </si>
  <si>
    <t>Yao, WJ; Liu, J; Hou, ZY; Jia, XB; Yang, D; Feng, MY; Wu, S; Wei, L</t>
  </si>
  <si>
    <t>Recombinant human protein TCFL5-activated NRSN2-AS1 promotes esophageal cancer progression via the microRNA-874-5p/RELT regulatory axis</t>
  </si>
  <si>
    <t>The incidence of esophageal cancer continues to increase worldwide. Current therapeutic approaches have limited efficacy, so in order to search for better markers of the disease, it is necessary to further elucidate its molecular pathogenesis. Regulation of gene expression by long non-coding Rnas plays a role in many diseases, however the role in esophageal cancer is unclear. The aim of this study was to elucidate the role and regulatory mechanism of long non-coding RNA NRSN2-AS1 in the progression of esophageal cancer. By real-time quantitative PCR, immunohistochemistry, RNA interference, western blotting, and double luciferase reporter gene analysis, we found that NRSN2-AS1 was up-regulated in esophageal cancer tissues and cell lines, and was closely related to disease stage and prognosis. Functional studies have shown that the silencing of NRSN2-AS1 inhibits the proliferation of esophageal cancer cells, induces apoptosis, and prevents cell migration and invasion. In mouse models, NRSN2-AS1 also promoted tumor growth. The transcription factor TCFL5 upregulates the transcription of NRSN2-AS1, which acts as a sponge for microRNA(miR)-874-5p, thereby upregulating the expression of the oncogene RELT. Activation of the NRSN2-AS1/miR-874-5p/RELT regulatory axis was validated in vivo.</t>
  </si>
  <si>
    <t>10.1016/j.ijbiomac.2024.133814</t>
  </si>
  <si>
    <t>Tsang, LM; Chan, TY; Cheung, MK; Chu, KH</t>
  </si>
  <si>
    <t>Molecular evidence for the Southern Hemisphere origin and deep-sea diversification of spiny lobsters (Crustacea: Decapoda: Palinuridae)</t>
  </si>
  <si>
    <t>Spiny lobsters (family Palinuridae) are economically important marine animals that have been the subject of a considerable amount of research, However, the phylogeny of this group remains disputed, Morphological analyses have not been able to resolve the relationships of the various members of the group, and no agreement has yet been reached on its phylogeny as indicated by the different gene trees reported to date. In the present study, we attempt to reconstruct the phylogeny of Palinuridae and its allies using sequences from three nuclear Protein-coding genes (phosphoenolpyruvate carboxykinase, sodium-potassium ATPase alpha- subunit and histone 3). The inferred topology receives strong nodal support for most of the branches. The family Palinuridae is found to be paraphyletic with the polyphyletic Synaxidae nested within it. Stridentes forms a monophyletic assemblage, indicating that the stridulating sound producing Organ evolved only once in the spiny lobsters. By contrast, Silentes is paraphyletic, as Palinurellus is more closely related to Stridentes than to other Silentes genera. The three genera restricted to the southern high latitudes Jasus, Projasus and Sagmariasus) constitute the basal lineages in the spiny lobsters, suggesting a Southern Hemisphere origin for the group. Subsequent diversification appears to have been driven by the closure of the Tethys Sea and the formation of the Antarctic circumpolar current, which isolated the northern and southern taxa. Contrary to an earlier hypothesis that postulated evolution from a deep-sea ancestral stock, the shallow-water genus Panulirus is the basal taxon in Stridentes, while the deep-sea genera Puerulus and Linuparus are found to be derived. This indicates that the spiny lobsters invaded deep-sea habitats from the shallower water rocky reefs and then radiated. Our results suggest that Synaxidae is not a valid family, and should be considered to be synonymous with Palinuridae. We also found that the previously proposed subgenera Sagmariasus and Nupalirus are genetically highly diverged, and both warrant a generic status. (C) 2009 Elsevier Inc. All rights reserved.</t>
  </si>
  <si>
    <t>10.1016/j.ympev.2009.01.015</t>
  </si>
  <si>
    <t>Jie, YK; Hao, JW; Liu, C; Yan, JJ; Ye, TT; Meng, JL; Zheng, YT; Zou, GY; Fu, HT; Gu, ZM</t>
  </si>
  <si>
    <t>Integrated analysis of a miRNA-mRNA network related to immunity and metabolism in Macrobrachium rosenbergii infected with decapod iridescent virus 1</t>
  </si>
  <si>
    <t>Macrobrachium rosenbergii is a large, tropical freshwater crustacean species with considerable potential for commercial production. In recent years, infection with Decapod Iridescent Virus 1 (DIV1) in M. rosenbergii has been reported in aquaculture industries, causing high mortality and huge economic losses. MicroRNAs (miRNAs) are a type of RNA that regulate gene expression after transcription. However, the regulated mechanisms by which miRNAs influence the host-pathogen interactions in M. rosenbergii under DIV1 infection remain largely unexplored. In this study, hemocyte mRNA-seq and miRNA-seq analyses of M. rosenbergii under DIV1 infection were performed. Through high-throughput sequencing, we identified 2090 differentially expressed genes (DEGs) and 56 differentially expressed miRNAs (DEMs), predicting 289 differentially predicted target genes (DETGs) of the DEMs. GO and KEGG pathway enrichment analyses of the DETGs showed that multiple functional categories related to immunity and metabolism were found to be enriched, such as the PI3K-Akt signaling pathways, mTOR signaling pathway, HIF-1 signaling pathway, glycolysis signaling pathway, and tricarboxylic acid cycle. Further research suggests that PI3K-mediated immune responses may be activated by DEMs such as miR-236-5p, miR130a-3p, and miR-365-5p, while metabolic reprogramming may be activated by DEMs such as miR-279-3p, miR-142-5p, and miR-705-5p. Moreover, we verified selected immune-related and metabolism-related mRNAs and miRNAs through qRT-PCR and confirmed the reliability of the RNA-seq results. Our study deepened the understanding of miRNA-regulated immune and metabolism responses in M. rosenbergii under DIV1 infection, laying the groundwork for further research on shrimp hemocyte antiviral responses and the development of new strategies for DIV1 prevention and treatment.</t>
  </si>
  <si>
    <t>JUL 15</t>
  </si>
  <si>
    <t>10.1016/j.aqrep.2025.102801</t>
  </si>
  <si>
    <t>Qiao, Y; Mao, Y; Wang, J; Chen, RN; Zheng, LB; Su, YQ; Chen, J; Zheng, WQ</t>
  </si>
  <si>
    <t>Analysis of liver and gill miRNAs of Larimichthys crocea against Cryptocryon irritans challenge</t>
  </si>
  <si>
    <t>The white-spot disease caused by marine ciliate Cryptocryon irritans hindered the sustainable development of large yellow croaker Larimichthys crocea industry. Better understandings about the parasite-host interactions in the molecular level will facilitate the prevention of mass mortality of the L crocea caused by white-spot disease. MicroRNAs (miRNAs) are a class of small RNA molecules about 20-22 nucleotides which post-transcriptionally regulated many protein-coding genes and involved in many biological processes, especially in host-pathogen responses. In this study, we identified known and novel miRNAs in the gill and liver of L crocea challenged by C irritans by high throughput sequencing using Solexa technology. The data were further studied to screen differentially expressed miRNAs, and predict their target genes. The differential expression (p &lt; 0.05) between libraries was observed in 103 miRNAs in liver tissue, among which 65 and 38 were conserved and novel miRNAs, 67 and 36 were up-and down regulated miRNAs. While in gill tissue, 122 significant differentially expressed miRNAs were identified, among which 83 and 39 were conserved and novel miRNAs, 79 and 43 were up-and down-regulated miRNAs. In addition, these differentially expressed miRNAs target a series of genes which involved in many important biological processes including immune response. Here via deep sequencing, we for the first time characterize L. crocea miRNAs in response to C irritans challenge, the results should help for better understandings about the immune response of the L. crocea under C. irritans challenge. (C) 2016 Elsevier Ltd. All rights reserved.</t>
  </si>
  <si>
    <t>10.1016/j.fsi.2016.10.027</t>
  </si>
  <si>
    <t>Lavretsky, P; Truong, TM; McGowin, AE; Balazs, GH; Peters, JL</t>
  </si>
  <si>
    <t>New primers reveal the presence of a duplicate histone H3 in the marine turtle leech Ozobranchus branchiatus</t>
  </si>
  <si>
    <t>Marine leeches, specific to sea turtles, have been implicated as potential vector organisms in the spread of fibropapillomatosis (FP), a pandemic neoplastic disease with Chelonia mydas having the highest affliction rate. Polymerase chain reaction identified two independent, seemingly functional histone H3 loci for marine turtle leeches Ozobranchus branchiatus collected from C. mydas in Florida and Hawaii. Primers were developed to amplify each product separately. Among the two loci, sequence differentiation (I broken vertical bar (ST) ) ranged from 0.161 to 0.182 with identical amino acid translations among the 22 samples. A maximum parsimony tree of GenBank histone H3 sequences from annelids indicated the gene duplication occurred within the Ozobranchidae family. Geographically separated populations yielded I broken vertical bar (ST) values of 0.004-0.005 but were phylogenetically distinctive. These novel markers will be useful in identifying ectoparasites in FP research, evaluating other histone variants, and chromatin dynamics regulation studies.</t>
  </si>
  <si>
    <t>10.1007/s12686-011-9581-6</t>
  </si>
  <si>
    <t>Rosani, U; Abbadi, M; Green, T; Bai, CM; Turolla, E; Arcangeli, G; Mathias, K; Venier, P</t>
  </si>
  <si>
    <t>Parallel analysis of miRNAs and mRNAs suggests distinct regulatory networks inCrassostrea gigasinfected by Ostreid herpesvirus 1</t>
  </si>
  <si>
    <t>Background Since 2008, the aquaculture production ofCrassostrea gigaswas heavily affected by mass mortalities associated to Ostreid herpesvirus 1 (OsHV-1) microvariants worldwide. Transcriptomic studies revealed the major antiviral pathways of the oyster immune response while other findings suggested that also small non-coding RNAs (sncRNA) such as microRNAs might act as key regulators of the oyster response against OsHV-1. To explore the explicit connection between small non-coding and protein-coding transcripts, we performed paired whole transcriptome analysis of sncRNA and messenger RNA (mRNA) in six oysters selected for different intensities of OsHV-1 infection. Results The mRNA profiles of the naturally infected oysters were mostly governed by the transcriptional activity of OsHV-1, with several differentially expressed genes mapping to the interferon, toll, apoptosis, and pro-PO pathways. In contrast, miRNA profiles suggested more complex regulatory mechanisms, with 15 differentially expressed miRNAs (DE-miRNA) pointing to a possible modulation of the host response during OsHV-1 infection. We predicted 68 interactions between DE-miRNAs and oyster 3 '-UTRs, but only few of them involved antiviral genes. The sncRNA reads assigned to OsHV-1 rather resembled mRNA degradation products, suggesting the absence of genuine viral miRNAs. Conclusions We provided data describing the miRNAome during OsHV-1 infection inC. gigas. This information can be used to understand the role of miRNAs in healthy and diseased oysters, to identify new targets for functional studies and, eventually to disentangle cause and effect relationships during viral infections in marine mollusks.</t>
  </si>
  <si>
    <t>10.1186/s12864-020-07026-7</t>
  </si>
  <si>
    <t>Kuleshov, VN; Sedaeva, KM; Gorozhanin, VM; Gorozhanina, EN</t>
  </si>
  <si>
    <t>Hypostratotype of the Bashkirian Stage of the Carboniferous System (Askyn River, Bashkortostan): Lithology, Isotopes (13C, 18O), and Carbonate Depositional Settings</t>
  </si>
  <si>
    <t>STRATIGRAPHY AND GEOLOGICAL CORRELATION</t>
  </si>
  <si>
    <t>The isotopic composition and lithology of the hypostratotype of the Bashkirian Stage (Pennsylvanian) in the Askyn River section (Bashkortostan, western slope of the South Urals) are studied. The isotopic study (C-13, O-18) was conducted taking the carbonate lithology into account. The succession studied is composed of Upper Serpukhovian, Bashkirian, and Lower Moscovian carbonates of various lithological types, changeable throughout the section. The Serpukhovian carbonates are characterized by a relatively light carbon isotopic composition (negative values of C-13), whereas the Bashkirian and Moscovian sediments have a heavy composition (mainly positive values of C-13). The carbon isotope anomaly of the first order, fixed at the Mississippian-Pennsylvanian boundary and having a global distribution, is recorded in the studied hypostratotype section slightly higher than the uniformly accepted boundary level. This may indicate that the section contains transitional beds at the base of the Bashkirian. In the studied carbonates, a dependence (of the second order) of the isotopic composition of carbon and oxygen on the lithological type of rocks is sometimes recorded. The variation in the values of C-13 and O-18 in carbonates reflects changes in the conditions in which they were formed (temporary and local changes in paleotemperature, bioproductivity, desalination) and epigenetic changes.</t>
  </si>
  <si>
    <t>10.1134/S0869593818060047</t>
  </si>
  <si>
    <t>Egea, V; Nazari-Jahantigh, M; Schober, A; Weber, C</t>
  </si>
  <si>
    <t>Regulation of Atherosclerosis by microRNAs</t>
  </si>
  <si>
    <t>NON-CODING RNAS IN THE VASCULATURE</t>
  </si>
  <si>
    <t>Our knowledge in the role of small non-coding RNA molecules in the regulation of tissue homeostasis and disease in the cardiovascular system is steadily growing. Among this group of RNA molecules, microRNAs (miRNAs) fulfill important functions in cellular behavior of endothelial cells, vascular smooth muscle cells, and macrophages by influencing the protein output levels of a high variety of genes with crucial outcomes in the atherosclerotic setting. For example, miR-155 can intensify early stages of atherosclerosis by increasing inflammatory activation and inefficient lipid handling in macrophages. However, miRNAs display also important atheroprotective roles as demonstrated for the complementary strands of miR-126, which form a dual system sustaining the endothelial proliferative reserve and promoting endothelial regeneration to counteract atherogenic effects of disturbed flow and hyperlipidemia. Excitingly, miRNA functions are not restricted to the producing cells but can be transferred to other cells by secretion and transport within extracellular vesicles including exosomes and microvesicles. Moreover, circulating miRNAs are found in the blood stream stabilized by complex formation with lipoproteins and ribonucleoprotein complexes. Once incorporated by the recipient cells, these extracellular miRNAs regulate target mRNAs thereby acting as a new gadget in cell-cell communication also in atherosclerosis. This chapter provides novel concepts on regulatory mechanisms of miRNAs including the function of RNA sponges, miRNA tandems, and the complementary role of miRNA strand pairs and discusses their diagnostic and therapeutic potential in atherosclerosis.</t>
  </si>
  <si>
    <t>10.1007/978-3-319-52945-5_1</t>
  </si>
  <si>
    <t>Lu, N; Yin, Y; Yao, Y; Zhang, P</t>
  </si>
  <si>
    <t>SNHG3/miR-2682-5p/HOXB8 promotes cell proliferation and migration in oral squamous cell carcinoma</t>
  </si>
  <si>
    <t>ORAL DISEASES</t>
  </si>
  <si>
    <t>Objective The potential molecular mechanism underlying the disease progression of oral squamous cell carcinoma (OSCC) remains largely elusive. The purpose of the study is to figure out the role and molecular mechanism of homeobox B8 (HOXB8) in OSCC. Materials and methods The expression level of HOXB8 in OSCC was validated by RT-qPCR. The functions of HOXB8 in OSCC cells were identified through loss-of-function assays, including CCK-8 assay, colony formation assay, transwell assay, and immunofluorescence (IF). The upstream miRNA that could directly target HOXB8 was searched out through bioinformatics analysis and luciferase reporter assay. Mechanism experiments were further conducted to predict the long non-coding RNA (lncRNA) that could positively regulate HOXB8 and compete for miR-2682-5p with HOXB8. Results HOXB8 was markedly upregulated in OSCC tissues and cell lines. Furthermore, cell proliferation and migration were inhibited due to the shortage of HOXB8. HOXB8 was targeted by miR-2682-5p that negatively regulated cell proliferation and migration. Small nucleolar RNA host gene 3 (SNHG3) acted as a sponge for miR-2682-5p. Inhibition of miR-2682-5p or the overexpression of HOXB8 rescued the effects of SNHG3 silencing on the proliferation and migration. Conclusion HOXB8 is regulated by SNHG3/miR-2682-5p axis to promote OSCC cell proliferation and migration.</t>
  </si>
  <si>
    <t>10.1111/odi.13656</t>
  </si>
  <si>
    <t>Jia, JX; Nie, HT</t>
  </si>
  <si>
    <t>Pathological and miRNA-mRNA Analyses Provide New Insights into the Immune Response of Clams to Vibrio Infection</t>
  </si>
  <si>
    <t>Manila clam plays a crucial role in China's marine aquaculture industry. However, frequent vibriosis outbreaks severely hinder sustainable and healthy development of the shellfish aquaculture industry. This study indicated markedly decreased clam survival rates after 48 h of Vibrio alginolyticus challenge. Gill and hepatopancreas damage was investigated through histological observation. The activity of lysozyme in the gills and hepatopancreas peaked at 12 and 24 h, respectively. V. alginolyticus showed a maximum bacterial load in the gills and hepatopancreas at 12 and 24 h, respectively. Additionally, transcriptome sequencing of hepatopancreas revealed ten differentially expressed miRNAs in Va and Cn after 48 h infection with V. alginolyticus, corresponding to 100 target genes, with eight upregulated and two downregulated DE miRNAs. Gene ontology (GO) enrichment analysis identified 50 known miRNAs and 111 novel miRNAs, thereby predicting a total of 1840 target genes. KEGG analysis revealed significant changes in multiple signaling pathways, involving lysosomes, apoptosis, amino acid metabolism, and endocytosis, in response to V. alginolyticus stimulation. This study provided new information regarding the immune regulation mechanisms of R. philippinarum in response to V. alginolyticus stress.</t>
  </si>
  <si>
    <t>10.1007/s10126-025-10454-9</t>
  </si>
  <si>
    <t>Lian, JY; Lv, L; Yao, HH; Lin, ZH; Dong, YH</t>
  </si>
  <si>
    <t>Genome-Wide Characterization and Analysis of Expression of the Histone Gene Family in Razor Clam, Sinonovacula constricta</t>
  </si>
  <si>
    <t>FISHES</t>
  </si>
  <si>
    <t>The Chinese razor clam (Sinonovacula constricta), a bivalve species widely distributed in estuaries and mudflats, is often exposed to extreme environmental and microbial stresses. Histones are fundamental components of chromatin and play an important role in innate immunity, as demonstrated by its antimicrobial activities in clams. However, little attention has been paid to histones in bivalves. To fill this gap, we investigated the genomic distribution, structural characteristics, conserved motifs, and phylogenetic relationships of histones in S. constricta. A total of 114 histone genes were detected in the S. constricta genome, which were divided into 25 types in phylogenetic analysis. Among them, partial histones exhibited a tissue-dependent expression pattern, indicating that they may be involved in sustaining the homeostasis of organs/tissues in adult S. constricta. Furthermore, mRNA expression of certain histones changed significantly in S. constricta when infected with Vibrio parahaemolyticus, suggesting that histones play a role in the immune defense of S. constricta. All together, this study on histone genes in S. constricta not only greatly expands our knowledge of histone function in the clam, but also histone evolution in molluscs.</t>
  </si>
  <si>
    <t>10.3390/fishes7010005</t>
  </si>
  <si>
    <t>Shekhar, MS; Karthic, K; Kumar, KV; Kumar, JA; Swathi, A; Hauton, C; Peruzza, L; Vijayan, KK</t>
  </si>
  <si>
    <t>Comparative analysis of shrimp (Penaeus vannamei) miRNAs expression profiles during WSSV infection under experimental conditions and in pond culture</t>
  </si>
  <si>
    <t>In recent years, the importance of viral and host microRNAs (miRNAs) in mediating viral replication and control of host cellular machinery, has been realised and increasing efforts have been taken in order to understand the interactions of miRNAs from host and pathogen during infection. However, all existing studies has thus far been conducted in controlled experimental conditions and the veracity of these data for field conditions are yet to be established. In this framework, small RNA sequencing was performed to identify the miRNAs involved in shrimp (Penaeus vannamei) immune responses under two different WSSV infection conditions of natural infection and experimentally challenged conditions. The expression profiles of miRNAs of shrimp infected with WSSV under two contrasting conditions were compared and as a result, 23365 known miRNAs and 481 novel miRNAs were identified. Amongst the most abundantly expressed miRNAs, the hypoxia related miR-210 and immune pathway related miR-29b were expressed only in infected shrimps of both conditions. miR-8-5p, having a functional role in modulation of chitin biosynthesis was exclusively represented in higher numbers in the WSSV -infected shrimps under natural conditions whilst four of the miRNAs (mja-miR-6493-5p, mja-miR-6492, mmu-miR-3968, tcf-miR-9b-5p) identified from shrimps collected from pond culture targeted chitinase, an important enzyme involved in growth and moulting in shrimps, indicating an interaction between WSSV infection and moult cycle under culture conditions. Some of the miRNAs (tca-miR-87b-3p, cte-miR-277a) and miRNAs belonging to class miR-9, miR-981 that were identified only in WSSV infected shrimps under experimental conditions, are known to respond against WSSV infection in shrimps. Moreover, the miRNA target prediction revealed several immunerelated gene targets such as cathepsin, c-type lectin, haemocyanin and ubiquitin protein ligase were commonly identified under both the conditions. However, the miRNAs identified from challenge experiment had wide number of gene targets as compared to the miRNAs of natural infection. The shrimp miRNA mja-miR-6489-3p, was also found to target early virus gene wsv001 of WSSV. Our study, therefore, provides the comparative analysis of miRNA expression from shrimp during WSSV infection in two different conditions.</t>
  </si>
  <si>
    <t>10.1016/j.fsi.2019.07.057</t>
  </si>
  <si>
    <t>Zhang, J; Small, HJ; Li, M; Huang, Q; Hu, LJ; Xue, Q; Wang, JY; Li, CW</t>
  </si>
  <si>
    <t>The parasitic dinoflagellate Hematodinium perezi suppresses the innate immunity of Portunus trituberculatus via exosomal miRNAs</t>
  </si>
  <si>
    <t>The parasitic dinoflagellate Hematodinium infects a wide range of crustaceans worldwide and causes epidemics, resulting in significant economic loss. It has become an emerging pathogenic threat to the sustainable development of marine crustacean aquaculture. However, there is still a lack of research on the interaction mechanisms between Hematodinium and its host, which significantly hinders the development of effective prevention and control strategies for this pathogen. Here, we used the parasitic dinoflagellate Hematodinium perezi and its crab host Portunus trituberculatus as an experimental model to explore how Hematodinium modulates its host's immune response to enable survival. We discovered that H. perezi was able to release exosomes, which were observed to be localized in the perinuclear region of hemocytes during parasitic infection. Two novel miRNAs (miRNA-PC-5p-81654-103 and miRNA-PC-5p-20520-538) involved in regulating the Toll-like receptor (TLR) signaling pathway were identified within exosomes of H. perezi. The miRNAs inhibited the expression of tlr4 and myeloid differentiation primary response 88 (MyD88)-mediated signal transduction pathway and resulted in subsequent suppression of the TLR signaling pathway in P. trituberculatus. Another miRNA (bmo-mir-6497-p5-1SS4AG) was found to modulate the host's mTOR-RhoA pathway. In conclusion, the H. perezi exosomal miRNAsmediated immunoregulatory processes significantly attenuated the crustacean host's immune capacity, and facilitated the survival and proliferation of the parasitic dinoflagellate within the host crustacean. This novel finding provides new insight into the host-parasite interaction.</t>
  </si>
  <si>
    <t>10.1016/j.aquaculture.2025.742827</t>
  </si>
  <si>
    <t>Clark, MS; Peck, LS; Arivalagan, J; Backeljau, T; Berland, S; Cardoso, JCR; Caurcel, C; Chapelle, G; De Noia, M; Dupont, S; Gharbi, K; Hoffman, JI; Last, KS; Marie, A; Melzner, F; Michalek, K; Morris, J; Power, DM; Ramesh, K; Sanders, T; Sillanpää, K; Sleight, VA; Stewart-Sinclair, PJ; Sundell, K; Telesca, L; Vendrami, DLJ; Ventura, A; Wilding, TA; Yarra, T; Harper, EM</t>
  </si>
  <si>
    <t>Deciphering mollusc shell production: the roles of genetic mechanisms through to ecology, aquaculture and biomimetics</t>
  </si>
  <si>
    <t>BIOLOGICAL REVIEWS</t>
  </si>
  <si>
    <t>Most molluscs possess shells, constructed from a vast array of microstructures and architectures. The fully formed shell is composed of calcite or aragonite. These CaCO(3)crystals form complex biocomposites with proteins, which although typically less than 5% of total shell mass, play significant roles in determining shell microstructure. Despite much research effort, large knowledge gaps remain in how molluscs construct and maintain their shells, and how they produce such a great diversity of forms. Here we synthesize results on how shell shape, microstructure, composition and organic content vary among, and within, species in response to numerous biotic and abiotic factors. At the local level, temperature, food supply and predation cues significantly affect shell morphology, whilst salinity has a much stronger influence across latitudes. Moreover, we emphasize how advances in genomic technologies [e.g. restriction site-associated DNA sequencing (RAD-Seq) and epigenetics] allow detailed examinations of whether morphological changes result from phenotypic plasticity or genetic adaptation, or a combination of these. RAD-Seq has already identified single nucleotide polymorphisms associated with temperature and aquaculture practices, whilst epigenetic processes have been shown significantly to modify shell construction to local conditions in, for example, Antarctica and New Zealand. We also synthesize results on the costs of shell construction and explore how these affect energetic trade-offs in animal metabolism. The cellular costs are still debated, with CaCO(3)precipitation estimates ranging from 1-2 J/mg to 17-55 J/mg depending on experimental and environmental conditions. However, organic components are more expensive (similar to 29 J/mg) and recent data indicate transmembrane calcium ion transporters can involve considerable costs. This review emphasizes the role that molecular analyses have played in demonstrating multiple evolutionary origins of biomineralization genes. Although these are characterized by lineage-specific proteins and unique combinations of co-opted genes, a small set of protein domains have been identified as a conserved biomineralization tool box. We further highlight the use of sequence data sets in providing candidate genes forin situlocalization and protein function studies. The former has elucidated gene expression modularity in mantle tissue, improving understanding of the diversity of shell morphology synthesis. RNA interference (RNAi) and clustered regularly interspersed short palindromic repeats - CRISPR-associated protein 9 (CRISPR-Cas9) experiments have provided proof of concept for use in the functional investigation of mollusc gene sequences, showing for example that Pif (aragonite-binding) protein plays a significant role in structured nacre crystal growth and that theLsdia1gene sets shell chirality inLymnaea stagnalis. Much research has focused on the impacts of ocean acidification on molluscs. Initial studies were predominantly pessimistic for future molluscan biodiversity. However, more sophisticated experiments incorporating selective breeding and multiple generations are identifying subtle effects and that variability within mollusc genomes has potential for adaption to future conditions. Furthermore, we highlight recent historical studies based on museum collections that demonstrate a greater resilience of molluscs to climate change compared with experimental data. The future of mollusc research lies not solely with ecological investigations into biodiversity, and this review synthesizes knowledge across disciplines to understand biomineralization. It spans research ranging from evolution and development, through predictions of biodiversity prospects and future-proofing of aquaculture to identifying new biomimetic opportunities and societal benefits from recycling shell products.</t>
  </si>
  <si>
    <t>10.1111/brv.12640</t>
  </si>
  <si>
    <t>Berman, GH; Hiley, AS; Read, GB; Rouse, GW</t>
  </si>
  <si>
    <t>New Species of Osedax (Siboglinidae: Annelida) from New Zealand and the Gulf of Mexico</t>
  </si>
  <si>
    <t>Osedax is now known to be distributed around the world with more than 30 named and undescribed species. Here we report the discovery of four new species from two localities: Osedax bozoi n. sp. and Osedax craigmcclaini n. sp. from the Gulf of Mexico and Osedax estcourti n. sp. and Osedax traceyae n. sp. from off New Zealand. Osedax bozoi n. sp., Osedax estcourti n. sp., and Osedax traceyae n. sp. belong to Clade II within Osedax , one of the nude palp or apinnulate clades. Osedax craigmcclaini n. sp. belongs to the pinnulate palp Clade V. This study relies primarily on phylogenetic analysis, with some morphological analysis. Genetic data clearly show that the four new species are distinctive from their closest Osedax relatives. Two of the new species were found from less than 400 m depth, and incidences of shallower water Osedax in Clade II are shown here for the first time.</t>
  </si>
  <si>
    <t>10.11646/zootaxa.5443.3.2</t>
  </si>
  <si>
    <t>Moran, Y; Praher, D; Fredman, D; Technau, U</t>
  </si>
  <si>
    <t>The Evolution of MicroRNA Pathway Protein Components in Cnidaria</t>
  </si>
  <si>
    <t>In the last decade, it became evident that posttranscriptional regulation of gene expression by microRNAs is a central biological process in both plants and animals. Yet, our knowledge about microRNA biogenesis and utilization in animals stems mostly from the study of Bilateria. In this study, we identified genes encoding the protein components of different parts of the microRNA pathway in Cnidaria, the likely sister phylum of Bilateria. These genes originated from three cnidarian lineages (sea anemones, stony corals, and hydras) that are separated by at least 500 My from one another. We studied the expression and phylogeny of the cnidarian homologs of Drosha and Pasha (DGCR8) that compose the microprocessor, the RNAse III enzyme Dicer and its partners, the HEN1 methyltransferase, the Argonaute protein effectors, as well as members of the GW182 protein family. We further reveal that whereas the bilaterian dicer partners Loquacious/TRBP and PACT are absent from Cnidaria, this phylum contains homologs of the double-stranded RNA-binding protein HYL1, the Dicer partner found in plants. We also identified HYL1 homologs in a sponge and a ctenophore. This finding raises questions regarding the independent evolution of the microRNA pathway in plants and animals, and together with the other results shed new light on the evolution of an important regulatory pathway.</t>
  </si>
  <si>
    <t>10.1093/molbev/mst159</t>
  </si>
  <si>
    <t>Bao, SY; Zheng, ZH; Aweya, JJ; Yao, DF; Li, SK; Sun, CH; Hong, YJ; Zhang, YL</t>
  </si>
  <si>
    <t>microRNA-589-5p modulates the expression of hemocyanin as part of the anti-WSSV immune response in Litopenaeus vannamei</t>
  </si>
  <si>
    <t>The respiratory glycoprotein, hemocyanin (HMC) has multiple immune-related functions, including antiviral activity. In this study, in silico methods were used to predict seven miRNAs targeting Litopenaeus vannamei HMC (LvHMC), out of which miR-589-5p was selected for further investigation because of its role in immune response. Transcript levels of miR-589-5p were ubiquitously distributed in all shrimp tissues examined, and significantly induced in hemocytes and hepatopancreas upon challenge with white-spot syndrome virus (WSSV) as well as by marine bacterial pathogens, which suggest that miR-589-5p is involved in shrimp immune response to pathogens. Morever, using Drosophila S2 cells stably overexpressing EGFP-LvHMC, flow cytometry and dual luciferase reporter assays, miR-589-5p was shown to significantly inhibit the in vitro expression of LvHMC. In addition, in vivo knockdown of miR-589-5p using antagomir-589-5p resulted in significant down-regulation in LvHMC expression, while overexpression of miR-589-5p using agomir-589-5p decreased the level of LvHMC expression in shrimp hemocytes and hepatopancreas. Further, the increased expression of miR-589-5p resulted in high shrimp mortality following WSSV challenge, coupled with an increase in the number of WSSV copies in hemocytes and hepatopancreas. These results suggest that miR-589-5p is involved in shrimp immune response to WSSV by negatively regulating the expression of LvHMC.</t>
  </si>
  <si>
    <t>10.1016/j.dci.2020.103642</t>
  </si>
  <si>
    <t>Su, F; Huo, D; Yang, HS; Sun, LN</t>
  </si>
  <si>
    <t>CircRNA8388 functions as the sponge for miR-2392 during intestinal regeneration in sea cucumber Apostichopus japonicus</t>
  </si>
  <si>
    <t>The sea cucumber Apostichopus japonicus can expel internal organs under stress and regenerate them subsequently. However, growth is delayed during regeneration, significantly impacting the industry. Circular RNAs (circRNAs) are single-stranded circular RNA molecules produced through alternative splicing of mRNA precursors. They play crucial roles in regulating gene expression via the ceRNA mechanism. In this study, circRNA profiles of control and regenerated intestines were constructed. A total of 15,874 circRNAs were identified, with a length of 300-350 nucleotides (nt) being the most abundant. Sanger sequencing confirmed the circular structure of circRNA398. Compared with the normal intestine, 50 and 83 differentially expressed circRNAs (DEcircRNAs) were identified in the regenerated intestine at 1 and 3 days post evisceration (dpe), respectively. Gene ontology (GO) terms for signal transduction and development regulation were most significantly enriched in 1dpeVScon and 3dpeVScon treatments, respectively. The dual-luciferase assay revealed that circRNA8388 functions as a sponge for miR-2392, participating in the remodeling of the extracellular matrix (ECM). In conclusion, these findings will contribute to the enhancement of the non-coding RNA database for echinoderms and lay the groundwork for future investigations into circRNA regulation during intestinal regeneration.</t>
  </si>
  <si>
    <t>10.1016/j.ijbiomac.2024.133302</t>
  </si>
  <si>
    <t>Kantor, YI; Fedosov, AE; Kosyan, AR; Puillandre, N; Sorokin, PA; Kano, Y; Clark, R; Bouchet, P</t>
  </si>
  <si>
    <t>Molecular phylogeny and revised classification of the Buccinoidea (Neogastropoda)</t>
  </si>
  <si>
    <t>The superfamily Buccinoidea is distributed across the oceans of the world from the Arctic Ocean to the Antarctic and from intertidal to abyssal depths. It encompasses 3351 recent species in 337 genera. The latest taxonomic account recognized eight full families. For the first time, the monophyly of the superfamily and the relationships among the families are tested with molecular data supplemented by anatomical and radula data. Five genetic markers were used: fragments of mitochondrial COI, 16S rRNA, 12S rRNA and nuclear Histone 3 (H3) and 28S rRNA genes (for 225 species of 117 genera). Our analysis recovered Buccinoidea monophyletic in Bayesian analyses. The relationships between the formerly recognized families and subfamilies are drastically revised and a new classification of the superfamily is here proposed, now including 20 taxa of family rank and 23 subfamilies. Five new families (Chauvetiidae, Dolicholatiridae, Eosiphonidae, Prodotiidae and Retimohniidae) and one subfamily of Nassariidae (Tomliniinae) are described. Austrosiphonidae and Tudiclidae are resurrected from synonymy and employed in a new taxonomical extension. All but 40 recent genera are reclassified. Our results demonstrate that anatomy is rather uniform within the superfamily. With exceptions, the rather uniform radular morphology alone does not allow the allocation of genera to a particular family without additional molecular data.</t>
  </si>
  <si>
    <t>MAR 8</t>
  </si>
  <si>
    <t>10.1093/zoolinnean/zlab031</t>
  </si>
  <si>
    <t>Wang, CG; Jiang, ZX; Du, MY; Li, QY; Cong, RH; Wang, W; Zhang, GF; Li, L</t>
  </si>
  <si>
    <t>Comparative chromatin dynamics reveal differential thermal tolerance mechanisms between two congeneric oyster species</t>
  </si>
  <si>
    <t>Oysters, being globally farmed bivalve of significant economic and ecological value, are increasingly confronted with heat stress induced by global warming, such as the frequent occurrence of mass summer mortality events worldwide. The role of epigenetics in adapting to high-temperature environments has garnered growing attention; however, its application in oysters remains poorly understood. In this study, we conducted a comparative analysis between two closely related oyster species (the relatively thermosensitive Crassostrea gigas and the relatively thermotolerant Crassostrea angulata) using ATAC-Seq and RNA-Seq to reveal the differential thermal tolerance mechanisms at the chromatin dynamics level in response to high-temperature stress. The comparative analysis showed that the inhibitor of apoptosis protein (IAP) family and its associated apoptosis pathways were the major divergent pathway between the two species. The promoter regions of differentially expressed genes in C. gigas under heat stress were found to be enriched with motifs such as Foxp1, Foxk2, Myc, Cebpd, Foxo3, and Hsf1 motifs and expressed genes related to molecular chaperones, including heat shock protein family. And C. angulata activated the genes related to anti-apoptosis, DNA damage repair, and fatty acid synthesis (decreasing fatty acid unsaturation of membrane to regulate membrane fluidity). These findings suggest that C. angulata may have evolved a more centralized and energy-efficient transcriptional regulatory network at the genomic level, thereby facilitating its long-term adaptation to relatively high temperature environments. Furthermore, the key transcription factor Hsf1, involved in heat shock responses, may contribute to the differential heat response patterns in C. gigas and C. angulata through divergent expression levels of its alternatively spliced isoforms (Hsf1a and Hsf1d). Our work will contribute to predicting the adaptive potential of oysters and other marine invertebrates in facing future global warming, and provide a theoretical foundation for genetic improvement of resistance traits and sustainable development of oyster industry.</t>
  </si>
  <si>
    <t>10.1016/j.aquaculture.2023.740177</t>
  </si>
  <si>
    <t>León, M; Berbegal, M; Abad-Campos, P; Ramón-Albalat, A; Caffi, T; Rossi, V; Hasanaliyeva, G; Noceto, PA; Wipf, D; Sirca, S; Razinger, J; Fragnière, AL; Kehrli, P; Ranca, A; Petrescu, A; Armengol, J</t>
  </si>
  <si>
    <t>Evaluation of Sown Cover Crops and Spontaneous Weed Flora as a Potential Reservoir of Black-Foot Pathogens in Organic Viticulture</t>
  </si>
  <si>
    <t>Simple Summary Black-foot is an important grapevine disease caused by a soil-borne fungal pathogens complex, which are collectively known as Cylindrocarpon-like asexual morphs. In organic viticulture, both sown and native cover crop species can act as potential reservoirs of black-foot associated fungi. In our study a wide survey of cover crops grown in organic vineyards was conducted over a diverse range of climatic zones in six different European countries to acquire information about the presence of Cylindrocarpon-like asexual morphs on their roots. Several fungal species associated with black-foot disease were found on some of the cover crops evaluated in all the countries. These results provide valuable information for a reasoned choice of cover crop species, or a species mix, that can be used in organic viticulture. This is particularly important for maximizing their benefits and reducing potential problems in vineyards. (1) Background. An extensive survey of grapevine-sown cover crops and spontaneous weed flora was conducted from 2019 to 2020 in organic vineyards in six European countries (France, Italy, Romania, Slovenia, Spain, Switzerland). Our main objective was to detect and identify the presence of Cylindrocarpon-like asexual morphs species associated with black-foot disease on their roots. (2) Methods. Fungal isolations from root fragments were performed on culture media. Cylindrocarpon-like asexual morph species were identified by analyzing the DNA sequence data of the histone H3 (his3) gene region. In all, 685 plants belonging to different botanical families and genera were analyzed. Cylindrocarpon-like asexual morphs were recovered from 68 plants (9.9% of the total) and approximately 0.97% of the plated root fragments. (3) Results. Three fungal species (Dactylonectria alcacerensis, Dactylonectria torresensis, Ilyonectria robusta) were identified. Dactylonectria torresensis was the most frequent, and was isolated from many cover crop species in all six countries. A principal component analysis with the vineyard variables showed that seasonal temperatures and organic matter soil content correlated positively with Cylindrocarpon-like asexual morphs incidence. (4) Conclusions. The presence of Cylindrocarpon-like asexual morphs on roots of cover crops suggests that they can potentially act as alternative hosts for long-term survival or to increase inoculum levels in vineyard soils.</t>
  </si>
  <si>
    <t>10.3390/biology10060498</t>
  </si>
  <si>
    <t>Niu, DH; Li, BB; Xie, SM; Dong, ZG; Li, JL</t>
  </si>
  <si>
    <t>Integrated mRNA and Small RNA Sequencing Reveals Regulatory Expression of Larval Metamorphosis of the Razor Clam</t>
  </si>
  <si>
    <t>The razor clam,Sinonovacula constricta, is an important economic marine shellfish, and its larval development involves obvious morphological and physiological changes. MicroRNA plays a key role in the physiological changes of the organism through regulating targeted mRNA. This study performed miRNA-mRNA sequencing for eight different developmental stages ofS. constrictausing Illumina sequencing. A total of 2156 miRNAs were obtained, including 2069 known miRNAs and 87 novel miRNAs. In addition, target genes were predicted for key miRNAs differentially expressed between adjacent development samples by integrating the mRNA transcriptome. Further analysis revealed that the differentially expressed genes were enriched in complement activation, alternative pathways, translation, and negative regulation of monocyte molecular protein-1 production. KEGG pathway annotation showed significant enrichment in the regulation of the ribosome, phagosome, tuberculosis and fluid shear stress, and atherosclerosis. Ten mRNAs and ten miRNAs that are related to larval metamorphosis were identified using real-time PCR. Furthermore, the double luciferase experiment validated the negative regulatory relationship between miR-133 and peroxisome proliferator-activated receptor-gamma (PPAR-gamma). These results indicated that the target genes regulated by these differentially expressed miRNAs may play an important regulatory role in the metamorphosis development ofS. constricta.</t>
  </si>
  <si>
    <t>10.1007/s10126-020-09993-0</t>
  </si>
  <si>
    <t>Rosani, U; Pallavicini, A; Venier, P</t>
  </si>
  <si>
    <t>The miRNA biogenesis in marine bivalves</t>
  </si>
  <si>
    <t>Small non-coding RNAs include powerful regulators of gene expression, transposon mobility and virus activity. Among the various categories, mature microRNAs (miRNAs) guide the translational repression and decay of several targeted mRNAs. The biogenesis of miRNAs depends on few gene products, essentially conserved from basal to higher metazoans, whose protein domains allow specific interactions with dsRNA, Here, we report the identification of key genes responsible of the miRNA biogenesis in 32 bivalves, with particular attention to the aquaculture species Mytilus galloprovincialis and Crassostrea gigas. In detail, we have identified and phylogenetically compared eight evolutionary conserved proteins: DROSHA, DGCR8, EXP5, RAN, DICER TARBP2, AGO and PIWI. In mussels, we recognized several other proteins participating in the miRNA biogenesis or in the subsequent RNA silencing. According to digital expression analysis, these genes display low and not inducible expression levels in adult mussels and oysters whereas they fare considerably expressed during development. As miRNAs play an important role also in the antiviral responses, knowledge on their production and regulative effects can shed light on essential molecular processes and provide new hints for disease prevention in bivalves.</t>
  </si>
  <si>
    <t>10.7717/peerj.1763</t>
  </si>
  <si>
    <t>Seo, JK; Stephenson, J; Noga, EJ</t>
  </si>
  <si>
    <t>Multiple antibacterial histone H2B proteins are expressed in tissues of American oyster</t>
  </si>
  <si>
    <t>We have previously identified a histone H2B isomer (cvH2B-1) from tissue extracts of the bivalve mollusk, the American oyster (Crassostrea virginica). In this paper, we isolate an additional three antibacterial proteins from acidified gill extract by preparative acid-urea-polyacrylamide gel electrophoresis and reversed-phase high performance liquid chromatography. Extraction of these proteins from tissue was best accomplished by briefly boiling the tissues in a weak acetic acid solution. Addition of protease inhibitors while boiling resulted in somewhat lower yields, with one protein being totally absent with this method. Via mass spectrometry, the masses of one of these purified proteins was 13607.0 Da (peak 2), which is consistent with the molecular weight of histone H2B. In addition, via western-blotting using anti-calf histone H2B antibody, all three proteins were positive and were thus named cvH2B-2, cvH2B-3 and cvH2B-4. The antibacterial activity of cvH2B-2 was similar to that of cvH2B-1, with activity against a Gram-positive bacterium (Lactococcus lactis subsp. lactis; minimum effective concentration [MEC] 52-57 mu g/mL) but inactive against Staphylococcus aureus (MEC &gt; 250 mu g/mL). However, both proteins had relatively potent activity against the Gram-negative oyster pathogen Vibrio parahemolyticus (MEC 11.5-14 mu g/mL) as well as the human pathogen Vibrio vulnificus (MEC 21.3-25.3 mu g/mL). cvH2B-3 and cvH2B-4 also had similarly strong activity against Vibrio vulnificus. These data provide further evidence for the antimicrobial function of histone H2B isomers in modulating bacterial populations in oyster tissues. The combined estimated concentrations of these histone H2B isomers were far above the inhibitory concentrations for the tested vibrios, including human pathogens. Our results indicate that the highly conserved histone proteins might be important components not only of immune defenses in oysters but have the potential to influence the abundance of a ubiquitous microbial resident of oyster tissues that is the major source of seafood-borne illness in humans. Published by Elsevier Inc.</t>
  </si>
  <si>
    <t>10.1016/j.cbpb.2010.11.011</t>
  </si>
  <si>
    <t>Birtle, Z; Ponting, CP</t>
  </si>
  <si>
    <t>Meisetz and the birth of the KRAB motif</t>
  </si>
  <si>
    <t>BIOINFORMATICS</t>
  </si>
  <si>
    <t>The largest family of transcription factors in mammals is of Cys(2)His(2) zinc finger-proteins, each with an NH2-terminal KRAB motif. Extensive expansions of this family have occurred in separate mammalian lineages, with similar to 400 such genes known in the human genome. Despite their widespread occurrence, the evolutionary provenance of the KRAB motif is unclear since previously it has not been found outside of the tetrapod vertebrates. Here, we show that homologues of the histone methyltransferase Meisetz are present within the sea urchin (Strongylocentrotus purpuratus) genome. Sea urchin and mammalian Meisetz sequences each contain an N-terminal KRAB motif, which thereby establishes an early origin of the KRAB motif prior to the divergence of echinoderm and chordate lineages. Finally, we present evidence that KRAB motifs derive from a novel family of KRI (KRAB Interior) motifs that were present in the last common ancestor of animals, plants and fungi.</t>
  </si>
  <si>
    <t>DEC 1</t>
  </si>
  <si>
    <t>10.1093/bioinformatics/btl498</t>
  </si>
  <si>
    <t>Watson, C; Carvajal, JI; Sergeeva, NG; Pleijel, F; Rouse, GW</t>
  </si>
  <si>
    <t>Free-living calamyzin chrysopetalids (Annelida) from methane seeps, anoxic basins, and whale falls</t>
  </si>
  <si>
    <t>Members of Calamyzinae, a clade of free-living and ectoparasitic chrysopetalids, are mainly associated with deep-sea chemosynthetic environments. The three currently known free-living calamyzin species are placed in Vigtorniella. A new free-living calamyzin species similar to these is described here. Phylogenetic analyses of Calamyzinae using mitochondrial (cytochrome c oxidase subunit I and 16S rDNA) and nuclear (Histone H3 and 18S rDNA) loci showed that Vigtorniella and the new species form a grade with respect to an ectoparasitic clade, requiring two new genera to be erected. All free-living calamyzins show a similar anterior end and chaetal morphology. Micospina auribohnorum gen. et sp. nov. is described for the small-bodied new species from deep-sea whale falls off California and methane seeps off Costa Rica. The maximum-likelihood and Bayesian analyses show Micospina gen. nov. as sister to the ectoparasitic clade. Boudemos gen. nov. is named for the clade of two larger-bodied species: Boudemos flokati gen. et comb. nov. and Boudemos ardabilia gen. et comb. nov., which is sister group to all other Calamyzinae. Vigtorniella is retained for the type species, Vigtorniella zaikai (Kiseleva, 1992), with the adults found amongst bacterial mats at the boundary of the hydrogen sulphide zone in the Black Sea. Micospina gen. nov., Boudemos gen. nov., and Vigtorniella form a grade of free-living taxa that is associated with feeding on organic-enriched sediments, and the latter two taxa display ontogenetic jaw change. Jaws are absent in Micospina auribohnorum gen. et sp. nov. and most of the calamyzin clade of parasitic forms. (C) 2016 The Linnean Society of London</t>
  </si>
  <si>
    <t>10.1111/zoj.12390</t>
  </si>
  <si>
    <t>Chen, YJ; Tokuda, JM; Topping, T; Sutton, JL; Meisburger, SP; Pabit, SA; Gloss, LM; Pollack, L</t>
  </si>
  <si>
    <t>Revealing transient structures of nucleosomes as DNA unwinds</t>
  </si>
  <si>
    <t>The modulation of DNA accessibility by nucleosomes is a fundamental mechanism of gene regulation in eukaryotes. The nucleosome core particle (NCP) consists of 147 bp of DNA wrapped around a symmetric octamer of histone proteins. The dynamics of DNA packaging and unpackaging from the NCP affect all DNA-based chemistries, but depend on many factors, including DNA positioning sequence, histone variants and modifications. Although the structure of the intact NCP has been studied by crystallography at atomic resolution, little is known about the structures of the partially unwrapped, transient intermediates relevant to nucleosome dynamics in processes such as transcription, DNA replication and repair. We apply a new experimental approach combining contrast variation with time-resolved small angle X-ray scattering (TR-SAXS) to determine transient structures of protein and DNA constituents of NCPs during salt-induced disassembly. We measure the structures of unwrapping DNA and monitor protein dissociation from Xenopus laevis histones reconstituted with two model NCP positioning constructs: the Widom 601 sequence and the sea urchin 5S ribosomal gene. Both constructs reveal asymmetric release of DNA from disrupted histone cores, but display different patterns of protein dissociation. These kinetic intermediates may be biologically important substrates for gene regulation.</t>
  </si>
  <si>
    <t>10.1093/nar/gku562</t>
  </si>
  <si>
    <t>Fransen, CHJM</t>
  </si>
  <si>
    <t>The marine palaemonid shrimps (Crustacea, Deapoda, Caridea) of the Dutch Caribbean</t>
  </si>
  <si>
    <t>Species of the decapod family Palaemonidae are common components of tropical coastal waters and coral reefs. The majority of these species are symbionts of various invertebrate phyla. Despite a long history of research on their species diversity in the Dutch Caribbean, recent field expeditions have yielded much new information. Combined with examinations of specimens housed in Naturalis Biodiversity Center and information from literature, a comprehensive list of Dutch Carribean palaemonids is provided. Newly collected material was primarily identified via morphological analyses. Additional molecular phylogenetic analyses based on mitochondrial COI and 16S and nuclear Histone 3 (H3) genes were conducted in search of cryptic species on the one hand and to check conspecifity in species that were found on multiple host species on the other hand. In total, 46 species are here listed for the Dutch Caribbean of which 24 are here recorded for the first time for one of the islands. One species new to science was discovered and is herein described. Sixty new host associations are recorded. In light of biodiversity loss and increasing anthropogenic pressure on declining coral reefs, documenting the diversity of palaemonids and other coral reef species to provide baseline data takes on a new urgency.</t>
  </si>
  <si>
    <t>DEC 15</t>
  </si>
  <si>
    <t>10.11646/zootaxa.5387.1.1</t>
  </si>
  <si>
    <t>Wu, M; Liu, L; Xing, YQ; Wu, Z; Huang, P; Li, BJ</t>
  </si>
  <si>
    <t>Plasmonic Nanodiamond - Microneedle Bioinspired System for Ultrarapid Sampling and Quantum Sensing of Melanoma-Related MiRNA</t>
  </si>
  <si>
    <t>ADVANCED FUNCTIONAL MATERIALS</t>
  </si>
  <si>
    <t>MicroRNA (miRNA) in interstitial fluid (ISF) is a promising biomarker for early disease diagnosis, but its quantification is challenging due to low sampling efficiency and weak signals. Here, inspired by the osmotic pressure-driven feeding mechanism of sea anemones, a novel is designed that plasmonic nanodiamonds - microneedles (PND-MNs) bioinspired system for ultrarapid sampling and quantum sensing of melanoma-related miRNA. Specifically, high-osmotic hydrogel microneedles, prepared by immersing in LiCl solution, exhibit a substantial swelling ratio for rapid ISF enrichment, extracting 0.92 +/- 0.14 mg within 5 min. Concurrently, by coating fluorescent nanodiamonds (FNDs) with hollow composite metal Au-Ag NPs, precise modulation of the fluorescence intensity of nitrogen vacancy color centers (NV-center) in FNDs has been achieved. This innovative quantum sensing technology significantly enhances the fluorescence signal in the PND-MNs bioinspired system, amplifying it by a factor of 16, reducing the detection limit of miRNA to an unprecedented 0.68 fm (to the knowledge, no method based on fluorescent microneedles for detecting biomarkers has surpassed this level). Furthermore, the PND-MNs bioinspired system, employing backpropagation neural network (BPNN), achieves high accuracy in recognizing miRNA concentrations (R2 = 0.9986). By combining rapid sampling, signal enhancement, and machine learning, it holds promise for detecting ISF biomarkers, offering significant clinical applications.</t>
  </si>
  <si>
    <t>10.1002/adfm.202422305</t>
  </si>
  <si>
    <t>Omata, Y; Haraguchi, M; Yoshinaga, S; Ogino, T; Okawa, M; Tsuruta, A; Koyanagi, S; Ohdo, S</t>
  </si>
  <si>
    <t>RNA editing enzyme ADAR2 regulates P-glycoprotein expression in murine breast cancer cells through the circRNA-miRNA pathway</t>
  </si>
  <si>
    <t>BIOCHEMICAL AND BIOPHYSICAL RESEARCH COMMUNICATIONS</t>
  </si>
  <si>
    <t>Among the various RNA modifications, adenosine-to-inosine RNA editing, catalyzed by adenosine deaminase acting on RNA (ADAR) family, ADAR1 and ADAR2, is the most common nucleotide conversion in mammalian cells. The pathological relevance of ADAR expression has been highlighted in recent human genetic studies. Low expression of the ADAR2 gene is correlated with a poor prognosis in breast cancer patients, but the underlying mechanism remains enigmatic. In this study, we constructed Adar2-knockdown (Adar2-KD) murine breast cancer 4T1 cells and observed their reduced susceptibility to chemotherapeutic drug doxorubicin. Downregulation of ADAR2 induced the expression of P-glycoprotein (P-gp), leading to a reduction in the intracellular accumulation of doxorubicin. The upregulation of P-gp occurred at the post-transcriptional level due to the decreased miR195a-3p function. The search for the underlying cause of the induction of P-gp expression in Adar2-KD 4T1 cells led to the identification of circular RNA (circRNA) circHif1a as a sponge for miR-195a-3p. The enhanced expression of circHif1a inhibited miR-195a-3p function, resulting in the upregulation of P-gp expression. These results suggest that ADAR2 acts as a suppressor of circHif1a biogenesis and then allows miR-195a-3p to interfere with P-gp translation. Our findings may help to improve drug efficacy by clarifying the mechanism of chemoresistance in breast cancer.</t>
  </si>
  <si>
    <t>SEP 24</t>
  </si>
  <si>
    <t>10.1016/j.bbrc.2024.150289</t>
  </si>
  <si>
    <t>Robinson, JM</t>
  </si>
  <si>
    <t>MicroRNA expression during demosponge dissociation, reaggregation, and differentiation and a evolutionarily conserved demosponge miRNA expression profile</t>
  </si>
  <si>
    <t>Demosponges share eight orthologous microRNAs (miRNAs), with none in common with Bilateria. Biological functions of these demosponge miRNAs are unknown. Bilaterian miRNAs are key regulators of cellular processes including cell cycle, differentiation, and metabolism. Resolving if demosponge miRNAs participate in such biological functions will provide clues whether these functions are convergent, evidence on the mode of evolution of cellular developmental processes. Here, a quantitative PCR (qPCR) assay was developed and used to test for differential miRNA expression during dissociation and reaggregation in Spongosorites, compare expression profiles between choanosome and cortex in Spongosorites, and compare undifferentiated gemmules to differentiated juveniles in Ephydatia. During Spongosorites dissociation and reaggregation, miRNA expression showed a global decrease in expression across a range of reaggregating cell densities. miRNA differential response could be related to various general cellular responses, potentially related to nutrient-poor conditions of the minimal artificial seawater media, stress response from tissue dissociation, or loss of cell-cell or cell-matrix contact. In Ephydatia, overall increase in miRNA expression in gemmule-hatched stage 4/5 juveniles relative to gemmules is observed, indicating that increased miRNA expression may be related to increased cellular activity such as migration, cell cycle, and/or differentiation. Observed differential miRNA expression of miRNA during dissociation in Spongosorites (lowered global expression), and during activation, and differentiation of Ephydatia gemmules (increased global expression) could indicate that miRNA expression is associated with cell cycle, differentiation, or metabolism pathways. Interspecies comparison was performed, results indicating that orthologous miRNAs share similar relative expression pattern between the four species tested (Spongosorites, Cinachyrella, Haliclona, and Ephydatia), demonstrating and evolutionarily conserved miRNA expression profile across Demospongia. While these results do not elucidate specific molecular and cellular pathways, together they provide a broad survey of miRNA expression in demosponge systems.</t>
  </si>
  <si>
    <t>10.1007/s00427-015-0520-5</t>
  </si>
  <si>
    <t>Abato, JC; Kajihara, H</t>
  </si>
  <si>
    <t>Deep-sea nemerteans collected along the Japan Trench and the southern Kuril-Kamchatka Trench onboard the R/V Hakuho-maru with descriptions of two new species in Hoplonemertea</t>
  </si>
  <si>
    <t>DEEP-SEA RESEARCH PART I-OCEANOGRAPHIC RESEARCH PAPERS</t>
  </si>
  <si>
    <t>A total of 80 nemertean specimens, representing 30 putative species, were obtained from the trawled material collected along the Japan Trench (JT) and southern Kuril-Kamchatka Trench (KKT) during the KH-22-8 and KH-23-5 cruises of the R/V Hakuho-maru in October 2022 and September 2023, respectively. Samples were collected from the 24 stations along these trenches at depths ranging from 2007 to 7654 m. Molecular and morphological analyses revealed nine species of Palaeonemertea (one in Carininidae, eight in Tubulanidae), seven species of Pilidiophora (six in Lineidae, one in Valenciinidae), and 14 species of Hoplonemertea (six Monostilifera, eight Polystilifera). All palaeonemerteans, six pilidiophorans, and eight hoplonemerteans represented species that are highly likely undescribed and distinct from species known in deep-sea environments globally in the last decade. Two new hadal hoplonemerteans were described in this study: Nemertovema kojimai sp. nov. in JT at 6211 m, and Profundonemertes hakuhoae gen. et sp. nov., found in JT and southern KKT at depths of 6807-7654 m. The phylogeny of the 30 species, including the two newly described, was analyzed using 16S, 18S, and 28S ribosomal RNA, cytochrome c oxidase subunit I (COI), and histone H3 genes. Nemertovema kojimai sp. nov. is closely related to Nemertovema norenburgi Chernyshev and Polyakova, 2019, while Profundonemertes hakuhoae gen. et sp. nov. was nested within Oerstediina, sister to Abyssonemertes kajiharai Chernyshev and Polyakova, 2018a, but with low support. Four previously described species were also reported for the first time in Japanese waters: Baseodiscus profundus Kajihara, Abukawa and Chernyshev, 2022b, in southern KKT; Dinonemertes cf. arctica Korotkevich, 1977 in both trenches; N. norenburgi, in southern KKT; and Phallonemertes murrayi (Brinkmann, 1912), in both trenches as well. The genus Nemertovema Chernyshev and Polyakova, 2018a was reported for the first time in JT, represented by N. kojimai sp. nov. and one additional undescribed species. This study provided the first comprehensive survey of deep-sea nemertean diversity along JT and updated our understanding of species diversity in KKT.</t>
  </si>
  <si>
    <t>10.1016/j.dsr.2025.104549</t>
  </si>
  <si>
    <t>Humphries, P; Richardson, A; Wilson, G; Ellison, T</t>
  </si>
  <si>
    <t>River regulation and recruitment in a protracted-spawning riverine fish</t>
  </si>
  <si>
    <t>ECOLOGICAL APPLICATIONS</t>
  </si>
  <si>
    <t>We present and test an extension of the match/mismatch hypothesis that attempts to explain the persistence, under conditions of flow alteration, of small, short-lived, native, riverine, fish species. The premise is that flow alteration typically changes environmental conditions, such as temperature and prey abundance, which may affect survival during the larval period of fishes. This window-of-opportunity hypothesis states that, if optimal conditions for recruitment vary temporally within a year, the probability that a proportion of the larvae of protracted-spawning species will encounter a period of optimal conditions is greater than for larvae with only a brief spawning period, and so the former will have a recruitment advantage. We determined whether all hatching events contributed equally to juvenile recruitment of the protracted-spawning Australian smelt (Retropinna semoni) during one breeding season in three pairs of heavily regulated and largely free-flowing unregulated rivers in the Murray-Darling Basin, Australia, and related patterns in the hatch dates of recruits to temperature or prey biomass for one pair. For all rivers, heavily regulated or not, recruits present at the end of the breeding season most commonly hatched in the latter part of the breeding season. Mortality of those fish hatched in the first part of the season likely explains this trend. Furthermore, while hatching times were similar for all rivers, each river showed a distinct pattern of hatching and recruitment, which may relate to the temperature range within which epigenetic processes are aligned. Patterns of zooplankton biomass differed between the largely free-flowing Ovens and regulated Goulburn rivers and likely had different sources: within the channel and within the storage lake, respectively. For the Ovens River, recruits hatched subsequent to the period when the first significant increase in zooplankton biomass occurred. We hypothesize that temperature may largely influence the window during which recruitment can take place but that prey density, responding to river-specific interactions between temperature and discharge, plays a role in the timing and magnitude of recruitment of Australian smelt. We conclude that the match/mismatch hypothesis may be applicable to rivers, that the window-of-opportunity hypothesis has some currency and deserves further investigation, and that river regulation may have significant impacts on fish recruitment.</t>
  </si>
  <si>
    <t>10.1890/11-2255.1</t>
  </si>
  <si>
    <t>Arockiaraj, J; Gnanam, AJ; Kumaresan, V; Palanisamy, R; Bhatt, P; Thirumalai, MK; Roy, A; Pasupuleti, M; Kasi, M</t>
  </si>
  <si>
    <t>An unconventional antimicrobial protein histone from freshwater prawn Macrobrachium rosenbergii: Analysis of immune properties</t>
  </si>
  <si>
    <t>In this study, we have reported the first histone characterized at molecular level from freshwater prawn Macrobrachium rosenbergii (MrHis). A full length cDNA of MrHis (751 base pairs) was identified from an established M. rosenbergii cDNA library using GS-FLX (TM) technique. It encodes 137 amino acid residues with a calculated molecular mass of 15 kDa and an isoelectric point of 10.5. MrHis peptide contains a histone H2A signature between 21 and 27 amino acids. Homologous analysis showed that MrHis had a significant sequence identity (99%) with other known histone H2A groups especially from Penaeus monodon. Phylogenetic analysis of MrHis showed a strong relationship with other amino acid sequences from histone H2A arthropod groups. Further phylogenetic analysis showed that the MrHis belongs to histone H2A superfamily and H2A1A sub-family. Secondary structure of MrHis showed that the protein contains 50.36% alpha-helical region and 49.64% coils. The 3D model of MrHis was predicted by I-Tasser program and the model was evaluated for quality analysis including C-score analysis, Ramachandran plot analysis and RMSD analysis. The surface view analysis of MrHis showed the active domain at the N terminal. The antimicrobial property of MrHis protein was confirmed by the helical structure and the total hydrophobic surface along with its net charge. The MFE of the predicted RNA structure of MrHis is -128.62 kcal/mol, shows its mRNA stability. Schiffer-Edmundson helical wheel analysis of the N-terminal of MrHis showed a perfect amphipathic nature of the peptide. Significantly (P &lt; 0.05) highest gene expression was noticed in the hemocyte and is induced with viral (WSBV and MrNV) and bacteria (A eromonas hydrophila and Vibrio harveyi) infections. The coding sequence of recombinant MrHis protein was expressed in a pMAL vector and purified to study the antimicrobial properties. The recombinant product showed antimicrobial activity against both Gram negative and Gram positive bacteria. In this study, the recombinant MrHis protein displayed antimicrobial activity in its entirety. Hence, it is possible to suggest that the activity may be due to the direct defense role of histone or its N-terminal antimicrobial property. However, this remains to be verified by detailed investigations. (C) 2013 Elsevier Ltd. All rights reserved.</t>
  </si>
  <si>
    <t>10.1016/j.fsi.2013.08.018</t>
  </si>
  <si>
    <t>Zhou, XX; Chang, YQ; Zhan, YY; Wang, XL; Lin, K</t>
  </si>
  <si>
    <t>Integrative mRNA-miRNA interaction analysis associate with immune response of sea cucumber Apostichopus japonicus based on transcriptome database</t>
  </si>
  <si>
    <t>MicroRNAs (miRNAs) constitute a family of endogenous non-coding small RNAs that have been demonstrated to be the key effectors in mediating host-pathogen interactions. Additionally, high-throughput sequencing provides unexampled opportunities to identify the pathogenic mechanism underlying miRNAs. In the present study, the target genes of immune-related miRNAs (miR-31, miR-2008, miR-92a, miR-210 and miR-7) and specific miRNAs (miR-2004) in Echinodermata were predicted in silico and validated. Gene ontology (GO) analysis of the target genes of these six miRNAs were conducted to further understand the regulatory function in the host immunity of Apostichopus japonicus (A. japonicus). Among the putative target genes of the six miRNAs, various immune related targets were annotated, such as Nephl, SECI4L1, p105, GL2, LYS, FNL4L, mTOR, LITAF, SLC44, TLR3, Apaf-1, and CNTN4. This work will provide valuable genetic resources to understand the interaction of multiple mRNA-miRNAs and the regulation mechanism in the anti-bacterial process in the sea cucumber.</t>
  </si>
  <si>
    <t>10.1016/j.fsi.2017.10.031</t>
  </si>
  <si>
    <t>Robalino, J; Carnegie, RB; O'Leary, N; Ouvry-Patat, SA; de la Vega, E; Prior, S; Gross, PS; Browdy, CL; Chapman, RW; Schey, KL; Warr, G</t>
  </si>
  <si>
    <t>Contributions of functional genomics and proteomics to the study of immune responses in the Pacific white leg shrimp Litopenaeus vannamei</t>
  </si>
  <si>
    <t>VETERINARY IMMUNOLOGY AND IMMUNOPATHOLOGY</t>
  </si>
  <si>
    <t>The need for better control of infectious diseases in shrimp aquaculture and the ecological importance of crustacea in marine ecosystems have prompted interest in the study of crustacean immune systems, particularly those of shrimp. As shrimp and other crustacea are poorly understood from the immunological point of view, functional genomic and proteomic approaches have been applied as a means of quickly obtaining molecular information regarding immune responses in these organisms. In this article, a series of results derived from transcriptomic and proteomic studies in shrimp (Litopenaeus vannamei) are discussed. Expressed Sequence Tag analysis, differential expression cloning through Suppression Subtractive Hybridization, expression profiling using microarrays, and proteomic studies using mass spectrometry, have provided a wealth of useful data and opportunities for new avenues of research. Examples of new research directions arising from these studies in shrimp include the molecular diversity of antimicrobial effectors, the role of double stranded RNA as an inducer of antiviral immunity, and the possible overlap between antibacterial and antiviral responses in the shrimp. (C) 2008 Elsevier B.V. All rights reserved.</t>
  </si>
  <si>
    <t>10.1016/j.vetimm.2008.10.329</t>
  </si>
  <si>
    <t>Ashelby, CW; Page, TJ; De Grave, S; Hughes, JM; Johnson, ML</t>
  </si>
  <si>
    <t>Regional scale speciation reveals multiple invasions of freshwater in Palaemoninae (Decapoda)</t>
  </si>
  <si>
    <t>Ashelby, C.W., Page, T.J., De Grave, S., Hughes, J.M. &amp; Johnson, M.L. (2012) Regional scale speciation reveals multiple invasions of freshwater in Palaemoninae (Decapoda). Zoologica Scripta, 41, 293-306. The generic level, systematic relationship in Palaemoninae was inferred from analyses based on the mitochondrial 16S rDNA and nuclear Histone (H3) genes, primarily focussed on the genera Palaemon and Palaemonetes, as previous morphological and molecular studies indicated potential paraphyly in some genera. Palaemonetes, Exopalaemon, Coutierella and certain Palaemon recover as a strongly supported monophyletic clade, but with the exception of Palaemon concinnus, P. pandaliformis and P. gracilis. Within this clade, six major clades are identified with geographic relationships appearing stronger than generic relationships. The data strongly suggest that Palaemon, Palaemonetes, Exopalaemon and Coutierella are synonymous and that the morphological characters currently used to define these genera require re-evaluation. Freshwater species are not closely related to each other, but instead group with geographically close marine species, suggesting multiple invasions of freshwater by physiologically plastic ancestors rather than a single colonisation event with subsequent speciation.</t>
  </si>
  <si>
    <t>10.1111/j.1463-6409.2012.00535.x</t>
  </si>
  <si>
    <t>Guo, M; Wang, YK; Fu, XM; Tao, WJ; Li, CH</t>
  </si>
  <si>
    <t>circRNA1149 from Apostichopus japonicus suppresses coelomocyte apoptosis act as miR-92a sponge to regulate Bax expression in response to Vibrio splendidus infection</t>
  </si>
  <si>
    <t>Circular RNAs (circRNAs) are a class of widespread and diverse covalently closed circular endogenous RNAs that play pivotal roles in mediating immune regulation in mammals. However, the function and regulatory mecha-nisms of circRNAs in lower invertebrates are still far unidentified. In this study, we discovered a circRNA derived from AJAPscaffold1149: 133758|203,802 of Apostichopus japonicus genome, termed circRNA1149 (circ1149), that is closely related to the occurrence of skin ulcer syndrome (SUS) in sea cucumber A. japonicus. Results revealed that circ1149 plays a significant role in pathogen Vibrio splendidus-induced coelomocyte apoptosis in sea cucumbers. Our study also found a microRNA miR-92a, which could promote coelomocyte apoptosis caused by V. splendidus via targeting Bcl-2-associated X protein (Bax). And, Bax is the first identified pro-apoptotic member of the Bcl-2 protein family. Moreover, we detected that the increased coelomocyte apoptosis level and Bax protein level by circ1149 silencing in response to pathogen infection could be partly recovered by miR-92a inhibitors in vivo and in vitro. Our data indicated that circ1149 functions as a competing endogenous RNA (ceRNA) of Bax by competing for adsorbing miR-92a, thereby suppressing the coelomocyte apoptosis levels induced by V. splendidus. The overall results of this study suggested that circ1149 plays a crucial role in regu-lating the innate immune response of sea cucumbers, and provides a new insight for understanding the functions of circRNAs in lower invertebrates in response to bacterial infection.</t>
  </si>
  <si>
    <t>10.1016/j.aquaculture.2022.738812</t>
  </si>
  <si>
    <t>Praher, D; Zimmermann, B; Dnyansagar, R; Miller, DJ; Moya, A; Modepalli, V; Fridrich, A; Sher, D; Friis-Moller, L; Sundberg, P; Fôret, S; Ashby, R; Moran, Y; Technau, U</t>
  </si>
  <si>
    <t>Conservation and turnover of miRNAs and their highly complementary targets in early branching animals</t>
  </si>
  <si>
    <t>MicroRNAs (miRNAs) are crucial post-transcriptional regulators that have been extensively studied in Bilateria, a group comprising the majority of extant animals, where more than 30 conserved miRNA families have been identified. By contrast, bilaterian miRNA targets are largely not conserved. Cnidaria is the sister group to Bilateria and thus provides a unique opportunity for comparative studies. Strikingly, like their plant counterparts, cnidarian miRNAs have been shown to predominantly have highly complementary targets leading to transcript cleavage by Argonaute proteins. Here, we assess the conservation of miRNAs and their targets by small RNA sequencing followed by miRNA target prediction in eight species of Anthozoa (sea anemones and corals), the earliest-branching cnidarian class. We uncover dozens of novel miRNAs but only a few conserved ones. Further, given their high complementarity, we were able to computationally identify miRNA targets in each species. Besides evidence for conservation of specific miRNA target sites, which are maintained between sea anemones and stony corals across 500 Myr of evolution, we also find indications for convergent evolution of target regulation by different miRNAs. Our data indicate that cnidarians have only few conserved miRNAs and corresponding targets, despite their high complementarity, suggesting a high evolutionary turnover.</t>
  </si>
  <si>
    <t>FEB 24</t>
  </si>
  <si>
    <t>10.1098/rspb.2020.3169</t>
  </si>
  <si>
    <t>Campelo, MM; Reis-das-Merces, L; Vidal, AF; da Silva, FRP; de Oliveira, ACA; Monteiro, JRD; Cabral, CG; Noronha, RCR; Pereira, AL</t>
  </si>
  <si>
    <t>The dual role of circHIPK3 in cancer and its implications for multiple drugs resistance: a systematic review and computational approach</t>
  </si>
  <si>
    <t>FRONTIERS IN ONCOLOGY</t>
  </si>
  <si>
    <t>Background: circHIPK3 role in cancer as oncogene or tumor suppressor is still debated, therefore, this study aimed to understand the dual role of this circRNA in different cancers. Furthermore, all available evidence of circHIPK3 interactions with sponged-miRNA and RBPs in oncological diseases were systematically gathered to better understand the its functional role in cancer. Methods: PubMed, BioMedCentral, Web of Science, Embase and Scopus databases were searched for articles published until October 2024, following the PRISMA guideline. In computational analysis, miRNAs' sponged target genes and RBPs were used for gene enrichment in KEGG, REACTOME and Gene Ontology, and TISSUES expression. miRTargetLink 2.0 was used to search for target genes, and STRING v.12.0 for gene enrichment. Results: circHIPK3 can regulate 33 miRNAs which regulate 399 target genes, and that were mainly enriched in major biological pathways important for cancer development and promoting. circHIPK3/miR-124-3p/miR-637/miR-338-3p are the most well documented interactions in cancers that may control MAPK, Jak/STAT3, Wnt/beta-catenin, and PI3K/Akt signaling pathways. circHIPK3 regulates miRNAs that modulate genes responsible for chemoresistance, such as ATP-binding cassette and solute carrier transporters genes, and DNA repair genes. circHIPK3 has binding sites for RBPs, which participate mainly of RNA processing and control, and gene expression regulation. Finally, we believe that it has an onco-circRNA role in most cancers, except in bladder cancer, where it has a TS-circRNA function likely due to the microenvironment permeated by high amounts of hydrogen peroxide. Conclusion: circHIPK3 dysregulation is an important mechanism for cancer establishment, progression and chemoresistance making it an interesting molecule with a potential therapeutic target.</t>
  </si>
  <si>
    <t>10.3389/fonc.2025.1547889</t>
  </si>
  <si>
    <t>Chen, CL; Goy, JW; Bracken-Grissom, HD; Felder, DL; Tsang, LM; Chan, TY</t>
  </si>
  <si>
    <t>Phylogeny of Stenopodidea (Crustacea : Decapoda) shrimps inferred from nuclear and mitochondrial genes reveals non-monophyly of the families Spongicolidae and Stenopididae and most of their composite genera</t>
  </si>
  <si>
    <t>The infraorder Stenopodidea is a relatively small group of marine decapod crustaceans including the well known cleaner shrimps, but their higher taxonomy has been rather controversial. This study provides the most comprehensive molecular phylogenetic analyses of Stenopodidea using sequence data from two mitochondrial (16S and 12S rRNA) and two nuclear (histone H3 and sodium-potassium ATPase a-subunit (NaK)) genes. We included all 12 nominal genera from the three stenopodidean families in order to test the proposed evolutionary hypothesis and taxonomic scheme of the group. The inferred phylogeny did not support the familial ranking of Macromaxillocarididae and rejected the reciprocal monophyly of Spongicolidae and Stenopididae. The genera Stenopus, Richardina, Spongiocaris, Odontozona, Spongicola and Spongicoloides are showed to be poly- or paraphyletic, with monophyly of only the latter three genera strongly rejected in the analysis. The present results only strongly support the monophyly of Microprosthema and suggest that Paraspongiola should be synonymised with Spongicola. The three remaining genera, Engystenopus, Juxtastenopus and Globospongicola, may need to be expanded to include species from other genera if their statuses are maintained. All findings suggest that the morphological characters currently adopted to define genera are mostly invalid and substantial taxonomic revisions are required. As the intergeneric relationships were largely unresolved in the present attempt, the hypothesis of evolution of deep-sea sponge-associated taxa from shallow-water free-living species could not be verified here. The present molecular phylogeny, nevertheless, provides some support that stenopoididean shrimps colonised the deep sea in multiple circumstances.</t>
  </si>
  <si>
    <t>10.1071/IS16024</t>
  </si>
  <si>
    <t>Zhong, SP; Ma, XW; Jiang, Y; Qiao, Y; Zeng, MQ; Huang, LH; Huang, GQ; Zhao, YZ; Chen, XL</t>
  </si>
  <si>
    <t>MicroRNA sequencing analysis reveals injury-induced immune responses of Scylla paramamosain against cheliped autotomy</t>
  </si>
  <si>
    <t>During pond culture or intensive culture system of crabs (mainly Eriocheir sinensis, Portunus trituberculatus and Scylla paramamosain), high-density farming has typically contributed to a higher limb autotomy level in juvenile animals, especially in S. paramamosain which has a high level of cannibalism. Due to the high limb autotomy level, the survival and growth rates in S. paramamosain farming are restricted, which limit the growth of the mud crab farming industry. MicroRNAs (miRNAs) are small noncoding RNAs that regulate a series of biological processes including innate immune responses by post-transcriptional suppression of their target genes. MiRNAs are believed to be crucial for innate immune process of host wound healing. Many miRNAs have been verified to be required in host immune responses to repair wound and to defense pathogen after tissue damage. However, to our best knowledge, the miRNAs functions of crustacean innate immune reactions against injury induced by limb autotomy have not been studied yet. Here in this study, for the first time, miRNAs involved in the S. para-mamosain immune reactions against injury induced by cheliped autotomy were obtained by high-throughput sequencing. A total of 575 miRNAs (518 known miRNAs and 57 novel predicted miRNAs) were obtained, of which 141 differentially expressed microRNAs (93 up-regulated microRNAs and 48 down-regulated microRNAs) were revealed to be modified against cheliped autotomy, and the qPCR results of randomly selected miRNAs confirmed the expression patterns in the miRNAs sequencing data. Numerous immune-related target genes associated with innate immune system were mediated by miRNAs to induce host humoral immune and cellular immune defense to minimize acute physical damage. Furthermore, the genes expression in hemolymph coagu-lation and melanization pathways, as well as Toll and Imd signaling pathways were mediated by miRNAs to activate host immune responses including melanization and antimicrobial peptides for rapid wound healing and killing invaded pathogens. These results will help to understand injury-induced immune responses in crabs and to develop an effective control strategy of autotomy rate in crabs farming.</t>
  </si>
  <si>
    <t>10.1016/j.fsi.2023.109055</t>
  </si>
  <si>
    <t>Li, R; Weng, JY; Ren, LQ; Wang, X; Meng, QH; Wang, LY; Sun, JS</t>
  </si>
  <si>
    <t>A novel microRNA and its pfk target control growth length in the freshwater shrimp Neocaridina heteropoda</t>
  </si>
  <si>
    <t>MicroRNAs (miRNAs) are small non-coding RNAs that negatively regulate gene expression and play roles in a wide range of physiological processes, including ontogenesis. Herein, we discovered a novel miRNA, novel miR-26, which inhibits translation of the phosphofructokinase (PFK) gene by targeting the 3' untranslated region (UTR) of pfk directly, thereby inhibiting molting and body length growth of the freshwater shrimp Neocaridina heteropoda. Lowering expression of pfk by RNA interference (RNAi) led to a longer ecdysis cycle and smaller individuals. This phenotype was mirrored in shrimps injected with novel miR-26 agomirs, but the opposite phenotype occurred in shrimps injected with novel miR-26 antagomirs (i.e. the ecdysis cycle was shortened and body length was increased). After injection of 20-hydroxyecdysone (ecdysone 20E), expression of the novel miR-26 was decreased, while expression of pfk was up-regulated, and the fructose-1,6-diphosphate metabolite of PFK accumulated correspondingly. Furthermore, expression of eIF2 (eukaryotic initiation factor 2) increased under stimulation with fructose-1,6-diphosphate, suggesting that protein synthesis was stimulated during this period. Taken together, our results suggest that the novel miR-26 regulates expression of pfk and thereby mediates the molting and growth of N. heteropoda.</t>
  </si>
  <si>
    <t>10.1242/jeb.223529</t>
  </si>
  <si>
    <t>Bejarano, F; Bortolamiol-Becet, D; Dai, Q; Sun, KL; Saj, A; Chou, YT; Raleigh, DR; Kim, K; Ni, JQ; Duan, H; Yang, JS; Fulga, TA; Van Vactor, D; Perrimon, N; Lai, EC</t>
  </si>
  <si>
    <t>A genome-wide transgenic resource for conditional expression of Drosophila microRNAs</t>
  </si>
  <si>
    <t>microRNAs (miRNAs) are endogenous short RNAs that mediate vast networks of post-transcriptional gene regulation. Although computational searches and experimental profiling provide evidence for hundreds of functional targets for individual miRNAs, such data rarely provide clear insight into the phenotypic consequences of manipulating miRNAs in vivo. We describe a genome-wide collection of 165 Drosophila miRNA transgenes and find that a majority induced specific developmental defects, including phenocopies of mutants in myriad cell-signaling and patterning genes. Such connections allowed us to validate several likely targets for miRNA-induced phenotypes. Importantly, few of these phenotypes could be predicted from computationally predicted target lists, thus highlighting the value of whole-animal readouts of miRNA activities. Finally, we provide an example of the relevance of these data to miRNA loss-of-function conditions. Whereas misexpression of several K box miRNAs inhibited Notch pathway activity, reciprocal genetic interaction tests with miRNA sponges demonstrated endogenous roles of the K box miRNA family in restricting Notch signaling. In summary, we provide extensive evidence that misexpression of individual miRNAs often induces specific mutant phenotypes that can guide their functional study. By extension, these data suggest that the deregulation of individual miRNAs in other animals may frequently yield relatively specific phenotypes during disease conditions.</t>
  </si>
  <si>
    <t>10.1242/dev.079939</t>
  </si>
  <si>
    <t>Ellis, SLS; Dada, S; Nohara, LL; Saranchova, I; Munro, L; Pfeifer, CG; Eyford, BA; Morova, T; Williams, DE; Cheng, P; Lack, NA; Andersen, RJ; Jefferies, WA</t>
  </si>
  <si>
    <t>Curcuphenol possesses an unusual histone deacetylase enhancing activity that counters immune escape in metastatic tumours</t>
  </si>
  <si>
    <t>FRONTIERS IN PHARMACOLOGY</t>
  </si>
  <si>
    <t>Curcuphenol, a common component of the culinary spices, naturally found in marine invertebrates and plants, has been identified as a novel candidate for reversing immune escape by restoring expression of the antigen presentation machinery (APM) in invasive cancers, thereby resurrecting the immune recognition of metastatic tumours. Two synthetic curcuphenol analogues, were prepared by informed design that demonstrated consistent induction of APM expression in metastatic prostate and lung carcinoma cells. Both analogues were subsequently found to possess a previously undescribed histone deacetylase (HDAC)-enhancing activity. Remarkably, the H3K27ac ChIPseq analysis of curcuphenol-treated cells reveals that the induced epigenomic marks closely resemble the changes in genome-wide pattern observed with interferon-?, a cytokine instrumental for orchestrating innate and adaptive immunity. These observations link dietary components to modifying epigenetic programs that modulate gene expression guiding poised immunity.</t>
  </si>
  <si>
    <t>AUG 10</t>
  </si>
  <si>
    <t>10.3389/fphar.2023.1119620</t>
  </si>
  <si>
    <t>Chen, YG; Yao, LT; Tang, Y; Jhong, JH; Wan, JT; Chang, JY; Cui, SD; Luo, YJ; Cai, XX; Li, WS; Chen, Q; Huang, HY; Wang, Z; Chen, WM; Chang, TH; Wei, FX; Lee, TY; Huang, HD</t>
  </si>
  <si>
    <t>CircNet 2.0: an updated database for exploring circular RNA regulatory networks in cancers</t>
  </si>
  <si>
    <t>Circular RNAs (circRNAs), which are single-stranded RNA molecules that have individually formed into a covalently closed continuous loop, act as sponges of microRNAs to regulate transcription and translation. CircRNAs are important molecules in the field of cancer diagnosis, as growing evidence suggests that they are closely related to pathological cancer features. Therefore, they have high potential for clinical use as novel cancer biomarkers. In this article, we present our updates to CircNet (version 2.0), into which circRNAs from circAtlas and MiOncoCirc, and novel circRNAs from The Cancer Genome Atlas database have been integrated. In total, 2732 samples from 37 types of cancers were integrated into CircNet 2.0 and analyzed using several of the most reliable circRNA detection algorithms. Furthermore, target miRNAs were predicted from the full-length circRNA sequence using three reliable tools (PITA, miRanda and TargetScan). Additionally, 384 897 experimentally verified miRNA-target interactions from miRTarBase were integrated into our database to facilitate the construction of high-quality circRNA-miRNA-gene regulatory networks. These improvements, along with the user-friendly interactive web interface for data presentation, search, and visualization, showcase the updated CircNet database as a powerful, experimentally validated resource, for providing strong data support in the biomedical fields. CircNet 2.0 is currently accessible at https://awi.cuhk.edu.cn/similar to CircNet.</t>
  </si>
  <si>
    <t>10.1093/nar/gkab1036</t>
  </si>
  <si>
    <t>Remsburg, CM; Konrad, KD; Testa, MD; Stepicheva, N; Lee, K; Choe, LH; Polson, S; Bhavsar, J; Huang, HZ; Song, JL</t>
  </si>
  <si>
    <t>miR-31-mediated local translation at the mitotic spindle is important for early development</t>
  </si>
  <si>
    <t>miR-31 is a highly conserved microRNA that plays crucial roles in cell proliferation, migration and differentiation. We discovered that miR-31 and some of its validated targets are enriched on the mitotic spindle of the dividing sea urchin embryo and mammalian cells. Using the sea urchin embryo, we found that miR-31 inhibition led to developmental delay correlated with increased cytoskeletal and chromosomal defects. We identified miR-31 to directly suppress several actin remodeling transcripts, including beta-actin, Gelsolin, Rab35 and Fascin. De novo translation of Fascin occurs at the mitotic spindle of sea urchin embryos and mammalian cells. Importantly, miR-31 inhibition leads to a significant a increase of newly translated Fascin at the spindle of dividing sea urchin embryos. Forced ectopic localization of Fascin transcripts to the cell membrane and translation led to significant developmental and chromosomal segregation defects, highlighting the importance of the regulation of local translation by miR-31 at the mitotic spindle to ensure proper cell division. Furthermore, miR-31-mediated post-transcriptional regulation at the mitotic spindle may be an evolutionarily conserved regulatory paradigm of mitosis.</t>
  </si>
  <si>
    <t>10.1242/dev.202619</t>
  </si>
  <si>
    <t>Colgan, DJ</t>
  </si>
  <si>
    <t>Do Deep Mitochondrial DNA Divergences within Intertidal Gastropods Reveal Phylogeographic Signals from Earlier Glacial Cycles?</t>
  </si>
  <si>
    <t>DIVERSITY-BASEL</t>
  </si>
  <si>
    <t>Climatic cycles have frequently been hypothesised to influence the phylogeography of temperate marine organisms through such factors as hydrological changes and landbridge formation at glacial maxima. However, it is rarely considered whether observed phylogeographic patterns are predominantly influenced by the most recent cycle or those that preceded it. Whether high genetic divergences within intertidal taxa provide an opportunity to investigate such questions is studied here. Three southeastern Australian gastropod taxa that exhibit such divergence were studied, namely, Ascorhis tasmanica, Phallomedusa solida and the regions' two species of the genus Nerita. Maximum likelihood phylogenetic analyses revealed bootstrap-supported clades within Nerita atramentosa, N. melanotragus and P. solida each of which may have been influenced by climatically induced isolation in previous glacial cycles. These clades are all now very widely distributed within the ranges of their respective species. The loss of variants resulting in the divergence of the haplotypes in the clades may be stochastic but was more likely due to selection, at least for P. solida. Ascorhis tasmanica was revealed to have a comparatively large number of sporadically distributed divergent groups; however, their evolution may have been more influenced by factors other than climate cycles.</t>
  </si>
  <si>
    <t>10.3390/d15030346</t>
  </si>
  <si>
    <t>Alalykina, IL; Polyakova, NE</t>
  </si>
  <si>
    <t>New species of Ophryotrocha (Annelida: Dorvilleidae) associated with deep-sea reducing habitats in the Bering Sea, Northwest Pacific</t>
  </si>
  <si>
    <t>Four species of Ophryotrocha (Annelida, Dorvilleidae) from deep-sea reducing habitats (methane seeps on the Koryak slope and hydrothermal vents of the submarine Piip Volcano) were collected in the western part of the Bering Sea, NW Pacific. Descriptions of two of these new Ophryotrocha species, namely O. beringiana sp. nov. and O. seepens sp. nov., confirmed with molecular analyses, are presented herein. The detailed descriptions with electron microscopy illustrations for the new species are presented and their differences from similar species are discussed. In addition to the morphological description, the phylogenetic relationships of the new dorvilleids are provided using two nuclear (18S RNA, histone H3) and two mitochondrial (16S RNA and cytochrome c oxidase subunit 1, COI) markers in an analysis containing 54 terminal taxa. Phylogenetic analyses using MrBayes and Maximum Likelihood analyses show that O. beringiana sp. nov. and O. seepens sp. nov. are sister species, and together with O. platykephale, O. globopalpata and O. flabella form a subclade of deep-sea Pacific species within a clade referred to here as 'globopalpata-platykephale'. In our molecular analysis, the clade currently consists of ten species, nine of those (except for O. longidentata, the only shallow Atlantic species not reported in chemosynthetic habitats) have been described from Pacific deep-sea reducing environments (hydrothermal vents, cold methane seeps, whale-falls). The ecology and geographic distribution of the reported species are discussed.</t>
  </si>
  <si>
    <t>10.1016/j.dsr2.2022.105217</t>
  </si>
  <si>
    <t>Liu, L; Ning, BY; Zhan, YY; Zhao, TJ; Chang, YQ</t>
  </si>
  <si>
    <t>MiR-210, not let-7, regulates Akt gene expression against Vibrio splendidus infection in the sea cucumber Apostichopus japonicus</t>
  </si>
  <si>
    <t>The immune regulatory roles of microRNAs (miRNAs) have recently attracted considerable attention. Bioinformatics prediction revealed that both let-7 and miR-210 provide potential binding sites for the Akt ( rac-alpha serine/threonine-protein kinase) ) gene sequence in the sea cucumber Apostichopus japonicus (termed AjAkt). ). In this study, we first used a dual-luciferase reporter assay and functional validation techniques to verify the interactions between these two miRNAs (let-7 and miR-210) and AjAkt, , and then investigated the functions of the validated miRNA/mRNA pair as part of the innate immune response against Vibrio splendidus infection. We found that AjAkt interacts with miR-210 rather than let-7, and miR-210 negatively regulates the expression of AjAkt. . From 8 to 48 h after infection with V. splendidus, , opposite trends were observed in the expression levels of miR210 and Aj Akt (mRNA and protein) in coelomocytes, suggesting that the miR-210/AjAkt AjAkt pair is involved in immune regulation during this period after infection. Both AjAkt silencing and miR-210 overexpression enhanced the phagocytic capacity and reduced the infectivity of A. japonicus after pathogen infection, suggesting that the miR-210/AjAkt AjAkt pair may regulate the innate immune response of A. japonicus by altering phagocytic capacity. The findings of this study enrich our knowledge of the role of miRNA/mRNA pairs in immune regulation in sea cucumbers and provide insights into the molecular mechanisms of the innate immune response in marine echinoderms.</t>
  </si>
  <si>
    <t>10.1016/j.fsi.2024.109848</t>
  </si>
  <si>
    <t>Tanaka, M; Hennebold, JD; Macfarlane, J; Adashi, EY</t>
  </si>
  <si>
    <t>A mammalian oocyte-specific linker histone gene H1oo:: homology with the genes for the oocyte-specific cleavage stage histone (cs-H1) of sea urchin and the B4/H1M histone of the frog</t>
  </si>
  <si>
    <t>Oocytes and early embryos of multiple (non-mammalian) species lack the somatic form of the linker histone H1. To the best of our knowledge, a mammalian oocyte-specific linker (H1) histone(s) has not, as yet, been reported. We have uncovered the cDNA in question in the course of a differential screening (suppression subtractive hybridization (SSH)) project, Elucidation of the full-length sequence of this novel 1.2 kb cDNA led to the identification of a 912 bp open reading frame. The latter encoded a novel 34 kDa linker histone protein comprised of 304 amino acids, tentatively named H1oo. Amino acid BLAST analysis revealed that H1oo displayed the highest sequence homology to the oocyte-specific B4 histone of the frog, the respective central globular (putative DNA binding) domains displaying 54% identity. Substantial homology to the cs-HI protein of the sea urchin oocyte was also apparent. While most oocytic mRNAs corresponding to somatic linker histones are not polyadenylated land remain untranslated), the mRNAs of (non-mammalian) oocyte-specific linker histones and of mammalian H1oo, are polyadenylated, a process driven by the consensus signal sequence, AAUAAA, detected in the 3'-untranslated region of the H1oo cDNA, Our data suggest that the mouse oocyte-specific linker histone H1oo (1) constitutes a novel mammalian homolog of the oocyte-specific linker histone B4 of the frog and of the cs-H1 linker histone of the sea urchin; (2) is expressed as early as the GV (PI) stage oocyte, persisting into the MII stage oocyte, the oocytic polar bodies, and the two-cell embryo, extinction becoming apparent at the four- to eight-cell embryonic stage; and (3) may play a key role in the control of gene expression during oogenesis and early embryogenesis, presumably through the perturbation of chromatin structure.</t>
  </si>
  <si>
    <t>Koter, MD; Swiecicka, M; Matuszkiewicz, M; Pacak, A; Derebecka, N; Filipecki, M</t>
  </si>
  <si>
    <t>The miRNAome dynamics during developmental and metabolic reprogramming of tomato root infected with potato cyst nematode</t>
  </si>
  <si>
    <t>PLANT SCIENCE</t>
  </si>
  <si>
    <t>Cyst-forming plant-parasitic nematodes are pests threatening many crops. By means of their secretions cyst nematodes induce the developmental and metabolic reprogramming of host cells that lead to the formation of a syncytium, which is the sole food source for growing nematodes. The in depth micro RNA (miRNA) dynamics in the syncytia induced by Globodera rostochiensis in tomato roots was studied. The miRNAomes were obtained from syncytia covering the early and intermediate developmental stages, and were the subject of differential expression analysis. The expression of 1235 miRNAs was monitored. The fold change (Iog2FC) ranged from -7.36 to 8.38, indicating that this transcriptome fraction was very variable. Moreover, we showed that the DE (differentially expressed) miRNAs do not fully overlap between the selected time points, suggesting infection stage specific regulation by miRNA. The correctness of RNA-seq expression profiling was confirmed by qRT-PCR (quantitative Real Time Polymerase Chain Reaction) for seven miRNA species. Down- and up-regulated miRNA species, including their isomiRs, were further used to identify their potential targets. Among them there are a large number of transcription factors linked to different aspects of plant development belonging to gene families, such as APETALA2 (AP2), SQUAMOSA (MADS-box), MYB, GRAS, and AUXIN RESPONSE FACTOR (ARF). The substantial portion of potential target genes belong to the NB-LRR and RLK (RECEPTOR-LIKE KINASE) families, indicating the involvement of miRNA mediated regulation in defense responses. We also collected the evidence for target cleavage in the case of 29 miRNAs using one of three alternative methods: 5' RACE (5' Rapid Amplification of cDNA Ends), a search of tasiRNA within our datasets, and the meta-analysis of tomato degradomes in the GEO (Gene Expression Omnibus) database. Eight target transcripts showed a negative correlation with their respective miRNAs at two or three time points. These results indicate a large regulatory potential for miRNAs in tuning the development and defense responses.</t>
  </si>
  <si>
    <t>10.1016/j.plantsci.2017.12.003</t>
  </si>
  <si>
    <t>Reyes, E; Morin, V; Schwager, S; Puchi, M; Bustos, P; Imschenetzky, M</t>
  </si>
  <si>
    <t>Variability of sperm specific histones in sea urchins</t>
  </si>
  <si>
    <t>The variability of sperm histones was compared in two species of sea urchin. Whole sperm specific histones (SpH), were isolated from Tetrapygus niger (Arbacoida) and Pal echinus angulosus (Echinoida). Individual histones were purified by chromatography on BioGel P-60 followed by reverse high pressure liquid chromatography (HPLC). The heterogeneity of each major histone type from T. niger was established from their HPLC elution patterns and further confirmed by electrophoresis in polyacrylamide gels containing 6 mM Triton X-100 combined with a transverse urea gradient (0-8 M). In T. niger, as well as in P. angulosus, a single form of Spill and SpH2A were found. In contrast, SpH2B was found to be heterogeneous, but represented by one major form in both species. The relatedness between both sets of histones was determined by establishing their immunological cross-reactivity. In this context, polyclonal antibodies elicited against T. niger sperm histones were assayed against individual histones from P. angulosus. From the results obtained, it emerged that histone SpH2A was the more closely related protein between these two species, followed by histone Spill. In contrast, histone SpH2B was found to be only moderately related. These results confirm that SpH2A did not co-evolve with SpH2B, as was predicted for most species. (C) 2001 Elsevier Science Inc. All rights reserved.</t>
  </si>
  <si>
    <t>10.1016/S1096-4959(00)00344-4</t>
  </si>
  <si>
    <t>Oku, N; Nagai, K; Shindoh, N; Terada, Y; van Soest, RWM; Matsunaga, S; Fusetani, N</t>
  </si>
  <si>
    <t>Three new cyclostellettamines, which inhibit histone deacetylase, from a marine sponge of the genus Xestospongia</t>
  </si>
  <si>
    <t>BIOORGANIC &amp; MEDICINAL CHEMISTRY LETTERS</t>
  </si>
  <si>
    <t>Three new cyclostellettamines, cyclostellettamine G (1), dehydrocyclostellettamines D (2), and E (3), were isolated together with the known cyclostellettamine A (4) from a marine sponge of the genus Xestospongia as histone deacetylase inhibitors. Their structures were determined by spectral and chemical methods. They inhibit histone deacetylase derived from K562 human leukemia cells with IC50 values ranging from 17 to 80 muM. (C) 2004 Elsevier Ltd. All rights reserved.</t>
  </si>
  <si>
    <t>MAY 17</t>
  </si>
  <si>
    <t>10.1016/j.bmcl.2004.02.062</t>
  </si>
  <si>
    <t>Török, A; Schiffer, PH; Schnitzler, CE; Ford, K; Mullikin, JC; Baxevanis, AD; Bacic, A; Frank, U; Gornik, SG</t>
  </si>
  <si>
    <t>The cnidarian Hydractinia echinata employs canonical and highly adapted histones to pack its DNA</t>
  </si>
  <si>
    <t>Background: Cnidarians are a group of early branching animals including corals, jellyfish and hydroids that are renowned for their high regenerative ability, growth plasticity and longevity. Because cnidarian genomes are conventional in terms of protein-coding genes, their remarkable features are likely a consequence of epigenetic regulation. To facilitate epigenetics research in cnidarians, we analysed the histone complement of the cnidarian model organism Hydractinia echinata using phylogenomics, proteomics, transcriptomics and mRNA in situ hybridisations. Results: We find that the Hydractinia genome encodes 19 histones and analyse their spatial expression patterns, genomic loci and replication-dependency. Alongside core and other replication-independent histone variants, we find several histone replication-dependent variants, including a rare replication-dependent H3.3, a female germ cell-specific H2A. X and an unusual set of five H2B variants, four of which are male germ cell-specific. We further confirm the absence of protamines in Hydractinia. Conclusions: Since no protamines are found in hydroids, we suggest that the novel H2B variants are pivotal for sperm DNA packaging in this class of Cnidaria. This study adds to the limited number of full histone gene complements available in animals and sets a comprehensive framework for future studies on the role of histones and their post-translational modifications in cnidarian epigenetics. Finally, it provides insight into the evolution of spermatogenesis.</t>
  </si>
  <si>
    <t>SEP 6</t>
  </si>
  <si>
    <t>10.1186/s13072-016-0085-1</t>
  </si>
  <si>
    <t>Grimson, A; Srivastava, M; Fahey, B; Woodcroft, BJ; Chiang, HR; King, N; Degnan, BM; Rokhsar, DS; Bartel, DP</t>
  </si>
  <si>
    <t>Early origins and evolution of microRNAs and Piwi-interacting RNAs in animals</t>
  </si>
  <si>
    <t>NATURE</t>
  </si>
  <si>
    <t>In bilaterian animals, such as humans, flies and worms, hundreds of microRNAs ( miRNAs), some conserved throughout bilaterian evolution, collectively regulate a substantial fraction of the transcriptome. In addition to miRNAs, other bilaterian small RNAs, known as Piwi- interacting RNAs (piRNAs), protect the genome from transposons. Here we identify small RNAs from animal phyla that diverged before the emergence of the Bilateria. The cnidarian Nematostella vectensis ( starlet sea anemone), a close relative to the Bilateria, possesses an extensive repertoire of miRNA genes, two classes of piRNAs and a complement of proteins specific to small- RNA biology comparable to that of humans. The poriferan Amphimedon queenslandica ( sponge), one of the simplest animals and a distant relative of the Bilateria, also possesses miRNAs, both classes of piRNAs and a full complement of the small- RNA machinery. Animal miRNA evolution seems to have been relatively dynamic, with precursor sizes and mature miRNA sequences differing greatly between poriferans, cnidarians and bilaterians. Nonetheless, miRNAs and piRNAs have been available as classes of riboregulators to shape gene expression throughout the evolution and radiation of animal phyla.</t>
  </si>
  <si>
    <t>OCT 30</t>
  </si>
  <si>
    <t>10.1038/nature07415</t>
  </si>
  <si>
    <t>Zheng, YS; Wang, P; Guo, Y; Bai, LR; Yu, DH; Zhao, S</t>
  </si>
  <si>
    <t>Comparative transcriptome analysis reveals immune-related genes involved in allograft and xenograft transplantation in Pinctada fucata</t>
  </si>
  <si>
    <t>Background: The marine pearl culture industry is a key industry in the Beibu Gulf of China that achieves large-scale pearl production by artificial nucleus insertion in pearls. High-quality pearls can produced by xenotransplantation, but allotransplantation or xenotransplantation can lead to various immune responses, resulting in nucleus rejection or even the recipient shell death and thereby causing significant losses in pearl production. Methods: Few studies have investigated the immune defenses of oysters related to allografts and xenografts. In this study, transcriptomic comparisons of allograft and xenograft Pinctada fucata haemocytes were conducted to identify genes associated with immune responses. Results: A total of 33.11 Gbp of clean reads were generated from five P. fucata haemocytes. De-novo assembly of quality-filtered reads generated a total of 26,526 unigenes, with 22,002 known genes and 4,524 predicted novel genes. In addition, 34,904 novel transcripts were detected, with 15,620 novel alternative splicing isoforms of known protein coding genes and 4,605 belonging to novel protein coding genes, with the remaining 14,679 comprising long non-coding RNA transcripts. Functional enrichment analysis of immune-related differentially expressed genes (DEGs) using the Gene Ontology (GO) and Kyoto Encyclopedia of Genes and Genomes (KEGG) databases revealed 36-44 significantly enriched GO terms and 34 significantly enriched KEGG pathways. Ten DEGs were subjected to validation of expression levels using RT-q PCR analysis, revealing generally consistent values as the high-throughput sequencing data. Conclusion: Oyster haemocytes were comprehensively evaluated in this study using transcriptomic comparisons and with a focus on immune-related functional genes and pathways. The results revealed numerous DEGs related to immune function that can serve as the basis for subsequent immune response analysis of allotransplantation and xenotransplantation.</t>
  </si>
  <si>
    <t>APR 17</t>
  </si>
  <si>
    <t>10.3389/fmars.2024.1362078</t>
  </si>
  <si>
    <t>Yévenes, M; Gallardo-Escárate, C; Gajardo, G</t>
  </si>
  <si>
    <t>Epigenetic variation mediated by lncRNAs accounts for adaptive genomic differentiation of the endemic blue mussel Mytilus chilensis</t>
  </si>
  <si>
    <t>HELIYON</t>
  </si>
  <si>
    <t>Epigenetic variation affects gene expression without altering the underlying DNA sequence of genes controlling ecologically relevant phenotypes through different mechanisms, one of which is long non-coding RNAs (lncRNAs). This study identified and evaluated the gene expression of lncRNAs in the gill and mantle tissues of Mytilus chilensis individuals from two ecologically different sites: Cocham ' o (41 degrees S) and Yaldad (43 degrees S), southern Chile, both impacted by climaticrelated conditions and by mussel farming given their use as seedbeds. Sequences identified as lncRNAs exhibited tissue-specific differences, mapping to 3.54 % of the gill transcriptome and 1.96 % of the mantle transcriptome, representing an average of 2.76 % of the whole transcriptome. Using a high fold change value (&gt;=|100|), we identified 43 and 47 differentially expressed lncRNAs (DE-lncRNAs) in the gill and mantle tissue of individuals sampled from Cocham ' o and 21 and 17 in the gill and mantle tissue of individuals sampled from Yaldad. Location-specific DE-lncRNAs were also detected in Cocham ' o (65) and Yaldad (94) samples. Via analysis of the differential expression of neighboring protein-coding genes, we identified enriched GO terms related to metabolic, genetic, and environmental information processing and immune system functions, reflecting how the impact of local ecological conditions may influence the M. chilensis (epi)genome expression. These DE-lncRNAs represent complementary biomarkers to DNA sequence variation for maintaining adaptive differences and phenotypic plasticity to cope with natural and human-driven perturbations.</t>
  </si>
  <si>
    <t>10.1016/j.heliyon.2023.e23695</t>
  </si>
  <si>
    <t>Ren, Y; Yu, LH</t>
  </si>
  <si>
    <t>MiR-195 Regulated by NEAT1 Attenuates the Docetaxel Resistance and Metastasis of Prostate Cancer Cells through Downregulating USP22</t>
  </si>
  <si>
    <t>JOURNAL OF BIOLOGICAL REGULATORS AND HOMEOSTATIC AGENTS</t>
  </si>
  <si>
    <t>Background: Currently, some patients with prostate cancer (PC) may develop resistance to docetaxel chemotherapy. Consider-ing the reported regulatory effects of microRNA (miR)-195 and nuclear-enriched abundant transcript 1 (NEAT1) on the docetaxel resistance of PC cells, their interaction is discussed in this study.Methods: Docetaxel-resistant prostate cancer cells were established by long-term docetaxel stimulation. The upstream and down-stream targets of miR-195 in PC cells were predicted and verified by bioinformatics analysis and dual-luciferase reporter assay. PC cells transfected with miR-195 inhibitor, shNEAT1, miR-195 mimic, or ubiquitin-specific protease 22 (USP22) overexpression plasmid, were treated with docetaxel. MTT assay, Transwell assay, and flow cytometry were used to determine the malignant behavior of PC cells and the half maximal inhibitory concentration (IC50) of docetaxel. Real-time quantitative PCR and western blot were used to quantify the expressions of NEAT1/miR-195/USP22 axis-related and metastasis-related factors.Results: MiR-195 was lowly expressed, while NEAT1 and USP22 were highly expressed in PC cells. Also, miR-195, while being sponged by NEAT1, could target USP22. MiR-195 mimic decreased the IC50 of docetaxel, migration, invasion, and the expres-sions of USP22, N-cadherin, and vimentin, while enhancing apoptosis and E-cadherin expression in docetaxel-resistant PC cells. USP22 overexpression increased the IC50 of docetaxel, migration and invasion, and reversed the regulatory effects of miR-195 mimic.Conclusions: MiR-195, modulated by NEAT1, attenuates docetaxel resistance and metastasis of PC cells by downregulating USP22.</t>
  </si>
  <si>
    <t>10.23812/j.biol.regul.homeost.agents.20223604.106</t>
  </si>
  <si>
    <t>Ma, XZ; He, K; Shi, ZM; Li, MZ; Li, F; Chen, XX</t>
  </si>
  <si>
    <t>Large-Scale Annotation and Evolution Analysis of MiRNA in Insects</t>
  </si>
  <si>
    <t>Insects are among the most diverse and successful groups of animals and exhibit great morphological diversity and complexity. The innovation of wings and metamorphosis are some examples of the fascinating biological evolution of insects. Most microRNAs (miRNAs) contribute to canalization by conferring robustness to gene networks and thus increase the heritability of important phenotypes. Though previous studies have demonstrated how miRNAs regulate important phenotypes, little is still known about miRNA evolution in insects. Here, we used both small RNA-seq data and homology searching methods to annotate the miRNA repertoires of 152 arthropod species, including 135 insects and 17 noninsect arthropods. We identified 16,212 miRNA genes, and classified them into highly conserved (62), insect-conserved (90), and lineage-specific (354) miRNA families. The phylogenetic relationship of miRNA binary presence/absence dynamics implies that homoplastic loss of conserved miRNA families tends to occur in far-related morphologically simplified taxa, including scale insects (Coccoidea) and twisted-wing insects (Strepsiptera), leading to inconsistent phylogenetic tree reconstruction. The common ancestor of Insecta shares 62 conserved miRNA families, of which five were rapidly gained in the early winged-insects (Pterygota). We also detected extensive miRNA losses in Paraneoptera that are correlated with morphological reduction, and miRNA gains in early Endopterygota around the time holometabolous metamorphosis appeared. This was followed by abundant miRNA gains in Hymenoptera and Lepidoptera. In summary, we provide a comprehensive data set and a detailed evolutionary analysis of miRNAs in insects. These data will be important for future studies on miRNA functions associated with insect morphological innovation and trait biodiversity.</t>
  </si>
  <si>
    <t>10.1093/gbe/evab083</t>
  </si>
  <si>
    <t>Gottesfeld, JM; Belitsky, JM; Melander, C; Dervan, PB; Luger, K</t>
  </si>
  <si>
    <t>Blocking transcription through a nucleosome with synthetic DNA ligands</t>
  </si>
  <si>
    <t>JOURNAL OF MOLECULAR BIOLOGY</t>
  </si>
  <si>
    <t>Pyrrole-imidazole (Py-Im) polyamides. are synthetic ligands that bind in the minor groove of DNA. Previous studies have established that sites on nucleosomal DNA facing away from the histone octamer, or even partially facing the histone octamer, are fully accessible for molecular recognition by Py-Im polyamides, and that nucleosomes remain fully folded upon ligand binding. Two polyamides that bind within the sea urchin 5 S gene nucleosome positioning sequence inhibit both heat-induced nucleosome sliding and transcription by bacteriophage T7 RNA polymerase from the nucleosomal template, but not from histone-free DNA. These polyamides prevent repositioning of the histone octamer by RNA polymerase, and thereby inhibit passage of the elongating polymerase through nucleosomal DNA. These results establish unambiguously the requirement for octamer mobility for transcription of nucleosomal templates by T7 RNA polymerase. (C) 2002 Elsevier Science Ltd. All rights reserved.</t>
  </si>
  <si>
    <t>10.1016/S0022-2836(02)00598-3</t>
  </si>
  <si>
    <t>Toma, MA; Liu, Z; Wang, QZ; Zhang, LT; Li, DQ; Sommar, P; Landén, NX</t>
  </si>
  <si>
    <t>Circular RNA Signatures of Human Healing and Nonhealing Wounds</t>
  </si>
  <si>
    <t>JOURNAL OF INVESTIGATIVE DERMATOLOGY</t>
  </si>
  <si>
    <t>Venous ulcers (VUs) have complex and obscure pathogenicity, and effective VU therapies are still lacking. Circular RNAs (circRNAs) have emerged as powerful gene regulators with important roles in health and disease. In this study, we used paired total RNA and small RNA sequencing to profile circRNAs, protein-coding mRNAs, and microRNAs expression in a unique collection of clinical samples: healthy skin and acute wounds at inflammatory and proliferative phases and wound-edge VU biopsies. We unravel a dynamically changed expression pattern of circRNAs during human skin repair and their abnormal expression signature in VU, which are presented as a searchable web resource (www.xulandenlab.com/humanwounds-circrna). We analyzed the coexpression relationship between the circRNAs and mRNAs with weighted correlation network analysis and constructed circRNA.mRNA.microRNA networks. This allowed us to expose the regulatory networks specific to the inflammatory and proliferative phases of wound repair and VU, the biological processes the circRNAs may regulate, and the circRNAs that could sponge microRNAs in human wounds. Importantly, we found that hsa-CHST15_0003 and hsa-TNFRSF21_0001, two circRNAs upregulated in VU, hampered epidermal keratinocyte migration while promoting proliferation by modulating gene networks underpinning these cellular processes. This study paves the way to decipher the functional significance of circRNAs in tissue repair.</t>
  </si>
  <si>
    <t>10.1016/j.jid.2022.03.024</t>
  </si>
  <si>
    <t>Radashevsky, VI; Malyar, VV; Pankova, VV</t>
  </si>
  <si>
    <t>Cryptic invasions of Pseudopolydora (Annelida: Spionidae), with description of a new species from Queensland, Australia</t>
  </si>
  <si>
    <t>During surveys worldwide, we collected adult and larval specimens of Pseudopolydora Czerniavsky, 1881 similar to P. achaeta Radashevsky &amp; Hsieh, 2000 and P. rosebelae Radashevsky &amp; Migotto, 2009 far from their type localities in Taiwan and Brazil, respectively. Analysis of sequence data of five gene fragments: mitochondrial COI and 16S rDNA, nuclear 18S rDNA and 28S rDNA, and Histone 3 (3114 bp in total) of individuals from Nha Trang Bay (Vietnam), S &amp; atilde;o Paulo (Brazil), Florida (USA), and the Caribbean Sea (Martinique) confirmed their conspecificity with P. achaeta from Taiwan. Based on the morphology, we also report this species for the first time for the East Sea (South Korea) and provide new records for the north-western part of the Sea of Japan (Russia). The analysis also showed the conspecificity of worms from Vietnam with P. rosebelae from Brazil. Based on the morphology, we also report P. rosebelae for the first time for the Caribbean Sea (Belize), South China Sea (Thailand), and Hawaii. Developed pelagic larvae of P. achaeta and P. rosebelae from Nha Trang Bay are described and illustrated. A worm from the Great Barrier Reef (Queensland, Australia) earlier identified as P. cf. rosebelae, is referred to the new species Pseudopolydora nivea sp. nov. Following our earlier hypothesis about the origin of Pseudopolydora in the Indo-West Pacific Ocean, we explain the occurrence of these worms, including Pseudopolydora floridensis Delgado-Blas, 2008, on the Atlantic coasts of North and South America by unintentional transportation in ballast water, followed by successful invasions. We assume that the penetration of warm waters of the East China Sea through the Korea Strait and the warming of the waters of the Sea of Japan have led to the extension of the range of tropical-subtropical P. achaeta to the north-western part of the Sea of Japan.</t>
  </si>
  <si>
    <t>JUL 25</t>
  </si>
  <si>
    <t>10.11646/zootaxa.5486.2.3</t>
  </si>
  <si>
    <t>Zheng, X; Li, XH; Qi, RC; Li, ZY; Liao, QL; Pan, LQ</t>
  </si>
  <si>
    <t>Mechanism of reproductive toxicity of BHT on male Ruditapes philippinarum: epigenetic-testis development and oxidative damage-cell death</t>
  </si>
  <si>
    <t>Synthetic phenolic antioxidants (SPAs) are widely utilized in industrial production and consumer goods owing to their excellent antioxidant properties. However, their potential for multiple toxic effects, coupled with the increasing levels of environmental pollution, has heightened public concern. Currently, there is a relative scarcity of study on the reproductive toxicology of SPAs in hydrobios, with a particular dearth of studies in invertebrates. This study investigates the reproductive toxicity of the typical SPAs butylhydroxytoluene (BHT) in male clams Ruditapes philippinarum across distinct breeding period. The finding show that,the processes of meiosis and spermatogenesis were inhibited, leading to a decreased number of mature sperm and a reduced gonad index. Furthermore, an increase in reactive oxygen species (ROS) content was observed in the testes under BHT stress, causing biomacromolecular damage. BHT induces different types of cell death processes in testis cells, thereby damaging sperm development.Ultimately, this investigation clarifies the molecular basis for reproductive toxicity caused by BHT in invertebrates living in water. The research specifically analyzed contributing factors including endocrine disruption, epigenetic effects, and oxidative stress. The experimental results provide valuable data support for marine shellfish germplasm conservation and marine SPAs pollution detection.</t>
  </si>
  <si>
    <t>10.1016/j.aquatox.2025.107590</t>
  </si>
  <si>
    <t>Song, JL; Stoeckius, M; Maaskola, J; Friedländer, MR; Stepicheva, N; Juliano, C; Lebedeva, S; Thompson, W; Rajewsky, N; Wessel, GM</t>
  </si>
  <si>
    <t>Select microRNAs are essential for early development in the sea urchin</t>
  </si>
  <si>
    <t>DEVELOPMENTAL BIOLOGY</t>
  </si>
  <si>
    <t>microRNAs (miRNAs) are small noncoding RNAs that mediate post-transcriptional gene regulation and have emerged as essential regulators of many developmental events. The transcriptional network during early embryogenesis of the purple sea urchin, Strongylocentrotus purpuratus, is well described and can serve as an excellent model to test functional contributions of miRNAs in embryogenesis. We examined the loss of function phenotypes of major components of the miRNA biogenesis pathway. Inhibition of de novo synthesis of Drosha and Dicer in the embryo led to consistent developmental defects, a failure to gastrulate, and embryonic lethality, including changes in the steady state levels of transcription factors and signaling molecules involved in germ layer specification. We annotated and profiled small RNA expression from the ovary and several early embryonic stages by deep sequencing followed by computational analysis. miRNAs as well as a large population of putative piRNAs (piwi-interacting RNAs) had dynamic accumulation profiles through early development. Defects in morphogenesis caused by loss of Drosha could be rescued with four miRNAs. Taken together our results indicate that post-transcriptional gene regulation directed by miRNAs is functionally important for early embryogenesis and is an integral part of the early embryonic gene regulatory network in S. purpuratus. (C) 2011 Elsevier Inc. All rights reserved.</t>
  </si>
  <si>
    <t>10.1016/j.ydbio.2011.11.015</t>
  </si>
  <si>
    <t>Cavalieri, V; Melfi, R; Spinelli, G</t>
  </si>
  <si>
    <t>Promoter activity of the sea urchin (Paracentrotus lividus) nucleosomal H3 and H2A and linker H1 α-histone genes is modulated by enhancer and chromatin insulator</t>
  </si>
  <si>
    <t>Core promoters and chromatin insulators are key regulatory elements that may direct a transcriptional enhancer to prefer a specific promoter in complex genetic loci. Enhancer and insulator flank the sea urchin (Paracentrotus lividus) alpha-histone H2A transcription unit in a tandem repeated cluster containing the five histone genes. This article deals with the specificity of interaction between the H2A enhancer-bound MBF-1 activator and histone gene promoters, and with the mechanism that leads the H1 transcripts to peak at about one-third of the value for nucleosomal H3 and H2A mRNAs. To this end, in vivo competition assays of enhancer and insulator functions were performed. Our evidence suggests that the MBF-1 transcription factor participates also in the expression of the H3 gene and that the sns5 insulator buffers the downstream H1 promoter from the H2A enhancer. Altogether, these results provide a clear demonstration of the enhancer-blocking function of a chromatin insulator in a natural gene context. In addition, they suggest that both the H2A enhancer and the sns5 insulator may account for the diverse accumulation of the linker H1 versus the core nucleosomal histones during early development of the sea urchin embryo.</t>
  </si>
  <si>
    <t>10.1093/nar/gkp859</t>
  </si>
  <si>
    <t>Moran, Y; Fredman, D; Praher, D; Li, XZ; Wee, LM; Rentzsch, F; Zamore, PD; Technau, U; Seitz, H</t>
  </si>
  <si>
    <t>Cnidarian microRNAs frequently regulate targets by cleavage</t>
  </si>
  <si>
    <t>GENOME RESEARCH</t>
  </si>
  <si>
    <t>In bilaterians, which comprise most of extant animals, microRNAs (miRNAs) regulate the majority of messenger RNAs (mRNAs) via base-pairing of a short sequence (the miRNA seed'') to the target, subsequently promoting translational inhibition and transcript instability. In plants, many miRNAs guide endonucleolytic cleavage of highly complementary targets. Because little is known about miRNA function in nonbilaterian animals, we investigated the repertoire and biological activity of miRNAs in the sea anemone Nematostella vectensis, a representative of Cnidaria, the sister phylum of Bilateria. Our work uncovers scores of novel miRNAs in Nematostella, increasing the total miRNA gene count to 87. Yet only a handful are conserved in corals and hydras, suggesting that microRNA gene turnover in Cnidaria greatly exceeds that of other metazoan groups. We further show that Nematostella miRNAs frequently direct the cleavage of their mRNA targets via nearly perfect complementarity. This mode of action resembles that of small interfering RNAs (siRNAs) and plant miRNAs. It appears to be common in Cnidaria, as several of the miRNA target sites are conserved among distantly related anemone species, and we also detected miRNA-directed cleavage in Hydra. Unlike in bilaterians, Nematostella miRNAs are commonly coexpressed with their target transcripts. In light of these findings, we propose that post-transcriptional regulation by miRNAs functions differently in Cnidaria and Bilateria. The similar, siRNA-like mode of action of miRNAs in Cnidaria and plants suggests that this may be an ancestral state.</t>
  </si>
  <si>
    <t>10.1101/gr.162503.113</t>
  </si>
  <si>
    <t>Krueger, Q; Phippen, B; Reitzel, A</t>
  </si>
  <si>
    <t>Antibiotics alter development and gene expression in the model cnidarian Nematostella vectensis</t>
  </si>
  <si>
    <t>Background . Antibiotics are commonly used for controlling microbial growth in diseased organisms. However, antibiotic treatments during early developmental stages can have negative impacts on development and physiology that could offset the positive effects of reducing or eliminating pathogens. Similarly, antibiotics can shift the microbial community due to differential effectiveness on resistant and susceptible bacteria. Though antibiotic application does not typically result in mortality of marine invertebrates, little is known about the developmental and transcriptional effects. These sublethal effects could reduce the fitness of the host organism and lead to negative changes after removal of the antibiotics. Here, we quantify the impact of antibiotic treatment on development, gene expression, and the culturable bacterial community of a model cnidarian, Nematostella vectensis . Methods . Ampicillin, streptomycin, rifampicin, and neomycin were compared individually at two concentrations, 50 and 200 mu g mL - 1 , and in combination at 50 mu g mL - 1 each, to assess their impact on N. vectensis . First, we determined the impact antibiotics have on larval development. Next Amplicon 16S rDNA gene sequencing was used to compare the culturable bacteria that persist after antibiotic treatment to determine how these treatments may differentially select against the native microbiome. Lastly, we determined how acute (3 -day) and chronic (8 -day) antibiotic treatments impact gene expression of adult anemones. Results . Under most exposures, the time of larval settlement extended as the concentration of antibiotics increased and had the longest delay of 3 days in the combination treatment. Culturable bacteria persisted through a majority of exposures where we identified 359 amplicon sequence variants (ASVs). The largest proportion of bacteria belonged to Gammaproteobacteria, and the most common ASVs were identified as Microbacterium and Vibrio . The acute antibiotic exposure resulted in differential expression of genes related to epigenetic mechanisms and neural processes, while constant application resulted in upregulation of chaperones and downregulation of mitochondrial genes when compared to controls. Gene Ontology analyses identified overall depletion of terms related to development and metabolism in both antibiotic treatments. Discussion . Antibiotics resulted in a significant increase to settlement time of N. vectensis larvae. Culturable bacterial species after antibiotic treatments were taxonomically diverse. Additionally, the transcriptional effects of antibiotics, and after their removal result in significant differences in gene expression that may impact the physiology of the anemone, which may include removal of bacterial signaling on anemone gene expression. Our research suggests that impacts of antibiotics beyond the reduction of bacteria may be important to consider when they are applied to aquatic invertebrates including reef building corals.</t>
  </si>
  <si>
    <t>MAY 20</t>
  </si>
  <si>
    <t>10.7717/peerj.17349</t>
  </si>
  <si>
    <t>Lin, JH; Huang, YQ; Liang, QY; He, XB</t>
  </si>
  <si>
    <t>A new species of a rarely encountered genus Sclerobregma Hartman, 1965 (Annelida, Scalibregmatidae) from the deep South China Sea</t>
  </si>
  <si>
    <t>In the present study, a new species of a rarely encountered genus Sclerobregma Hartman, 1965, Sclerobregma nanhaiensis sp. nov., is described based on specimens collected from slope depths of the northern South China Sea. It is characterized by the presence of branched branchiae and heavy acicular spines in the anterior chaetigers, and is morphologically distinct from the other species of the genus in the shape of the anterior margin of the prostomium, the number of neuropodia with nipple-like projections distally, and the segment annulation. Four gene fragments of the new species were sequenced, comprising 16S rRNA, 18S rRNA, 28S rRNA, and histone H3. This study represents the first report of Sclerobregma in the South China Sea.</t>
  </si>
  <si>
    <t>10.3897/zookeys.1236.149576</t>
  </si>
  <si>
    <t>Li, SJ; Xie, Y; Zhou, W; Zhou, Q; Tao, D; Yang, HN; Mao, KJ; Li, S; Lei, JY; Wu, YZ; Wang, Y</t>
  </si>
  <si>
    <t>Association of long noncoding RNA MALAT1 with the radiosensitivity of lung adenocarcinoma cells via the miR-140/PD-L1 axis</t>
  </si>
  <si>
    <t>Objective: To investigate the effect of MALAT1 on the modulating the radiosensitivity of lung adenocarcinoma, through regulation of the expression of the miR-140/PD-L1 axis.Methods: The online databases UALCAN and dbDEMC were searched for the MALAT1 and miR140 expressions in patients with lung adenocarcinoma (LUAD), respectively. Then analyze their relationship with overall survival rates separately in the UALCAN and ONCOMIR databases. A functional analysis was performed for A549 cells by transfecting small-interfering RNAs or corresponding plasmids after radiotherapy. Xenograft models of LUAD exposed to radiation were established to further observe the effects of MALAT1 on the radiosensitivity of LUAD. The luciferase assay and reverse transcription-polymerase chain reaction were performed to assess the interaction between miR-140 and MALAT1 or PD-L1.Results: MALAT1 were overexpressed in human LUAD tumor tissues and cell lines, while miR-140 were inhibited. MALAT1 knockdown or miR-140 increase suppressed cell proliferation and promoted cell apoptosis in LUAD after irradiation. LUAD xenograft tumor growth was also inhibited by MALAT1 knockdown combined with irradiation. miR-140 could directly bind with MALAT1 or PD-L1. Furthermore, MALAT1 knockdown inhibited PD-L1 mRNA and protein expressions by upregulating miR-140 in LUAD cells.Conclusion: MALAT1 may function as a sponge for miR-140a-3p to enhance the PD-L1 expression and decrease the radiosensitivity of LUAD. Our results suggest that MALAT1 might be a promising therapeutic target for the radiotherapy sensitization of LUAD.</t>
  </si>
  <si>
    <t>10.1016/j.heliyon.2023.e16868</t>
  </si>
  <si>
    <t>Sun, WM; Feng, JX</t>
  </si>
  <si>
    <t>Differential lncRNA expression profiles reveal the potential roles of lncRNAs in antiviral immune response of Crassostrea gigas</t>
  </si>
  <si>
    <t>Long noncoding RNAs (lncRNAs) may play widespread roles in various biological processes. However, systematic profiles of lncRNAs in the biological responses of Pacific Oyster (Crassostrea gigas) to pathogen infection have not yet been demonstrated. Here, we have conducted an exhaustive comparative transcriptome analysis using a bioinformatics approach to exam the functions of lncRNAs response to Ostreid herpesvirus 1 mu Var (OsHV-1 mu Var) challenge. In total, 101 differentially expressed lncRNAs (DE-lncRNA) during OsHV-1 mu Var infections were identified. Compared with differentially expressed mRNAs (DE-mRNA), DE-lncRNAs are shorter in terms of overall length but longer in terms of exon length. These lncRNAs shared similar characteristics with previously reported invertebrate lncRNAs, such as relatively low GC content, low exon number and low sequence conservation, but low expression level were not observed. 20 DE-lncRNAs are typically co-expressed with their neighboring genes annotated as GO terms (GO: 0044237), indicating that these lncRNAs are involved in binding and cellular process functions in cis mode. The weighted gene co-expression network (WGCNA) analysis resulted in 15 modules. The highlighted blue module was specifically demonstrated a co-expression relationship between 14 DE-lncRNAs and 17 immune-related DE-mRNAs (IR-DE-mRNA). Three hub lncRNAs within this module were co-expressed with one hub IR-DE-mRNA involved in fibrinogen-related protein. It was speculated that lncRNAs is extensively involved in oyster antiviral innate immune system. The present study will facilitate subsequently experimental studies to unravel the function of lncRNAs in marine invertebrate response to pathogen infection.</t>
  </si>
  <si>
    <t>10.1016/j.fsi.2018.07.032</t>
  </si>
  <si>
    <t>Arnott, M; Sampilo, NF; Song, JL</t>
  </si>
  <si>
    <t>Transcription of microRNAs is regulated by developmental signaling pathways and transcription factors</t>
  </si>
  <si>
    <t>In early embryonic development, the cross-regulation of transcription factors and signaling pathways are critical in mediating developmental and physiological processes. Additionally, many studies have shown the importance of post-transcriptional regulation of signaling and network components mediated by microRNAs (miRNAs); however, how miRNAs are transcriptionally regulated is poorly understood. miRNAs are critical fine-tuners of many biological processes and their dysregulation leads to a variety of diseases and developmental defects. Previously, we have shown that miRNAs are dynamically expressed throughout sea urchin development, suggesting that miRNAs are likely to be under transcriptional regulation. Here, we used pharmacological inhibitors, genetic constructs, and loss-of-function reagents to assess the impact of key signaling pathways (Wnt, Nodal, MAPK, Sonic Hedgehog, Delta/Notch, VEGF, and BMP) and transcription factors (Alx1, Ets1/2, and Tbr) on the transcript levels of the evolutionarily conserved miR-1, miR-31, miR-92 and miR-124; the invertebrate-specific miR-71; and the echinoderm-specific miR-2002, miR-2007, and miR-2012. We also used computational methods to identify potential transcription factor binding sites of these miRNAs. Lists of binding motifs for transcription factors (TFs) were acquired from the MEME-Suite Motif Database and used as inputs for the algorithm FIMO (Find Individual Motif Occurrences), which detects short nucleotide motifs within larger sequences. Based on experimental data on miRNA expression in conjunction with bioinformatic predictions, we propose that the transcription factors Tbr, Alx1, and Ets1 regulate SpmiR-1, SpmiR-31, and SpmiR-71, respectively. We additionally observed significant effects on miRNA levels as a result of perturbations to Wnt, Nodal, MAPK, and Sonic Hedgehog signaling pathways, while no significant change on miRNA levels were observed with perturbations to Delta/Notch, VEGF, or BMP signaling pathways. Overall, this study provides insights into the transcriptional regulation of miRNAs by signaling pathways and transcription factors and contribute to our overall understanding of the genetic regulation of developmental processes.</t>
  </si>
  <si>
    <t>APR 24</t>
  </si>
  <si>
    <t>10.3389/fcell.2024.1356589</t>
  </si>
  <si>
    <t>Zhang, QL; Dong, ZX; Xiong, Y; Li, HW; Guo, J; Wang, F; Deng, XY; Chen, JY; Lin, LB</t>
  </si>
  <si>
    <t>Genome-wide transcriptional response of microRNAs to the benzo(a) pyrene stress in amphioxus Branchiostoma belcheri</t>
  </si>
  <si>
    <t>Amphioxus, a cephalochordate found in sand habitats in shallow in-shore seawaters, has been widely used as a model in comparative immunology of chordates. However, the role of microRNAs (miRNAs) in amphioxus under abiotic stress, particularly xenobiotics with strong toxicity, remains largely unknown. Here, a widespread marine contaminant, benzo(a)pyrene (BaP) is used to evaluate its toxic effects on miRNA expression of amphioxus. Six small RNA libraries were sequenced from Branchiostoma belcheri. A total of 144 known and 157 novel miRNAs were identified using deep sequencing and bioinformatics approaches. A total of 58 differentially expressed miRNAs (DEMs) were screened, including 25 up- and 33 down-regulated DEMs under BaP stress. Target genes possibly regulated by DEMs were predicted, and their functional enrichment analyses were performed. Targets of DEMs are primarily involved in xenobiotic and cellular homeostasis, catabolic and transport process. They could be largely linked to nine immune- and toxin detoxification-related pathways, including metabolism of xenobiotics by cytochrome P450, drug metabolism-other enzymes, and drug metabolism-cytochrome P450, etc. Furthermore, quantitative real-time PCR (qRT-PCR) analysis for 12 key BaP-responsive DEMs validates the accuracy of deep sequencing. Experiments were then conducted to investigate their expression responses to BaP stress at different time intervals in detail to further determine their expression dynamic in responses of B. belcheri towards BaP exposure. This study, to the best of our knowledge, investigates the regulatory roles of miRNAs in the toxicological response of amphioxus for the first time, providing valuable information for the protection of lone existing cephalochordate amphioxus. (C) 2018 Elsevier Ltd. All rights reserved.</t>
  </si>
  <si>
    <t>10.1016/j.chemosphere.2018.11.119</t>
  </si>
  <si>
    <t>Hsiao, CJ; Ho, YF; Hsu, J; Chang, WL; Chen, YC; Shen, YC; Lyu, PC; Guh, JH</t>
  </si>
  <si>
    <t>Mana-Hox displays anticancer activity against prostate cancer cells through tubulin depolymerization and DNA damage stress</t>
  </si>
  <si>
    <t>NAUNYN-SCHMIEDEBERGS ARCHIVES OF PHARMACOLOGY</t>
  </si>
  <si>
    <t>Tubulin and deoxyribonucleic acid (DNA) are two potential targets for the development of cancer chemotherapeutic agents. Mana-Hox is a synthetic derivative of beta-carboline, a structure relevant to marine sponge component, manzamine. In this study, Mana-Hox induced an inhibition of cell proliferation in several types of human cancer cell lines, including androgen-independent prostate cancer PC-3 and DU-145, hepatocellular carcinoma Hep3B and HepG2, and colorectal cancer HT-29 cells. The p53-null PC-3 cells were used for to anticancer mechanisms. Mana-Hox stimulated an increase of ataxia telangiectasia mutated (ATM) phosphorylation on Ser-1981, indicating the induction of DNA double-strand breaks. It also displayed an inhibitory effect on tubulin polymerization using tubulin turbidity assay and immunofluorescence identification. However, it only showed a minor inhibition on the activity of Aurora kinase and histone deacetylase. Mana-Hox induced mitotic arrest of the cell cycle identified by downregulation of cyclin E, cyclin A, and cyclin-dependent kinase 2 (Cdk2) and an increase of MPM-2 expression. Next, it caused Bcl-2 phosphorylation on Ser-70, downregulation of Mcl-1 expression, and activation of caspase-3, leading to apoptotic cell death. Notably, Mana-Hox was not a P-glycoprotein (P-gp) substrate and showed equipotent activity against P-gp-rich cancer cells. We conclude that Mana-Hox induces dual effects on DNA damage and tubulin depolymerization, leading to mitotic arrest and activation of mitochondria-mediated apoptotic pathways. Data provide evidence that the anticancer strategy of dual-action targets could be a potential anticancer approach.</t>
  </si>
  <si>
    <t>10.1007/s00210-008-0330-7</t>
  </si>
  <si>
    <t>Lister, NC; Milton, AM; Hanrahan, BJ; Waters, PD</t>
  </si>
  <si>
    <t>Between the Devil and the Deep Blue Sea: Non-Coding RNAs Associated with Transmissible Cancers in Tasmanian Devil, Domestic Dog and Bivalves</t>
  </si>
  <si>
    <t>NON-CODING RNA</t>
  </si>
  <si>
    <t>Currently there are nine known examples of transmissible cancers in nature. They have been observed in domestic dog, Tasmanian devil, and six bivalve species. These tumours can overcome host immune defences and spread to other members of the same species. Non-coding RNAs (ncRNAs) are known to play roles in tumorigenesis and immune system evasion. Despite their potential importance in transmissible cancers, there have been no studies on ncRNA function in this context to date. Here, we present possible applications of the CRISPR/Cas system to study the RNA biology of transmissible cancers. Specifically, we explore how ncRNAs may play a role in the immortality and immune evasion ability of these tumours.</t>
  </si>
  <si>
    <t>10.3390/ncrna7040072</t>
  </si>
  <si>
    <t>Li, CH; Zhao, MR; Zhang, C; Zhang, WW; Zhao, XL; Duan, XM; Xu, W</t>
  </si>
  <si>
    <t>miR210 modulates respiratory burst in Apostichopus japonicus coelomocytes via targeting Toll-like receptor</t>
  </si>
  <si>
    <t>Immune responses of species in Echinodermata remains mysterious due to the lack of efforts made in the study of host defense mechanism in these species. More researches start focusing on this ancient immune system with the recognition the economic values of several species in this phylum, especially sea cucumbers. Here, we reported a study in the innate immunity of a sea cucumber species (Apostichopus japonicus) in response to infection of Vibrio splendidus. A novel differential expressed miRNA (miR-210) from the diseased sea cucumber coelomocytes was identified in our study. This miRNA molecule modulates Toll-like receptor gene (AjToll) expression via binding 3'UTR region from 906 nt to 930 nt. Upon the challenge of V. splendidus, coelomocytes in A. japonicas demonstrated a upregulation of AjToll but a downregulation of miR-210. Transfection of miR-210 agomirs in coelomocytes significantly depressed the expression of AjToll in cells. As a result of AjToll expression inhibition by miR-210, the AjToll downstream molecules involved in reactive oxygen species (ROS) were also altered in vivo. This ROS pathway alternation was consistent with that caused by knockdown of AjToll through small inference RNA (siRNA). Taken together, the results of this study demonstrated a novel immune regulatory pathway via miRN-210 in A. japonica, which provides basic knowledge in exploring innate immunity of Echinodermata, and also can be reference in disease control in sea cucumber culture industry. (C) 2016 Elsevier Ltd. All rights reserved.</t>
  </si>
  <si>
    <t>10.1016/j.dci.2016.08.008</t>
  </si>
  <si>
    <t>Li, M; Huang, Q; Lv, XY; Small, HJ; Li, CW</t>
  </si>
  <si>
    <t>Integrative omics analysis highlights the immunomodulatory effects of the parasitic dinoflagellate hhematodinium on crustacean hemocytes</t>
  </si>
  <si>
    <t>Parasitic dinoflagellates in genus Hematodinium have caused substantial economic losses to multiple commercially valuable marine crustaceans around the world. Recent efforts to better understand the life cycle and biology of the parasite have improved our understanding of the disease ecology. However, studies on the hostparasite interaction, especially how Hematodinium parasites evade the host immune response are lacking. To address this shortfall, we used the comprehensive omics approaches (miRNA transcriptomics, iTRAQ-based proteomics) to get insights into the host-parasite interaction between hemocytes from Portunus trituberculatus and Hematodinium perezi in the present study. The parasitic dinoflagellate H. perezi remodeled the miRNome and proteome of hemocytes from challenged hosts, modulated the host immune response at both post-transcriptional and translational levels and caused post-transcriptional regulation to the host immune response. Multiple important cellular and humoral immune-related pathways (ex. Apoptosis, Endocytosis, ECM-receptor interaction, proPO activation pathway, Toll-like signaling pathway, Jak-STAT signaling pathway) were significantly affected by Hematodinium parasites. Through modulation of the host miRNome, the host immune responses of nodulation, proPO activation and antimicrobial peptides were significantly suppressed. Cellular homeostasis was imbalanced via post-transcriptional dysregulation of the phagosome and peroxisome pathways. Cellular structure and communication was seriously impacted by post-transcriptional downregulation of ECM-receptor interaction and focal adhesion pathways. In conclusion, H. perezi parasites could trigger striking changes in the miRNome and proteome of crustacean hemocytes, and this parasite exhibited multifaceted immunomodulatory effects and potential immune-suppressive mechanisms in crustacean hosts.</t>
  </si>
  <si>
    <t>10.1016/j.fsi.2022.04.050</t>
  </si>
  <si>
    <t>Singh, T; Sakai, K; Ishida-Castaneda, J; Iguchi, A</t>
  </si>
  <si>
    <t>Short-term improvement of heat tolerance in naturally growing Acropora corals in Okinawa</t>
  </si>
  <si>
    <t>Mass bleaching and subsequent mortality of reef corals by heat stress has increased globally since the late 20th century, due to global warming. Some experimental studies have reported that corals may increase heat tolerance for short periods, but only a few such studies have monitored naturally-growing colonies. Therefore, we monitored the survival, growth, and bleaching status of Acropora corals in fixed plots by distinguishing individual colonies on a heat-sensitive reef flat in Okinawa, Japan. The level of heat stress, assessed by the modified version of degree heating week duration in July and August, when the seawater temperature was the highest, was minimally but significantly higher in 2017 than in 2016; however, the same colonies exhibited less bleaching and mortality in 2017 than in 2016. Another study conducted at the same site showed that the dominant unicellular endosymbiotic algal species did not change before and after the 2016 bleaching, indicating that shifting and switching of the Symbiodiniaceae community did not contribute to improved heat tolerance. Colonies that suffered from partial mortality in 2016 were completely bleached at higher rates in 2017 than those without partial mortality in 2016. The present results suggest that either genetic or epigenetic changes in coral hosts and/or algal symbionts, or the shifting or switching of microbes other than endosymbionts, may have improved coral holobiont heat tolerance.</t>
  </si>
  <si>
    <t>10.7717/peerj.14629</t>
  </si>
  <si>
    <t>Schreiber, K; Hauffe, T; Albrecht, C; Wilke, T</t>
  </si>
  <si>
    <t>The role of barriers and gradients in differentiation processes of pyrgulinid microgastropods of Lake Ohrid</t>
  </si>
  <si>
    <t>HYDROBIOLOGIA</t>
  </si>
  <si>
    <t>Ancient Lake Ohrid is characterized by vertical (bathymetrical) zones within the lake, presumably promoting allopatric speciation due to barriers or parapatric speciation along gradients. Examples within the lake include the belt of Chara algae as well as the shell zone, both presumably impeding migrations of benthic invertebrates. Three potential cases of vertical differentiation leading to distinct depth forms have been reported for the gastropod subfamily Pyrgulinae (Caenogastropoda: Hydrobiidae): Ginaia munda ssp., Macedopyrgula spp. and Ochridopyrgula macedonica ssp. Based on DNA data of the COI gene from a total of 145 specimens, this article aims at investigating the vertical differentiation within these depth forms and thus patterns of speciation in Lake Ohrid. An initial morphometric analysis showed a clear correlation of shell shape and collecting depth for Ginaia munda ssp. and Macedopyrgula spp. This morphological trend is largely reflected in the genetic structure of the respective taxa. The data presented here indicate the existence of strong gradients of abiotic and biotic factors in Lake Ohrid rather than distinct barriers. Therefore, parapatric speciation may be the predominant form of differentiation of benthic invertebrates in the lake. Incomplete lineage sorting, hybridization and phenotypic plasticity possibly caused by epigenetic mechanisms are discussed as possible reasons for the incongruence between geno- and phenotype observed in few specimens of Ginaia munda ssp. and Macedopyrgula spp. For the third taxon, Ochridopyrgula macedonica ssp., morphometric and genetic analyses revealed only weak support for the previously proposed depth forms. However, a horizontal differentiation of lake and spring populations was revealed instead, and parapatric and allopatric differentiations are discussed in this taxon.</t>
  </si>
  <si>
    <t>10.1007/s10750-011-0864-4</t>
  </si>
  <si>
    <t>Masullo, T; Biondo, G; Di Natale, M; Tagliavia, M; Bennici, CD; Musco, M; Ragusa, MA; Costa, S; Cuttitta, A; Nicosia, A</t>
  </si>
  <si>
    <t>Gene Expression Changes after Parental Exposure to Metals in the Sea Urchin Affect Timing of Genetic Programme of Embryo Development</t>
  </si>
  <si>
    <t>Simple Summary Intergenerational and transgenerational effects, in which exposure to stressors in a parental generation affects the phenotype of the offspring have been connected to anthropic impacts on biological systems. Therefore, environmental stress experienced inside a generation, particularly during gametogenesis, may lead to erroneous patterns in their offspring just emerging at early developmental stages. In this scenario, the sea urchin embryo represents a suitable model for integrating analyses of gene expression through embryogenesis with developmental alteration induced by environmental stressors. Herein we provide pieces of evidence for the alteration of the gene regulatory networks modulating embryo development after parental conditioning via non-lethal metal exposure. We show that the parentals' conditioning does not affect viability but significantly impairs the developmental fate of the progeny and regulatory network across a generation. It is reasonable to suppose that changes in Paracentrotus lividus gonads may modify the expression of regulatory genes modulating synthesis and/or accumulation of maternal determinants, which, in turn, impaired the zygotic activation of GRNs responsible for proper embryo development. It is widely accepted that phenotypic traits can be modulated at the epigenetic level so that some conditions can affect the progeny of exposed individuals. To assess if the exposure of adult animals could result in effects on the offspring, the Mediterranean sea urchin and its well-characterized gene regulatory networks (GRNs) was chosen as a model. Adult animals were exposed to known concentrations of zinc and cadmium (both individually and in combination) for 10 days, and the resulting embryos were followed during the development. The oxidative stress occurring in parental gonads, embryo phenotypes and mortality, and the expression level of a set of selected genes, including members of the skeletogenic and endodermal GRNs, were evaluated. Increased oxidative stress at F-0, high rates of developmental aberration with impaired gastrulation, in association to deregulation of genes involved in skeletogenesis (dri, hex, sm50, p16, p19, msp130), endodermal specification (foxa, hox11/13b, wnt8) and epigenetic regulation (kat2A, hdac1, ehmt2, phf8 and UBE2a) occurred either at 24 or 48 hpf. Results strongly indicate that exposure to environmental pollutants can affect not only directly challenged animals but also their progeny (at least F-1), influencing optimal timing of genetic programme of embryo development, resulting in an overall impairment of developmental success.</t>
  </si>
  <si>
    <t>10.3390/biology10020103</t>
  </si>
  <si>
    <t>Li, R; Wang, X; Meng, QH; Ren, LQ; Weng, JY; Wang, S; Sun, JS</t>
  </si>
  <si>
    <t>Characterization and differential expression of microRNA in the freshwater shrimp (Neocaridina heteropoda) with different body length</t>
  </si>
  <si>
    <t>INVERTEBRATE REPRODUCTION &amp; DEVELOPMENT</t>
  </si>
  <si>
    <t>MicroRNAs (miRNAs) are a class of small non-coding RNAs which promote mRNA degradation and inhibit mRNA translation. Through post-transcriptional regulation, microRNAs (miRNAs) play a significant role in regulating growth, development, metabolic, and reproductive processes. However, current knowledge on miRNAs in crustaceans is limited. In this study, we explored the potential roles of miRNAs in abdominal muscle of Neocaridina heteropoda in different body length. We constructed two small RNA libraries from muscle samples, and 26 novel miRNAs were identified. Among these novel miRNAs, 13 were found significantly differentially expressed. Specifically, 10 miRNAs were significantly up-regulated and 3 miRNAs were down-regulated in small shrimps compared with large ones. Furthermore, bioinformatics analysis revealed that miR-26 was associated with a large number of differentially expressed genes, including glucose transporter 1 (Glut1), phosphoenolpyruvate carboxykinase (Pepck), and phosphofructokinase (Pfk), related to glycolysis and gluconeogenesis pathways. Besides, luciferase activity assay verified that Pepck was a direct target gene of the novel miR-26. The results imply potential growth regulatory roles for miRNAs and provide a valuable resource for further investigation of the miRNA mechanisms controlling muscle growth in N. heteropoda and other crustacean.</t>
  </si>
  <si>
    <t>10.1080/07924259.2019.1694085</t>
  </si>
  <si>
    <t>Oliver, MI; Concha, C; Gutiérrez, S; Bustos, A; Montecino, M; Puchi, M; Imschenetzky, M</t>
  </si>
  <si>
    <t>Remodeling of sperm chromatin after fertilization involves nucleosomes formed by sperm histones H2A and H2B and two CS histone variants</t>
  </si>
  <si>
    <t>JOURNAL OF CELLULAR BIOCHEMISTRY</t>
  </si>
  <si>
    <t>The composition of nucleosomes at an intermediate stage of male pronucleus formation was determined in sea urchins. Nucleosomes were isolated from zygotes harvested 10 min post-insemination, whole nucleoprotein particles were obtained from nucleus by nuclease digestion, and nucleosomes were subsequently purified by a sucrose gradient fractionation. The nucleosomes derived from male pronucleus were separated from those derived from female pronucleus by immunoadsorption to antibodies against sperm specific histones (anti-SpH) covalently bound to Sepharose 4B (anti-SpH-Sepharose). The immunoadsorbed nucleosomes were eluted, and the histones were analyzed by Western blots. Sperm histones (SpH) or alternatively, the histones from unfertilized eggs (CS histone variants), were identified with antibodies directed against each set of histones. It was found that these nucleosomes are organized by a core formed by sperm histonus H2A and H2B combined with two major CS histone variants. Such a hybrid histone core interacts with DNA fragments of approximately 100 bp. it was also found that these atypical nucleosome cores are subsequently organized in a chromatin fiber that exhibits periodic nuclease hypersensitive sites determined by DNA fragments of 500 bp of DNA. It was found that these nucleoprotein particles were organized primarily by the hybrid nucleosomes described above. We postulate that this unique chromatin organization defines an intermediate stage of male chromatin remodeling after fertilization.</t>
  </si>
  <si>
    <t>10.1002/jcb.10179</t>
  </si>
  <si>
    <t>Takenaka, M; Yano, K; Tojo, K</t>
  </si>
  <si>
    <t>Phylogeography of the true freshwater crab, Geothelphusa dehaani: Detected dual dispersal routes via land and sea</t>
  </si>
  <si>
    <t>ZOOLOGY</t>
  </si>
  <si>
    <t>Dispersal is an important factor that determines the potential for colonization to pioneer sites. Although most decapods employ seaward migration for reproduction with a planktonic larval phase, true freshwater crabs spend their entire life cycle in freshwater. Therefore, it is expected that genetic regionality can be easily detected. In this study, we focused on true freshwater crabs, Geothelphusa Stimpson, 1858. Herein, we reveal the evolutionary history and dispersal patterns of freshwater crustaceans. We collected and genetically analyzed 283 specimens at 138 localities across the Japanese Islands. Phylogenetic analyses were conducted on the combined dataset (mtDNA COI, 16S, and nDNA ITS1, histone H3 regions) and the data set based on the mtDNA COI region. The phylogenetic relationships detected 10 clades that were highly monophyletic. The highlights of this study were the discovery of several cryptic species or undescribed species, and the completely different heterogeneous dual dispersal pathways within a single species; i.e., both land and ocean routes. Although it was concluded that Japanese crabs are basically genetically divided by straits, strong evidence for dispersion via ocean currents was also detected (i.e., a sweepstake). It was also confirmed that Geothelphusa dehaani (White, 1847) could survive in seawater.</t>
  </si>
  <si>
    <t>10.1016/j.zool.2023.126118</t>
  </si>
  <si>
    <t>Pisani, D; Feuda, R; Peterson, KJ; Smith, AB</t>
  </si>
  <si>
    <t>Resolving phylogenetic signal from noise when divergence is rapid: A new look at the old problem of echinoderm class relationships</t>
  </si>
  <si>
    <t>Resolving evolutionary relationships in groups that underwent fast radiation in deep time is a problem for molecular phylogeny, as the scant phylogenetic signal that characterises short internal branches is generally swamped by more recent substitutions. We implement an approach, that maps how the support for rival phylogenies changes when analysing subsets of sites with either faster and more heterogeneous rates or slower and more homogeneous rates, to address a long-standing problem in deuterostome phylogeny - the interrelationships of the eleutherozoan echinoderm classes. We show that miRNA genes are phylogenetically uninformative as to the relationships of asteroids, echinoids and ophiuroids, consistent with a rapid radiation of these groups as suggested by their fossil record. Using three nuclear rRNAs and seven nuclear housekeeping genes, we map the support for the three possible phylogenetic arrangements of asteroids, ophiuroids and echinoids when moving between subsets of the data with very similar or very different rates of evolution. Only one of the three possible topologies (asteroids (ophiuroids + echinoids)) strengthens when the most rate-homogeneous subset of data are analysed. The other two possible pairings become stronger in a less reliable data subset, which includes the fastest and thus homoplasy-rich data in our alignment. Thus, while superficial analysis of our concatenated alignment identifies asteroids and ophiuroids as sister taxa, more thorough analyses suggest that ophiuroids may be more closely related to echinoids. Divergence of these echinoderm groups, using a relaxed molecular clock, is estimated to have occurred within similar to 5 million years. Our results illustrate that the analytic approach of phylogenetic signal dissection can be a powerful tool to investigate rapid radiations in deep geologic time. (C) 2011 Elsevier Inc. All rights reserved.</t>
  </si>
  <si>
    <t>10.1016/j.ympev.2011.08.028</t>
  </si>
  <si>
    <t>Nan, JH; Liu, YY; Wang, RQ; Yan, Q; Zhang, Y; Wang, Q; Zhao, XX</t>
  </si>
  <si>
    <t>MSTRG.118323.5 targets BAG5 as a miR-200-y sponge to regulate Sertoli cells apoptosis via PI3K/AKT/mTOR pathways of Bactrian camels</t>
  </si>
  <si>
    <t>Bactrian camels show strict seasonal estrus, yet its regulatory mechanisms remain largely unknown. This process involves multi-gene regulation, where ncRNAs (miRNAs, lncRNAs/circRNAs) critically regulate cellular functions. These ncRNAs interact to form competitive endogenous RNA (ceRNA) networks that influence the the cell cycle, proliferation, and apoptosis. In this study, transcriptional sequencing of Bactrian camel testicles identified and validated key seasonal estrus-associated DEGs, lncRNAs, and miRNAs via seq-RNA. Among the identified genes, BAG5, which is associated with testicular development and apoptosis, exhibited significantly higher mRNA and protein levels during anestrus, as determined by qRT-PCR and Western blot. Dual luciferase assays confirmed BAG5 and lncRNA MSTRG.118323.5 as miR-200-y targets. In vitro experiments with miR-200-y mimics and inhibitors confirmed their negative regulation of both BAG5 and lncRNA expression, validated by qPCR (transcripts) and Western blot/immunofluorescence (proteins). Further analysis revealed that BAG5 modulates the PI3K/AKT/mTOR pathway, influencing apoptosis-related proteins. Flow cytometry results indicated that MSTRG.118323.5 binds competitively to miR-200-y, thereby enhancing BAG5' s anti-apoptotic effects. This study reveals a regulatory network involving lncRNA-miRNA-BAG5 in testicular apoptosis and provides novel insights into the molecular mechanisms underlying seasonal estrus and testicular development in Bactrian camels. These findings contribute to a deeper understanding of reproductive regulation in desert-adapted species.</t>
  </si>
  <si>
    <t>10.1016/j.ijbiomac.2025.147638</t>
  </si>
  <si>
    <t>Salam, KA; Furuta, A; Noda, N; Tsuneda, S; Sekiguchi, Y; Yamashita, A; Moriishi, K; Nakakoshi, M; Tsubuki, M; Tani, H; Tanaka, J; Akimitsu, N</t>
  </si>
  <si>
    <t>Psammaplin A inhibits hepatitis C virus NS3 helicase</t>
  </si>
  <si>
    <t>JOURNAL OF NATURAL MEDICINES</t>
  </si>
  <si>
    <t>Hepatitis C virus (HCV) is the causative agent of hepatitis C, a chronic infectious disease that can lead to development of hepatocellular carcinoma. The NS3 nucleoside triphosphatase (NTPase)/helicase has an essential role in HCV replication, and is therefore an attractive target for direct-acting antiviral strategies. In this study, we employed high-throughput screening using a photo-induced electron transfer (PET) system to identify an inhibitor of NS3 helicase from marine organism extracts. We successfully identified psammaplin A as a novel NS3 inhibitor. The dose-response relationship clearly demonstrates the inhibition of NS3 RNA helicase and ATPase activities by psammaplin A, with IC50 values of 17 and 32 mu M, respectively. Psammaplin A has no influence on the apparent K (m) value (0.4 mM) of NS3 ATPase activity, and acts as a non-competitive inhibitor. Additionally, it inhibits the binding of NS3 to single-stranded RNA in a dose-dependent manner. Furthermore, psammaplin A shows an inhibitory effect on viral replication, with EC50 values of 6.1 and 6.3 mu M in subgenomic replicon cells derived from genotypes 1b and 2a, respectively. We postulate that psammaplin A is a potential anti-viral agent through the inhibition of ATPase, RNA binding and helicase activities of NS3.</t>
  </si>
  <si>
    <t>10.1007/s11418-013-0742-7</t>
  </si>
  <si>
    <t>Lin, L; Xu, MZ; Mu, HW; Wang, WW; Sun, J; He, J; Qiu, JW; Luan, TG</t>
  </si>
  <si>
    <t>Quantitative Proteomic Analysis to Understand the Mechanisms of Zinc Oxide Nanoparticle Toxicity to Daphnia pulex (Crustacea: Daphniidae): Comparing with Bulk Zinc Oxide and Zinc Salt</t>
  </si>
  <si>
    <t>The widespread use of zinc oxide nanoparticles (ZnO NPs) has resulted in their release to the environment. There has been concern about the ecotoxicity of ZnO NPs, but little is known about their toxic mechanisms. In the present study, we conducted acute toxicity tests to show that ZnO NPs are more toxic to the freshwater crustacean Daphnia pulex compared to bulk ZnO or ZnSO4 center dot 7H(2)O. To provide an integrated and quantitative insights into the toxicity of ZnO NPs, we conducted isobaric tags for relative and absolute quantitation (iTRAQ) proteomic analysis, which detected 262, 331, and 360 differentially expressed proteins (DEPs) in D. pulex exposed to ZnO NPs, bulk ZnO, and ZnSO4 center dot 7H(2)O, respectively. Among the DEPs, 224 were shared among the three treatments. These proteins were related to energy metabolism, oxidative stress, and endoplasmic reticulum stress. The three forms of Zn all caused D. pulex to downregulate Chitinase expression, disrupt Ca2+ homeostasis, and reduce expression of digestive enzymes. Nevertheless, 29 proteins were expressed only in the ZnO NP treatment. In particular, histone (H3) and ribosomal proteins (L13) were obviously influenced under ZnO NP treatment. However, increased expression levels of h3 and l13 genes were not induced only in ZnO NP treatment, they were sensitive to Zn ions under the same exposure concentration. These results indicate that the three zinc substances have a similar mode of action and that released zinc ions are the main contributor to ZnO NP toxicity to D. pulex under a low concentration. Further investigation is needed to clarify whether a small proportion of DEPs or higher bioavailability cause ZnO NPs to be more toxic compared to bulk ZnO or ionic zinc.</t>
  </si>
  <si>
    <t>MAY 7</t>
  </si>
  <si>
    <t>10.1021/acs.est.9b00251</t>
  </si>
  <si>
    <t>Talbert, PB; Henikoff, S</t>
  </si>
  <si>
    <t>Histone variants at a glance</t>
  </si>
  <si>
    <t>JOURNAL OF CELL SCIENCE</t>
  </si>
  <si>
    <t>Eukaryotic nucleosomes organize chromatin by wrapping 147 bp of DNA around a histone core particle comprising two molecules each of histone H2A, H2B, H3 and H4. The DNA entering and exiting the particle may be bound by the linker histone H1. Whereas deposition of bulk histones is confined to S-phase, paralogs of the common histones, known as histone variants, are available to carry out functions throughout the cell cycle and accumulate in post-mitotic cells. Histone variants confer different structural properties on nucleosomes by wrapping more or less DNA or by altering nucleosome stability. They carry out specialized functions in DNA repair, chromosome segregation and regulation of transcription initiation, or perform tissue-specific roles. In this Cell Science at a Glance article and the accompanying poster, we briefly examine new insights into histone origins and discuss variants from each of the histone families, focusing on how structural differences may alter their functions.</t>
  </si>
  <si>
    <t>10.1242/jcs.244749</t>
  </si>
  <si>
    <t>Rippe, K; Stehr, R; Wedemann, G</t>
  </si>
  <si>
    <t>Monte Carlo Simulations of Nucleosome Chains to Identify Factors that Control DNA Compaction and Access</t>
  </si>
  <si>
    <t>INNOVATIONS IN BIOMOLECULAR MODELING AND SIMULATIONS, VOL 2</t>
  </si>
  <si>
    <t>10.1039/9781849735056-00198</t>
  </si>
  <si>
    <t>Konrad, KD; Arnott, M; Testa, M; Suarez, S; Song, JL</t>
  </si>
  <si>
    <t>microRNA-124 directly suppresses Nodal and Notch to regulate mesodermal development</t>
  </si>
  <si>
    <t>MicroRNAs regulate gene expression post-transcriptionally by destabilizing and/or inhibiting translation of target mRNAs in animal cells. MicroRNA-124 (miR-124) has been examined mostly in the context of neurogenesis. This study discovers a novel role of miR-124 in regulating mesodermal cell differentiation in the sea urchin embryo. The expression of miR-124 is first detectable at 12hours post fertilization at the early blastula stage, during endomesodermal specification. Mesodermally-derived immune cells come from the same progenitor cells that give rise to blastocoelar cells (BCs) and pigment cells (PCs) that must make a binary fate decision. We determined that miR-124 directly represses Nodal and Notch to regulate BC and PC differentiation. miR-124 inhibition does not impact the dorsal-ventral axis formation, but result in a significant increase in number of cells expressing BCspecific transcription factors (TFs) and a concurrent reduction of differentiated PCs. In general, removing miR124's suppression of Nodal phenocopies miR124 inhibition. Interestingly, removing miR-124's suppression of Notch leads to an increased number of both BCs and PCs, with a subset of hybrid cells that express both BC- and PC-specific TFs in the larvae. Removal of miR-124's suppression of Notch not only affects differentiation of both BCs and PCs, but also induces cell proliferation of these cells during the first wave of Notch signaling. This study demonstrates that post-transcriptional regulation by miR-124 impacts differentiation of BCs and PCs by regulating the Nodal and Notch signaling pathways.</t>
  </si>
  <si>
    <t>10.1016/j.ydbio.2023.06.017</t>
  </si>
  <si>
    <t>Sampilo, NF; Song, JL</t>
  </si>
  <si>
    <t>microRNA-1 regulates sea urchin skeletogenesis by directly targeting skeletogenic genes and modulating components of signaling pathways</t>
  </si>
  <si>
    <t>microRNAs are evolutionarily conserved non-coding RNAs that direct post-transcriptional regulation of target transcripts. In vertebrates, microRNA-1 (miR-1) is expressed in muscle and has been found to play critical regulatory roles in vertebrate angiogenesis, a process that has been proposed to be analogous to sea urchin skeletogenesis. Results indicate that both miR-1 inhibitor and miR-1 mimic-injected larvae have significantly less F-actin enriched circumpharyngeal muscle fibers and fewer gut contractions. In addition, miR-1 regulates the positioning of skeletogenic primary mesenchyme cells (PMCs) and skeletogenesis of the sea urchin embryo. Interestingly, the gain-of-function of miR-1 leads to more severe PMC patterning and skeletal branching defects than its loss-of-function. The results suggest that miR-1 directly suppresses Ets1/2, Tbr, and VegfR7 of the skeletogenic gene regulatory network, and Nodal, and Wnt1 signaling components. This study identifies potential targets of miR-1 that impacts skeletogenesis and muscle formation and contributes to a deeper understanding of miR-1's function during development.</t>
  </si>
  <si>
    <t>10.1016/j.ydbio.2024.01.010</t>
  </si>
  <si>
    <t>Zattara, EE; Özpolat, BD</t>
  </si>
  <si>
    <t>Quantifying Cell Proliferation During Regeneration of Aquatic Worms</t>
  </si>
  <si>
    <t>DEVELOPMENTAL BIOLOGY OF THE SEA URCHIN AND OTHER MARINE INVERTEBRATES, 2 EDITION: Methods and Protocols</t>
  </si>
  <si>
    <t>Many species of aquatic worms, including members of the phyla Nemertea, Annelida, Platyhelminthes, and Xenacoelomorpha, can regenerate large parts of their body after amputation. In most species, cell proliferation plays key roles in the reconstruction of lost tissues. For example, in annelids and flatworms, inhibition of cell proliferation by irradiation or chemicals prevents regeneration. Cell proliferation also plays crucial roles in growth, body patterning (e.g., segmentation) and asexual reproduction in many groups of aquatic worms. Cell proliferation dynamics in these organisms can be studied using immunohistochemical detection of proteins expressed during proliferation-associated processes or by incorporation and labeling of thymidine analogues during DNA replication. In this chapter, we present protocols for labeling and quantifying cell proliferation by (a) antibody-based detection of either phosphorylated histone H3 during mitosis or proliferating cell nuclear antigen (PCNA) during S-phase, and (b) incorporation of two thymidine analogues, 5'-bromo-2'-deoxyuridine (BrdU) and 5'-ethynyl-2'-deoxyuridine (EdU), detected by immunohistochemistry or inorganic click chemistry, respectively. Although these protocols have been developed for whole mounts of small (&lt;2 cm) marine and freshwater worms, they can also be adapted for use in larger specimens or tissue sections.</t>
  </si>
  <si>
    <t>10.1007/978-1-0716-0974-3_10</t>
  </si>
  <si>
    <t>Sruthy, PN; Balasubramaniam, A</t>
  </si>
  <si>
    <t>In vitro antioxidant, antidiabetic, and in silico docking studies on diabetic wound healing potential of identified compounds of methanolic extract of marine sponge, Agelas clathrodes (Schmidt, 1870) by GC-MS and LC-MS analysis</t>
  </si>
  <si>
    <t>ANNALS OF PHYTOMEDICINE-AN INTERNATIONAL JOURNAL</t>
  </si>
  <si>
    <t>Marine sponge, Agelas clathrodes (Schmidt, 1870) is an excellent producer of secondary metabolites, including glycosphingolipid derivatives (GSLs) and bromopyrrole alkaloids. Different secondary metabolites from this species showed immunomodulatory, anti-inflammatory, cytotoxicity to cancer cells, antimicrobial, antifungal, and antihistaminic activity. An enervating complication of diabetes mellitus is diabetic wounds/ ulcers, which lead to morbidity in patients. The majority view is that changes in vascular basement membrane in tissues, down-regulation of collagen expression, and disorders in immune response exacerbate pain and wound healing disorders. In this study, antioxidant and antidiabetic properties of methanolic extract of marine sponge were investigated using various in vitro assays. The methanolic extract showed good activity. The methanolic extract was subjected to GC-MS and LC-MS analysis to identify chemical constituents. This showed the presence of pyrrole alkaloids and terpenoids. In silico docking studies of identified compounds were carried out using Auto Dock Vina against 4 different proteins matrix metalloproteinases-9 (MMP-9), human interleukin-6 (IL-6), fibroblast growth factors (FGF), histone deacetylase 4 (HDAC4). The compounds asthaxanthine and oxysceptrin from the methanolic extract showed more affinity towards all the proteins and the compounds considered as good choice for diabetic wound healing.</t>
  </si>
  <si>
    <t>JUL-DEC</t>
  </si>
  <si>
    <t>10.54085/ap.2023.12.2.63</t>
  </si>
  <si>
    <t>Fotie, J</t>
  </si>
  <si>
    <t>The Potential of Peptides and Depsipeptides from Terrestrial and Marine Organisms in the Fight against Human Protozoan Diseases</t>
  </si>
  <si>
    <t>BIOACTIVE NATURAL PRODUCTS: CHEMISTRY AND BIOLOGY</t>
  </si>
  <si>
    <t>Ochiai, H; Sakamoto, N; Fujita, K; Nishikawa, M; Suzuki, KI; Matsuura, S; Miyamoto, T; Sakuma, T; Shibata, T; Yamamoto, T</t>
  </si>
  <si>
    <t>Zinc-finger nuclease-mediated targeted insertion of reporter genes for quantitative imaging of gene expression in sea urchin embryos</t>
  </si>
  <si>
    <t>To understand complex biological systems, such as the development of multicellular organisms, it is important to characterize the gene expression dynamics. However, there is currently no universal technique for targeted insertion of reporter genes and quantitative imaging in multicellular model systems. Recently, genome editing using zinc-finger nucleases (ZFNs) has been reported in several models. ZFNs consist of a zinc-finger DNA-binding array with the nuclease domain of the restriction enzyme FokI and facilitate targeted transgene insertion. In this study, we successfully inserted a GFP reporter cassette into the HpEts1 gene locus of the sea urchin, Hemicentrotus pulcherrimus. We achieved this insertion by injecting eggs with a pair of ZFNs for HpEts1 with a targeting donor construct that contained similar to 1-kb homology arms and a 2A-histone H2B-GFP cassette. We increased the efficiency of the ZFN-mediated targeted transgene insertion by in situ linearization of the targeting donor construct and cointroduction of an mRNA for a dominant-negative form of HpLig4, which encodes the H. pulcherrimus homolog of DNA ligase IV required for error-prone nonhomologous end joining. We measured the fluorescence intensity of GFP at the single-cell level in living embryos during development and found that there was variation in HpEts1 expression among the primary mesenchyme cells. These findings demonstrate the feasibility of ZFN-mediated targeted transgene insertion to enable quantification of the expression levels of endogenous genes during development in living sea urchin embryos.</t>
  </si>
  <si>
    <t>JUL 3</t>
  </si>
  <si>
    <t>10.1073/pnas.1202768109</t>
  </si>
  <si>
    <t>Colorni, A; Ullal, A; Heinisch, G; Noga, EJ</t>
  </si>
  <si>
    <t>Activity of the antimicrobial polypeptide piscidin 2 against fish ectoparasites</t>
  </si>
  <si>
    <t>JOURNAL OF FISH DISEASES</t>
  </si>
  <si>
    <t>The antiparasitic effects of piscidin 2, an antimicrobial polypeptide (AMPP) first isolated from mast cells of hybrid striped bass, were tested against three protistan ectoparasites of marine fish (the ciliates Cryptocaryon irritans and Trichodina sp., and the dinoflagellate Amyloodinium ocellatum) and one ciliate ectoparasite of freshwater fish (Ichthyophthirius multifiliis). I. multifiliis was the most susceptible parasite, with all theronts killed at 6.3 mu g mL(-1) piscidin 2. The most resistant parasite was Trichodina, where a few cells were killed at 12.5 mu g mL(-1), but several were still alive even at 100 mu g mL(-1). C. irritans was of intermediate sensitivity, with some theronts killed at 12.5 mu g mL(-1) and all killed at 25 mu g mL(-1). High parasite density apparently exhausted the piscidin 2 before it could attain its maximal effect, but surviving parasites were often visibly damaged. The lower efficacy of piscidin 2 against marine parasites compared with the freshwater ciliate might be related to the inhibitory effects of high sea water cation levels. The tissue concentration of piscidins estimated in healthy hybrid striped bass gill (40 mu g mL(-1)) suggests that piscidin 2 is lethal to the parasites tested at physiological concentrations and is thus an important component of innate defence in fish expressing this type of AMPP.</t>
  </si>
  <si>
    <t>10.1111/j.1365-2761.2008.00922.x</t>
  </si>
  <si>
    <t>Lin, YT; Kiel, S; Xu, T; Qiu, JW</t>
  </si>
  <si>
    <t>Phylogenetic placement, morphology and gill-associated bacteria of a new genus and species of deep-sea mussel (Mytilidae: Bathymodiolinae) from the South China Sea</t>
  </si>
  <si>
    <t>Mussels in the subfamily Bathymodiolinae are common inhabitants of deep-sea chemosynthetic habitats, but in many places their diversity remains unknown. Here we describe Nypamodiolus samadiae n. gen. et n. sp. (Mytilidae: Bathymodiolinae) based on samples collected from the Haima cold seep in the South China Sea. Phylogenetic analyses based on fragments of three mitochondrial (cox1, 16S rRNA and nad4) and three nuclear (18S rRNA, 28S rRNA and histone H3) genes show that this new species belongs to a new genus, Nypamodiolus, which includes three named species (Myrina longissima Thiele and Jaeckel, 1931, Myrina simpsoni Marshall, 1900, Idasola japonica Habe, 1976) and a few undescribed species. Nypamodiolus n. gen. is characterized by small-sized, modioliform to fan-shaped shells with the umbones in a non-terminal position, and by robust anterior and posterior byssal retractor muscles arranged in roughly one plane. Most closely related to Nypamodiolus samadiae n. sp. is an undescribed species from the northern Papua New Guinea, to which it has a Kimura-2-parameter genetic distance of 11.8% for cox1. Sequencing the V3-V4 region of the microbial 16S rRNA gene reveals two dominant gill-associated bacteria in the new species, including one sulfur-oxidizing Gammaproteobacteria (relative abundance: 43.8-58.8%) and one unclassified Spirochaetes (relative abundance: 23.9-28.1%). Morphologically, N. samadiae n. sp. is similar to N. simpsoni, while can be distinguished by a larger maximum shell size (45.0 mm vs. 40.0 mm), larger length/height ratio (2.6-2.9 vs. 2.1-2.4), broader posterior end, slightly curved dorsal margin, and more anterior umbones.</t>
  </si>
  <si>
    <t>10.1016/j.dsr.2022.103894</t>
  </si>
  <si>
    <t>Spinelli, G; Birnsteil, ML</t>
  </si>
  <si>
    <t>The modulator is a constitutive enhancer of a developmentally regulated sea urchin histone H2A gene</t>
  </si>
  <si>
    <t>BIOESSAYS</t>
  </si>
  <si>
    <t>Going back to the late 1970s and early 1980s, we trace the Xenopus oocyte microinjection experiments that led to the emergence of the concept of modulator. The finding that the modulator could transactivate transcription from far upstream and in either orientation suggested that a new genetic element, different from the classical prokaryotic promoter sequences, had been discovered. This particular enhancer transactivates transcription of the sea urchin early (alpha) histone H2A gene which is regulated in early sea urchin development. We summarise the data from sea urchin microinjection experiments that confirm and extend the results obtained with Xenopus oocytes. We conclude that the H2A enhancer is bipartite, is located approx. 100 bp upstream of the TATAAATA box in the H2A gene of two sea urchin species and enhances transcription when placed at a position far upstream or far downstream of the gene unless an insulator intervenes between enhancer and promoter. Evidence from microinjection experiments with sea urchin embryos suggests that the developmental control of H2A expression resides not with the enhancer, which is constitutively active, but with a striking chromatin structure with two positioned nucleosomes near the 3' end of the gene. Within this structure, there is an insulator element. (C) 2002 Wiley Periodicals, Inc.</t>
  </si>
  <si>
    <t>10.1002/bies.10143</t>
  </si>
  <si>
    <t>Mateos, M; Hurtado, LA; Santamaria, CA; Leignel, V; Guinot, D</t>
  </si>
  <si>
    <t>Molecular Systematics of the Deep-Sea Hydrothermal Vent Endemic Brachyuran Family Bythograeidae: A Comparison of Three Bayesian Species Tree Methods</t>
  </si>
  <si>
    <t>Brachyuran crabs of the family Bythograeidae are endemic to deep-sea hydrothermal vents and represent one of the most successful groups of macroinvertebrates that have colonized this extreme environment. Occurring worldwide, the family includes six genera (Allograea, Austinograea, Bythograea, Cyanagraea, Gandalfus, and Segonzacia) and fourteen formally described species. To investigate their evolutionary relationships, we conducted Maximum Likelihood and Bayesian molecular phylogenetic analyses, based on DNA sequences from fragments of three mitochondrial genes (16S rDNA, Cytochrome oxidase I, and Cytochrome b) and three nuclear genes (28S rDNA, the sodium-potassium ATPase a-subunit 'NaK', and Histone H3A). We employed traditional concatenated (i.e., supermatrix) phylogenetic methods, as well as three recently developed Bayesian multilocus methods aimed at inferring species trees from potentially discordant gene trees. We found strong support for two main clades within Bythograeidae: one comprising the members of the genus Bythograea; and the other comprising the remaining genera. Relationships within each of these two clades were partially resolved. We compare our results with an earlier hypothesis on the phylogenetic relationships among bythograeid genera based on morphology. We also discuss the biogeography of the family in the light of our results. Our species tree analyses reveal differences in how each of the three methods weighs conflicting phylogenetic signal from different gene partitions and how limits on the number of outgroup taxa may affect the results.</t>
  </si>
  <si>
    <t>MAR 5</t>
  </si>
  <si>
    <t>10.1371/journal.pone.0032066</t>
  </si>
  <si>
    <t>Chaurasia, MK; Palanisamy, R; Bhatt, P; Kumaresan, V; Gnanam, AJ; Pasupuleti, M; Kasi, M; Harikrishnan, R; Arockiaraj, J</t>
  </si>
  <si>
    <t>A prawn core histone 4: Derivation of N- and C-terminal peptides and their antimicrobial properties, molecular characterization and mRNA transcription</t>
  </si>
  <si>
    <t>MICROBIOLOGICAL RESEARCH</t>
  </si>
  <si>
    <t>This study investigates the complete molecular characterization including bioinformatics characterization, gene expression, synthesis of N and C terminal peptides and their antimicrobial activity of the core histone 4 (H4) from freshwater giant prawn Macrobrachium rosenbergii (Mr). A cDNA encoding MrH4 was identified from the constructed cDNA library of M. rosenbergii during screening and the sequence was obtained using internal sequencing primers. The MrH4 coding region possesses a polypeptide of 103 amino acids with a calculated molecular weight of 11 kDa and an isoelectric point of 11.5. The bioinformatics analysis showed that the MrH4 polypeptide contains a H4 signature at (15)GAKRH(19). Multiple sequence alignment of MrH4 showed that the N-terminal (21-42) and C-terminal (87-101) antimicrobial peptide regions and the pentapeptide or H4 signature (15-19) are highly conserved including in humans. The phylogenetic tree formed two separate clades of vertebrate and invertebrate H4, wherein MrH4 was located within the arthropod monophyletic clade of invertebrate H4 groups. Three-dimensional model of MrH4 was established using I-TASSER program and the model was validated using Ramachandran plot analysis. Schiffer-Edmundson helical wheel modeling was used to predict the helix propensity of N (21-42) and C (87-101) terminal derived Mr peptides. The highest gene expression was observed in gills and is induced by viral [white spot syndrome baculovirus (WSBV) and M. rosenbergii nodovirus (MrNV)] and bacterial (Aeromonas hydrophila and Vibrio harveyi) infections. The N and C terminal peptides were synthesized and their antimicrobial and hemolytic properties were examined. Both peptides showed activity against the tested Gram negative and Gram positive bacteria; however, the highest activity was noticed against Gram negative bacteria. Among the two peptides used in this study, C-terminal peptide yielded better results than the N-terminal peptide. Therefore, C terminal peptide can be recommended for the development of an antimicrobial agent. (C) 2014 Elsevier GmbH. All rights reserved.</t>
  </si>
  <si>
    <t>10.1016/j.micres.2014.08.011</t>
  </si>
  <si>
    <t>Gonzalez, L; Hanson, D; Valdés, A</t>
  </si>
  <si>
    <t>Molecular divergence between two sympatric species of Dondice (Mollusca: Nudibranchia) with distinct feeding specializations</t>
  </si>
  <si>
    <t>JOURNAL OF THE MARINE BIOLOGICAL ASSOCIATION OF THE UNITED KINGDOM</t>
  </si>
  <si>
    <t>Analysis of mitochondrial (16S) and nuclear (H3) gene data using phylogenetic and population genetic approaches has revealed some genetic differences between two putative species of western Atlantic Dondice opisthobranchs that feed differentially on hydroids or on up-side-down jellies of the genus Cassiopeia. These results partially support the validity of the species Dondice parguerensis, which was described for the jelly-eating Dondice. However, phylogenetic analyses revealed that the hydroid-feeding species Dondice occidentalis and D. parguerensis are not reciprocally monophyletic and they are identical for the nuclear H3 gene. Although there are morphological and developmental differences between these two nominal species, the molecular data are inconclusive. A possible explanation is that the two putative species are in the process of speciation due to different feeding habits, resulting in the presence of genetic synapomorphies in D. parguerensis, but only in the more variable 16S gene. Because the ranges D. occidentalis and D. parguerensis overlap and there are no obvious barriers to gene flow between the two putative species, this may constitute a possible example of incipient sympatric speciation in benthic marine organisms.</t>
  </si>
  <si>
    <t>10.1017/S0025315413000465</t>
  </si>
  <si>
    <t>Angiulli, F; Colombo, T; Fassetti, F; Furfaro, A; Paci, P</t>
  </si>
  <si>
    <t>Mining sponge phenomena in RNA expression data</t>
  </si>
  <si>
    <t>JOURNAL OF BIOINFORMATICS AND COMPUTATIONAL BIOLOGY</t>
  </si>
  <si>
    <t>In the last few years, the interactions among competing endogenous RNAs (ceRNAs) have been recognized as a key post-transcriptional regulatory mechanism in cell differentiation, tissue development, and disease. Notably, such sponge phenomena substracting active microRNAs from their silencing targets have been recognized as having a potential oncosuppressive, or oncogenic, role in several cancer types. Hence, the ability to predict sponges from the analysis of large expression data sets (e.g. from international cancer projects) has become an important data mining task in bioinformatics. We present a technique designed to mine sponge phenomena whose presence or absence may discriminate between healthy and unhealthy populations of samples in tumoral or normal expression data sets, thus providing lists of candidates potentially relevant in the pathology. With this aim, we search for pairs of elements acting as ceRNA for a given miRNA, namely, we aim at discovering miRNA-RNA pairs involved in phenomena which are clearly present in one population and almost absent in the other one. The results on tumoral expression data, concerning five different cancer types, confirmed the effectiveness of the approach in mining interesting knowledge. Indeed, 32 out of 33 miRNAs and 22 out of 25 protein-coding genes identified as top scoring in our analysis are corroborated by having been similarly associated with cancer processes in independent studies. In fact, the subset of miRNAs selected by the sponge analysis results in a significant enrichment of annotation for the KEGG32 pathway microRNAs in cancer when tested with the commonly used bioinformatic resource DAVID. Moreover, often the cancer datasets where our sponge analysis identified a miRNA as top scoring match the one reported already in the pertaining literature.</t>
  </si>
  <si>
    <t>10.1142/S0219720021500220</t>
  </si>
  <si>
    <t>Alibardi, L</t>
  </si>
  <si>
    <t>Progressive modifications during evolution involving epigenetic changes have determined loss of regeneration mainly in terrestrial animals: A hypothesis</t>
  </si>
  <si>
    <t>In order to address a biological explanation for the different regenerative abilities present among animals, a new evolutionary speculation is presented. It is hypothesized that epigenetic mechanisms have lowered or erased regeneration during the evolution of terrestrial invertebrates and vertebrates. The hypothesis indicates that a broad regeneration can only occur in marine or freshwater conditions, and that life on land does not allow for high regeneration. This is due to the physical, chemical and microbial conditions present in the terrestrial environment with respect to those of the aquatic environment. The present speculation provides examples of hypothetic evolutionary animal lineages that colonized the land, such as parasitic annelids, terrestrial mollusks, arthropods and amniotes. These are the animals where regeneration is limited or absent and their injuries are only repaired through limited healing or scarring. It is submitted that this loss derived from changes in the developmental gene pathways sustaining regeneration in the aquatic environment but that cannot be expressed on land. Once regeneration was erased in terrestrial species, re-adaptation to freshwater niches could not reactivate the previously altered gene pathways that determined regeneration. Therefore a broad regeneration was no longer possible or became limited and heteromorphic in the derived, extant animals. Only in few cases extensive healing abilities or regengrow, a healing process where regeneration overlaps with somatic growth, have evolved among arthropods and amniotes. The present paper is an extension of previous speculations trying to explain in biological terms the different regenerative abilities present among metazoans.</t>
  </si>
  <si>
    <t>10.1016/j.ydbio.2024.07.007</t>
  </si>
  <si>
    <t>Wangun, HVK; Wood, A; Fiorillo, C; Reed, JK; McCarthy, PJ; Wrightt, AE</t>
  </si>
  <si>
    <t>Gymnochromes E and F, Cytotoxic Phenanthroperylenequinones from a Deep-Water Crinoid, Holopus rangii</t>
  </si>
  <si>
    <t>JOURNAL OF NATURAL PRODUCTS</t>
  </si>
  <si>
    <t>Bioactivity-guided fractionation of metabolites from the crinoid Holopus rangii led to the discovery of two new phenanthroperylenequinone derivatives, gymnochromes E (1) and F (2). Gymnochrome E showed cytotoxic activity toward the NCI/ADR-Res with an IC50 of 3.5 mu M. It also inhibited histone deacetylase-1 with an IC50 of 3.3 Gymnochrome F was a moderate inhibitor of myeloid cell leukemia sequence 1 (MCL-1) binding to Bak. Two anthraquinone metabolites, emodic acid (4) and its new bromo derivative (5), were also isolated from the crinoid and show remarkable similarity to the phenanthroperylenequinone core, suggesting that these metabolites share the same polyketide biosynthetic pathway.</t>
  </si>
  <si>
    <t>10.1021/np900526y</t>
  </si>
  <si>
    <t>Zemann, A; op de Bekke, A; Kiefmann, M; Brosius, J; Schmitz, J</t>
  </si>
  <si>
    <t>Evolution of small nucleolar RNAs in nematodes</t>
  </si>
  <si>
    <t>In contrast to mRNAs, which are templates for translating proteins, non-protein coding (npc) RNAs (also known as 'non-coding' RNA, ncRNA), exhibit various functions in different compartments and developmental stages of the cell. Small nucleolar RNAs (snoRNAs), one of the largest classes of npcRNAs, guide post-transcriptional modifications of other RNAs that are crucial for appropriate RNA folding as well as for RNA-RNA and RNA-protein interactions. Although snoRNA genes comprise a significant fraction of the eutherian genome, identifying and characterizing large numbers of them is not sufficiently accessible by classical computer searches alone. Furthermore, most previous investigations of snoRNAs yielded only limited indications of their evolution. Using data obtained by a combination of high-throughput cDNA library screening and computational search strategies based on a modified DNAMAN program, we characterized 151 npcRNAs, and in particular 121 snoRNAs, from Caenorhabditis elegans and extensively compared them with those in the related, Caenorhabditis briggsae. Detailed comparisons of paralog snoRNAs in the two nematodes revealed, in addition to trans-duplication, a novel, cis-duplication distribution strategy with insertions near to the original loci. Some snoRNAs coevolved with their modification target sites, demonstrating the close interaction of complementary regions. Some target sites modified by snoRNAs were changed, added or lost, documenting a high degree of evolutionary plasticity of npcRNAs.</t>
  </si>
  <si>
    <t>10.1093/nar/gkl359</t>
  </si>
  <si>
    <t>Heinder, FM; Alajmi, F; Huerlimann, R; Zeng, CS; Newman, SJ; Vamvounis, G; van Herwerden, L</t>
  </si>
  <si>
    <t>Toxic effects of polyethylene terephthalate microparticles and Di(2-ethylhexyl)phthalate on the calanoid copepod, Parvocalanus crassirostris</t>
  </si>
  <si>
    <t>Large amounts of plastic end up in the oceans every year where they fragment into microplastics over time. During this process, microplastics and their associated plasticizers become available for ingestion by different organisms. This study assessed the effects of microplastics (Polyethylene terephthalate; PET) and one plasticizer (Di(2-ethylhexyl)phthalate; DEHP) on mortality, productivity, population sizes and gene expression of the calanoid copepod Parvocalanus crassirostris. Copepods were exposed to DEHP for 48 h to assess toxicity. Adults were very healthy following chemical exposure (up to 5120 mu g L-1), whereas nauplii were severely affected at very low concentrations (48 h LC(50)value of 1.04 ng L-1). Adults exposed to sub-lethal concentrations of DEHP (0.1-0.3 mu g L-1) or microplastics (10,000-80,000 particles mL(-1)) exhibited substantial reductions in egg production. Populations were exposed to either microplastics or DEHP for 6 days with 18 days of recovery or for 24 days. Populations exposed to microplastics for 24 days significantly depleted in population size (60 +/- 4.1%, p &lt; 0.001) relative to controls, whilst populations exposed for only 6 days (with 18 days of recovery) experienced less severe depletions (75 +/- 6.0% of control, p &lt; 0.05). Populations exposed to DEHP, however, exhibited no recovery and both treatments (6 and 24 days) yielded the same average population size at the termination of the experiment (59 +/- 4.9% and 59 +/- 3.4% compared to control; p &lt; 0.001). These results suggest that DEHP may induce reproductive disorders that can be inherited by subsequent generations. Histone 3 (H3) was significantly (p &lt; 0.05) upregulated in both plastic and DEHP treatments after 6 days of exposure, but not after 18 days of recovery. Hsp70-like expression showed to be unresponsive to either DEHP or microplastic exposure. Clearly, microplastics and plasticizers pose a serious threat to zooplankton and potentially to higher trophic levels.</t>
  </si>
  <si>
    <t>10.1016/j.ecoenv.2017.03.029</t>
  </si>
  <si>
    <t>Chernyshev, AV; Polyakova, NE; Vignesh, MS; Jain, RP; Sanjeevi, P; Norenburg, JL; Rajesh, RP</t>
  </si>
  <si>
    <t>A histology-free description of a new species of the genus Tetrastemma (Nemertea: Hoplonemertea: Monostilifera) from Hawaii and India</t>
  </si>
  <si>
    <t>A new species of the genus Tetrastemma Ehrenberg, 1831, T. freyae sp. nov., is described and illustrated from Hawaii and India. The description is based on light microscopy examination of the external and internal morphology, as well as on two gene markers (cytochrome c oxidase subunit I and histone H3 DNA).</t>
  </si>
  <si>
    <t>JUL 2</t>
  </si>
  <si>
    <t>10.11646/zootaxa.4808.2.10</t>
  </si>
  <si>
    <t>Mallick, A; Ranawade, A; Gupta, BP</t>
  </si>
  <si>
    <t>Role of PRY-1/Axin in heterochronic miRNA-mediated seam cell development</t>
  </si>
  <si>
    <t>BMC DEVELOPMENTAL BIOLOGY</t>
  </si>
  <si>
    <t>BackgroundCaenorhabditis elegans seam cells serve as a good model to understand how genes and signaling pathways interact to control asymmetric cell fates. The stage-specific pattern of seam cell division is coordinated by a genetic network that includes WNT asymmetry pathway components WRM-1, LIT-1, and POP-1, as well as heterochronic microRNAs (miRNAs) and their downstream targets. Mutations in pry-1, a negative regulator of WNT signaling that belongs to the Axin family, were shown to cause seam cell defects; however, the mechanism of PRY-1 action and its interactions with miRNAs remain unclear.ResultsWe found that pry-1 mutants in C. elegans exhibit seam cell, cuticle, and alae defects. To examine this further, a miRNA transcriptome analysis was carried out, which showed that let-7 (miR-48, miR-84, miR-241) and lin-4 (lin-4, miR-237) family members were upregulated in the absence of pry-1 function. Similar phenotypes and patterns of miRNA overexpression were also observed in C. briggsae pry-1 mutants, a species that is closely related to C. elegans. RNA interference-mediated silencing of wrm-1 and lit-1 in the C. elegans pry-1 mutants rescued the seam cell defect, whereas pop-1 silencing enhanced the phenotype, suggesting that all three proteins are likely important for PRY-1 function in seam cells. We also found that these miRNAs were overexpressed in pop-1 hypomorphic animals, suggesting that PRY-1 may be required for POP-1-mediated miRNA suppression. Analysis of the let-7 and lin-4-family heterochronic targets, lin-28 and hbl-1, showed that both genes were significantly downregulated in pry-1 mutants, and furthermore, lin-28 silencing reduced the number of seam cells in mutant animals.ConclusionsOur results show that PRY-1 plays a conserved role to maintain normal expression of heterochronic miRNAs in nematodes. Furthermore, we demonstrated that PRY-1 acts upstream of the WNT asymmetry pathway components WRM-1, LIT-1, and POP-1, and miRNA target genes in seam cell development.</t>
  </si>
  <si>
    <t>10.1186/s12861-019-0197-5</t>
  </si>
  <si>
    <t>Taboada, S; Riesgo, A; Bas, M; Arnedo, MA; Cristobo, J; Rouse, GW; Avila, C</t>
  </si>
  <si>
    <t>Bone-Eating Worms Spread: Insights into Shallow-Water Osedax (Annelida, Siboglinidae) from Antarctic, Subantarctic, and Mediterranean Waters</t>
  </si>
  <si>
    <t>Osedax, commonly known as bone-eating worms, are unusual marine annelids belonging to Siboglinidae and represent a remarkable example of evolutionary adaptation to a specialized habitat, namely sunken vertebrate bones. Usually, females of these animals live anchored inside bone owing to a ramified root system from an ovisac, and obtain nutrition via symbiosis with Oceanospirillales gamma-proteobacteria. Since their discovery, 26 Osedax operational taxonomic units (OTUs) have been reported from a wide bathymetric range in the Pacific, the North Atlantic, and the Southern Ocean. Using experimentally deployed and naturally occurring bones we report here the presence of Osedax deceptionensis at very shallow-waters in Deception Island (type locality; Antarctica) and at moderate depths near South Georgia Island (Subantarctic). We present molecular evidence in a new phylogenetic analysis based on five concatenated genes (28S rDNA, Histone H3, 18S rDNA, 16S rDNA, and cytochrome c oxidase I-COI-), using Maximum Likelihood and Bayesian inference, supporting the placement of O. deceptionensis as a separate lineage (Clade VI) although its position still remains uncertain. This phylogenetic analysis includes a new unnamed species (O. 'mediterranea') recently discovered in the shallow-water Mediterranean Sea belonging to Osedax Clade I. A timeframe of the diversification of Osedax inferred using a Bayesian framework further suggests that Osedax diverged from other siboglinids during the Middle Cretaceous (ca. 108 Ma) and also indicates that the most recent common ancestor of Osedax extant lineages dates to the Late Cretaceous (ca. 74.8 Ma) concomitantly with large marine reptiles and teleost fishes. We also provide a phylogenetic framework that assigns newly-sequenced Osedax endosymbionts of O. deceptionensis and O. 'mediterranea' to ribospecies Rs1. Molecular analysis for O. deceptionensis also includes a COI-based haplotype network indicating that individuals from Deception Island and the South Georgia Island (ca. 1,600 km apart) are clearly the same species, confirming the well-developed dispersal capabilities reported in other congeneric taxa. In addition, we include a complete description of living features and morphological characters (including scanning and transmission electron microscopy) of O. deceptionensis, a species originally described from a single mature female, and compare it to information available for other congeneric OTUs.</t>
  </si>
  <si>
    <t>NOV 18</t>
  </si>
  <si>
    <t>10.1371/journal.pone.0140341</t>
  </si>
  <si>
    <t>Castillo, MG; Humphries, JE; Mourao, MM; Marquez, J; Gonzalez, A; Montelongo, CE</t>
  </si>
  <si>
    <t>Biomphalaria glabrata immunity: Post-genome advances</t>
  </si>
  <si>
    <t>The freshwater snail, Biomphalaria glabrata, is an important intermediate host in the life cycle for the human parasite Schistosoma mansoni, the causative agent of schistosomiasis. Current treatment and prevention strategies have not led to a significant decrease in disease transmission. However, the genome of B. glabrata was recently sequenced to provide additional resources to further our understanding of snail biology. This review presents an overview of recently published, postgenome studies related to the topic of snail immunity. Many of these reports expand on findings originated from the genome characterization. These novel studies include a complementary gene linkage map, analysis of the genome of the B. glabrata embryonic (Bge) cell line, as well as transcriptomic and proteomic studies looking at snail-parasite interactions and innate immune memory responses towards schistosomes. Also included are biochemical investigations on snail pheromones, neuropeptides, and attractants, as well as studies investigating the frontiers of molluscan epigenetics and cell signaling were also included. Findings support the current hypotheses on snail-parasite strain compatibility, and that snail host resistance to schistosome infection is dependent not only on genetics and expression, but on the ability to form multimeric molecular complexes in a timely and tissue-specific manner. The relevance of cell immunity is reinforced, while the importance of humoral factors, especially for secondary infections, is supported. Overall, these studies reflect an improved understanding on the diversity, specificity, and complexity of molluscan immune systems.</t>
  </si>
  <si>
    <t>10.1016/j.dci.2019.103557</t>
  </si>
  <si>
    <t>García-Souto, D; Sumner-Hempel, A; Fervenza, S; Pérez-García, C; Torreiro, A; González-Romero, R; Eirín-López, JM; Morán, P; Pasantes, JJ</t>
  </si>
  <si>
    <t>Detection of invasive and cryptic species in marine mussels (Bivalvia, Mytilidae): A chromosomal perspective</t>
  </si>
  <si>
    <t>JOURNAL FOR NATURE CONSERVATION</t>
  </si>
  <si>
    <t>Marine mussels illustrate a stunning variability in shape and color. Such variability, added to the scarcity of reliable morphological characters for their identification, can mislead recognition prompting the assignation of specimens of a single species to different ones or incorporate specimens belonging to different taxa into a single one. DNA barcoding is widely used for species identification; however, as this method relies on the previous morphological identification of the specimens, some of the DNA sequences stored in DNA databases are incorrectly assigned to a given species. In view of this uncertainty, further criteria beyond morphological characters and DNA sequences in databases are required to more reliably and accurately identify marine mussels. In this work we mapped ribosomal RNA and histone gene clusters to chromosomes of four species of marine mussels and compared them with those from another eight marine mussel taxa. Specimens of these twelve taxa were also DNA barcoded. Our results clearly demonstrated that the chromosomal analysis of marine mussels could shed light on their identification and, therefore, solve contradictions posed by morphological and molecular data. (C) 2017 Elsevier GmbH. All rights reserved.</t>
  </si>
  <si>
    <t>10.1016/j.jnc.2017.07.005</t>
  </si>
  <si>
    <t>Reichel, M; Muñoz-Caro, T; Contreras, GS; García, AR; Magdowski, G; Gärtner, U; Taubert, A; Hermosilla, C</t>
  </si>
  <si>
    <t>Harbour seal (Phoca vitulina) PMN and monocytes release extracellular traps to capture the apicomplexan parasite Toxoplasma gondii</t>
  </si>
  <si>
    <t>Extracellular traps (ETs) are composed of nuclear DNA as backbone adorned with histones, cytoplasmic antimicrobial peptides/proteins which are released from a range of vertebrate and invertebrate host immune cells in response to several invading pathogens. Until now this ancient novel innate defence mechanism has not been demonstrated in any marine mammal. Interactions of harbour seal (Phoca vitulina)PMN and -monocytes with viable tachyzoites of Toxoplasma gondii were investigated in this respect in vitro. For the demonstration and quantification of harbour seal PMN- and monocyte-derived ETs, extracellular DNA was stained with Sytox Orange. Fluorescence assays as well as scanning electron microscopy (SEM) analyses demonstrated PMN- and mono cyte-promoted ET formation rapidly being induced upon contact with 7: gondii-tachyzoites. The co-localisation of extracellular DNA decorated with histones (H3), neutrophil elastase (NE) and myeloperoxidase (MPO) in parasite entrapping structures confirmed the classical characteristics of PMN- and monocyte-promoted ETs. Exposure of harbour seal PMN and monocytes to viable tachyzoites resulted in a significant induction of ETs when compared to negative controls. Harbour seal-ETs were efficiently abolished by DNase I treatment and were reduced after PMN and monocytes pre-incubation with the NADPH oxidase inhibitor diphenilane iodondium. Tachyzoites of T. gondii were firmly entrapped and immobilised within harbour seal-ET structures. To our best knowledge, we here report for the first time on T. gondii-induced ET formation in harbour seal-PMN and -monocytes. Our results strongly indicate that PMN- and monocyte-triggered ETs represent a relevant and ancient conserved effector mechanism of the pinniped innate immune system as reaction against the pathogenic protozoon T. gondii and probably against other foreign pathogens occurring in the ocean environment. (C) 2015 Elsevier Ltd. All rights reserved.</t>
  </si>
  <si>
    <t>10.1016/j.dci.2015.02.002</t>
  </si>
  <si>
    <t>Shi, T; Shao, CL; Liu, Y; Zhao, DL; Cao, F; Fu, XM; Yu, JY; Wu, JS; Zhang, ZK; Wang, CY</t>
  </si>
  <si>
    <t>Terpenoids From the Coral-Derived Fungus Trichoderma harzianum (XS-20090075) Induced by Chemical Epigenetic Manipulation</t>
  </si>
  <si>
    <t>The soft coral-derived fungus Trichoderma harzianum (XS-20090075) was found to be a potential strain to produce substantial new compounds in our previous study. In order to explore its potential to produce more metabolites, chemical epigenetic manipulation was used on this fungus to wake its sleeping genes, leading to the significant changes of its secondary metabolites by using a histone deacetylase (HDAC) inhibitor. The most obvious difference was the original main products harziane diterpenoids were changed into cyclonerane sesquiterpenoids. Three new terpenoids were isolated from the fungal culture treated with 10 mu M sodium butyrate, including cleistanthane diterpenoid, harzianolic acid A (1), harziane diterpenoid, harzianone E (2), and cyclonerane sesquiterpenoid, 3,7,11-trihydroxy-cycloneran (3), together with 11 known sesquiterpenoids (4-14). The absolute configurations of 1-3 were determined by single-crystal X-ray diffraction, ECD and OR calculations, and biogenetic considerations. This was the first time to obtain cleistanthane diterpenoid and africane sesquiterpenoid from genus Trichoderma, and this was the first chlorinated cleistanthane diterpenoid. These results demonstrated that the chemical epigenetic manipulation should be an efficient technique for the discovery of new secondary metabolites from marine-derived fungi.</t>
  </si>
  <si>
    <t>APR 3</t>
  </si>
  <si>
    <t>10.3389/fmicb.2020.00572</t>
  </si>
  <si>
    <t>Rivi, V; Fodor, I; Batabyal, A; Kagan, D; Blom, JMC; Tascedda, F; Pirger, Z; Schmidt, J; Benatti, C; Lukowiak, K</t>
  </si>
  <si>
    <t>Effects of the inhibition of miRNA biogenesis in the central ring ganglia of a widely used invertebrate model species, Lymnaea stagnalis</t>
  </si>
  <si>
    <t>COMPARATIVE BIOCHEMISTRY AND PHYSIOLOGY C-TOXICOLOGY &amp; PHARMACOLOGY</t>
  </si>
  <si>
    <t>MicroRNAs (miRNAs) are key regulators of gene expression, shaping neuroplasticity, stress responses, and neuromodulation. In the pond snail Lymnaea stagnalis, inhibition of the miRNA-processing enzyme Dicer with Poly-L-Lysine (PLL) has been shown to impair long-term memory (LTM) formation, yet the molecular pathways affected remain unclear. Here, we examined PLL injection's transcriptional and cellular/neurochemical effects in untrained (i.e., non-associatively conditioned) snails. We focused on genes involved in neuroplasticity (Lym-GRIN1, LymCREB1), stress response (LymHSP70), and serotonergic/dopaminergic signaling (LymTPH, Lym-SERT, LymDDC), along with measurements of the levels of serotonin, dopamine, and HSP70 protein. We found that PLL did not alter the expression of memory-related genes in the non-associatively conditioned snails. However, we observed a marked downregulation of LymTPH and LymSERT, which was accompanied by a significant reduction in the level of serotonin. In contrast, the expression of LymDDC and the level of dopamine remained unchanged. Although we detected a significant upregulation in the expression of LymHSP70, indicating a strong stress response, the level of HSP70 protein did not change significantly. These findings suggest that PLL-induced Dicer inhibition primarily disrupts serotonin homeostasis, potentially altering motivation and feeding behaviour rather than directly impairing memory processes. This study highlights the broader role of miRNA pathways in regulating stress resilience and neuromodulation. By linking miRNA activity to serotonergic signaling, our findings suggest that miRNAs influence behavioural states beyond synaptic plasticity, with potential implications for understanding how miRNA dysregulation affects mood, motivation, and cognitive function across species.</t>
  </si>
  <si>
    <t>10.1016/j.cbpc.2025.110291</t>
  </si>
  <si>
    <t>Lalouette, A; Degli Esposti, D; Garnero, L; Allibert, M; Dherret, L; Dabrin, A; Delorme, N; Recoura-Massaquant, R; Chaumot, A</t>
  </si>
  <si>
    <t>Acclimation and transgenerational plasticity support increased cadmium tolerance in Gammarus populations exposed to natural metal contamination in headwater streams</t>
  </si>
  <si>
    <t>Considering long-term population effects of chronic exposure to contaminants remains limited in ecological risk assessment. Field evidence that multigenerational exposure influences organisms' sensitivity is still scarce, and mechanisms have yet to be elucidated in the environmental context. This study focuses on the crustacean Gammarus fossarum, for which an increased tolerance to cadmium (Cd) has previously been reported in a naturally low-contaminated headwater stream. Our objectives were to investigate whether Cd tolerance is a common phenomenon in headwater populations, and to elucidate the nature of the tolerance and its intergenerational transmission. For this, we carried out an in-depth in situ characterization of Cd exposure (gammarids' caging) and levels of tolerance in nine populations on a regional scale, as well as laboratory maintenance and cross-breeding of contaminated and uncontaminated populations. Acute tolerance levels correlate positively with bioavailable Cd contamination levels among streams. The contaminated and non-contaminated populations differ about two-fold in sensitivity to Cd. Tolerance was found in all age classes of contaminated populations, it can be transiently lost during the year, and it was transmissible to offspring. In addition, tolerance levels dropped significantly when organisms were transferred to a Cd-free environment for two months. These organisms also ceased producing tolerant offspring, confirming a non-genetic transmission of Cd tolerance between generations. These findings support that Cd tolerance corresponds to non-genetic acclimation combined with transgenerational plasticity. Moreover, cross-breeding revealed that tolerance transmission to offspring is not limited to maternal effect. We suggest epigenetics as a plausible mechanism for the plasticity of Cd sensitivity observed in the field. Our results therefore highlight the neglected role of plasticity and non-genetic transmission of modified sensitivities during the long-term exposure of natural populations to environmental contamination.</t>
  </si>
  <si>
    <t>DEC 10</t>
  </si>
  <si>
    <t>10.1016/j.scitotenv.2023.166216</t>
  </si>
  <si>
    <t>Siddique, A; Shahid, N; Liess, M</t>
  </si>
  <si>
    <t>Multiple Stress Reduces the Advantage of Pesticide Adaptation</t>
  </si>
  <si>
    <t>Under global change scenarios, multistress conditions may occur regularly and require adaptation. However, the adaptation to one stressor might be associated with the increased sensitivity to another stressor. Here, we investigated the ecological consequences of such trade-off under multiple stress. We compared the pesticide tolerance of the crustacean Gammarus pulex from agricultural streams with populations from reference streams. Under optimum temperature, G. pulex from agricultural streams were considerably more tolerant to pesticides as compared to the reference populations. Here, we assume that the increased tolerance in agricultural populations is the combination of acclimation, epigenetic effect, and genetic evolution. After experimental pre-exposure to very low concentration (LC50/1000), reference populations showed increased pesticide tolerance. In contrast, pre-exposure did not further increase the tolerance of agricultural populations. Moreover, these populations were more sensitive to elevated temperature alone due to the hypothesized fitness cost of genetic adaptation to pesticides. However, both reference and agricultural populations showed a similar tolerance to the combined stress of pesticides and warming due to stronger synergistic effects in adapted populations. As a result, pesticide adaptation loses its advantage. The combined effect was predicted well using the stress addition model, developed for predicting the synergistic interaction of independent stressors. We conclude that under multistress conditions, adaptation to pesticides reduces the general stress capacity of individuals and trade-off processes increase the sensitivity to additional stressors. This causes strong synergistic effects of additional stressors on pesticide-adapted individuals.</t>
  </si>
  <si>
    <t>10.1021/acs.est.1c02669</t>
  </si>
  <si>
    <t>del Valle, LJ</t>
  </si>
  <si>
    <t>In vitro decondensation of the sperm chromatin in Holothuria tubulosa (sea cucumber) not affecting proteolysis of basic nuclear proteins</t>
  </si>
  <si>
    <t>DEVELOPMENT GROWTH &amp; DIFFERENTIATION</t>
  </si>
  <si>
    <t>Sea urchin and sea star oocyte extracts contain proteolytic activities that are active against sperm basic nuclear proteins (SNBP). This SNBP degradation has been related to the decondensation of sperm chromatin as a possible model to male pronuclei formation. We have studied the presence of this proteolytic activity in Holothuria tubulosa (sea cucumber) and its possible relationship with sperm nuclei decondensation. The mature oocyte extracts from H. tubulosa contain a proteolytic activity to SNBP located in the macromolecular fraction of the egg-jelly layer. SNBP degradation occurred both on sperm nuclei and on purified SNBP, histones being more easily degraded than protein O-o (sperm-specific protein). SNBP degradation was found to be dependent on concentration, incubation time, presence of Ca2+, pH, and this activity could be a serine-proteinase. Thermal denaturalization of the oocyte extracts (80 degrees C, 10-15 min) inactivates its proteolytic activity on SNBP but does not affect sperm nuclei decondensation. These results would suggest that sperm nuclei decondensation occurs by a mechanism different from SNBP degradation. Thus, the sperm nuclei decondensation occurs by a thermostable factor(s) and the removal of linker SNBP (H1 and protein O-o) will be a first condition in the process of sperm chromatin remodeling.</t>
  </si>
  <si>
    <t>Kreiss, T; Eck, T; Hart, B; Tummalapalli, S; Rotella, D; Siekierka, J</t>
  </si>
  <si>
    <t>A novel series of putative Brugia malayi histone demethylase inhibitors as potential anti-filarial drugs</t>
  </si>
  <si>
    <t>Filariasis, caused by a family of parasitic nematodes, affects millions of individuals throughout the tropics and is a major cause of acute and chronic morbidity. Current drugs are largely used in mass drug administration programs aimed at controlling the spread of disease by killing microfilariae, larval forms of the parasite responsible for transmission from humans to humans through insect vectors with limited efficacy against adult parasites. Although these drugs are effective, in some cases there are toxic liabilities. In case of loiasis which is caused by the parasitic eyeworm Loa loa, mass drug administration is contraindicative due to severe side effects of microfilariae killing, which can be life threatening. Our screening program and medicinal chemistry efforts have led to the identification of a novel series of compounds with potent killing activity against adult filarial parasites and minimal activity against microfilariae. A structural comparison search of our compounds demonstrated a close structural similarity to a recently described histone demethylase inhibitor, GSKJ1/4 which also exhibits selective adult parasite killing. We demonstrated a modification of histone methylation in Brugia malayi parasites treated with our compounds which might indicate that the mode of drug action is at the level of histone methylation. Our results indicate that targeting B. malayi and other filarial parasite demethylases may offer a novel approach for the development of a new class of macrofilaricidal therapeutics.</t>
  </si>
  <si>
    <t>10.1371/journal.pntd.0010216</t>
  </si>
  <si>
    <t>Uribe, JE; Williams, ST; Templado, J; Buge, B; Zardoya, R</t>
  </si>
  <si>
    <t>Phylogenetic relationships of Mediterranean and North-East Atlantic Cantharidinae and notes on Stomatellinae (Vetigastropoda: Trochidae)</t>
  </si>
  <si>
    <t>The subfamily Cantharidinae Gray, 1857 (Trochoidea: Trochidae) includes 23 recognized genera and over 200 known living species. These marine top shell snails are microphagous grazers that generally live in shallow rocky shores and in macroalgae and seagrass beds of sub-tropical and temperate waters from the Central and Western Indo-Pacific biogeographic regions to the Mediterranean Sea and the Eastern Atlantic Ocean. Recent molecular phylogenetic studies revising the family Trochidae supported the monophyly of the subfamily Cantharidinae and its sister group relationship to the subfamily Stomatellinae. These studies and others has thus far mostly focused on Indo-Pacific members of the subfamily Cantharidinae whereas here, we investigated phylogenetic relationships among their counterparts from the Mediterranean Sea and the North-eastern (NE) Atlantic Ocean including 33 species of genera Gibbula, Jujubinus, Phorcus, Clelandella, and Callumbonella. The Mediterranean and NE Atlantic taxa were supplemented with 30 Indo-Pacific Cantharidinae species plus 19 members of the sister group subfamily Stomatellinae. Phylogenetic trees were constructed using Bayesian inference and maximum likelihood with two datasets comprised of partial sequences of four or six mitochondrial (coxl, rrnL, rrnS, and cob) and nuclear (28S rRNA and histone H3) genes. A Glade comprised of all Mediterranean and NE Atlantic taxa was recovered with high support, but its sister group among the Indo-Pacific lineages could not be determined with confidence (although the assignment of Trochus kotschyi to Priotrochus could be rejected). Within the Mediterranean and NE Atlantic Glade, genera Phorcus and Jujubinus were recovered as reciprocally monophyletic, and the deep-sea genera Clelandella and Callumbonella were placed with high support as sister to Jujubinus. However, the genus Gibbula as currently defined was not monophyletic and constituent species were divided into three major clades and two independent lineages. Phylogenetic relationships among Phorcus, Jujubinus (plus Clelandella and Callumbonella), and the different clades of Gibbula were not fully resolved but received higher support in the phylogenetic analyses based on six genes. A first approach to resolve phylogenetic relationships within Stomatellinae was conducted showing that the diversity of the subfamily is highly underestimated at present, and that Calliotrochus is possibly a member of this subfamily. A chronogram was reconstructed using an uncorrelated relaxed lognormal molecular clock and the origin of the Mediterranean and NE Atlantic Glade was dated right after the Azolla phase in the Middle Eocene about 48 million years ago whereas diversification of major clades (genera) followed the eastern closure of the Tethys Ocean in the Middle Miocene about 14 million years ago. Crown Copyright (C) 2016 Published by Elsevier Inc. All rights reserved.</t>
  </si>
  <si>
    <t>10.1016/j.ympev.2016.10.009</t>
  </si>
  <si>
    <t>Qian, HL; Ma, KY; Feng, JB; Guo, ZQ; Gong, JH; Chen, HE; Bai, HT; Qiu, GF</t>
  </si>
  <si>
    <t>Transcriptome analysis of the post-larvae of giant freshwater prawn (Macrobrachium rosenbergii) after IAG gene knockdown with microRNA interference</t>
  </si>
  <si>
    <t>The insulin-like androgenic gland hormone gene (IAG) of crustaceans plays pivotal roles in the regulation of sex differentiation. MicroRNAs (miRNAs) are a class of short, non-coding RNAs that function as post-transcriptional gene regulators. However, little information about the regulatory relationship between miRNA and Macro-brachium rosenbergii IAG (MrIAG) were exposed. In this study, we used the 3' untranslated region (UTR) of MrIAG to predict potential target sites of miRNAs. The results showed that miR-184 has one target site in the 3' UTR of MrIAG. Dual-luciferase report assay in vitro confirmed that miR-184 can significantly down-regulate MrIAG expression. Besides, we constructed mutant plasmids of 3' UTR of MrIAG. The result displayed that after co-transfection of mutant plasmids and miR-184 agomir, the activity of luciferase was not affected compared to the control. These results indicated that miR-184 could directly regulate MrIAG. In addition, we found that overexpression of miR-184 in M. rosenbergii can lead to significant changes in the transcription level of genes. Compared with control group, we identified 1510 differentially expressed genes (DEGs) in the miR-184 injection group. Some DEGs were involved in sex differentiation, gonad development, growth and molting were found. qRT-PCR verification was performed on eight DEGs randomly, and the results showed that the expression level of sex-, growth-, and metabolism-related genes changed significantly after MrIAG gene knockdown. Collectively, findings from this study suggest that miR-184, by mediating IAG expression, may be involved in many physio-logical processes in M. rosenbergii. The current study lays a basic understanding for short-term silencing of MrIAG with miR-184, and facilitates miRNA function analysis in M. rosenbergii in future.</t>
  </si>
  <si>
    <t>SEP 1</t>
  </si>
  <si>
    <t>10.1016/j.ygcen.2022.114054</t>
  </si>
  <si>
    <t>Watanabe, K; Fujita, M; Okamoto, K; Yoshioka, H; Moriwaki, M; Tagashira, H; Awazu, A; Yamamoto, T; Sakamoto, N</t>
  </si>
  <si>
    <t>The crucial role of CTCF in mitotic progression during early development of sea urchin</t>
  </si>
  <si>
    <t>CCCTC-binding factor (CTCF), an insulator protein with 11 zinc fingers, is enriched at the boundaries of topologically associated domains (TADs) in eukaryotic genomes. In this study, we isolated and analyzed the cDNAs encoding HpCTCF, the CTCF homolog in the sea urchin Hemicentrotus pulcherrimus, to investigate its expression patterns and functions during the early development of sea urchin. HpCTCF contains nine zinc fingers corresponding to fingers 2-10 of the vertebrate CTCF. Expression pattern analysis revealed that HpCTCF mRNA was detected at all developmental stages and in the entire embryo. Upon expressing the HpCTCF-GFP fusion protein in early embryos, we observed its uniform distribution within interphase nuclei. However, during mitosis, it disappeared from the chromosomes and subsequently reassembled on the chromosome during telophase. Moreover, the morpholino-mediated knockdown of HpCTCF resulted in mitotic arrest during the morula to blastula stage. Most of the arrested chromosomes were not phospholylated at serine 10 of histone H3, indicating that mitosis was arrested at the telophase by HpCTCF depletion. Furthermore, impaired sister chromatid segregation was observed using time-lapse imaging of HpCTCF-knockdown embryos. Thus, HpCTCF is essential for mitotic progression during the early development of sea urchins, especially during the telophase-to-interphase transition. However, the normal development of pluteus larvae in CRISPR-mediated HpCTCF-knockout embryos suggests that disruption of zygotic HpCTCF expression has little effect on embryonic and larval development.</t>
  </si>
  <si>
    <t>10.1111/dgd.12875</t>
  </si>
  <si>
    <t>Hentschel, F; Sasse, F; Lindel, T</t>
  </si>
  <si>
    <t>Fluorescent analogs of the marine natural product psammaplin A: synthesis and biological activity</t>
  </si>
  <si>
    <t>ORGANIC &amp; BIOMOLECULAR CHEMISTRY</t>
  </si>
  <si>
    <t>The symmetrical disulfide psammaplin A from the marine sponge Pseudoceratina sp. was synthesized and structurally altered by replacement of one of the alpha-(hydroxyimino) acyl units by a fluorescent 4-coumarinacetyl moiety. Thus, the first fluorescent analogs of psammaplin A were obtained. Structural variation also covered the substitution pattern of the phenyl ring. Cytotoxicity of psammaplin A against the mouse fibroblast cell line L-929 (IC50 0.42 mu g mL(-1)) was about two-fold higher than that of the fluorescent hybrid compounds, whereas the disulfide containing two 4-coumarinacetyl moieties was inactive. Fluorescence microscopy revealed uptake of the 4-coumarinacetyl-alpha-(hydroxyimino) acyl hybrids into the cytoplasm leading to fluorescence in close proximity of the nuclear envelope, most likely in the Golgi apparatus. We did not observe strong fluorescence inside the nucleus, where most of the target histone deacetylases are located. We conclude that reduction of the disulfide probably takes place outside the nucleus. The psammaplin-derived thiol exhibited potent activity against histone deacetylase in the low nanomolar range, but diminished cytotoxicity. Antimicrobial activity of the new derivatives was also determined.</t>
  </si>
  <si>
    <t>10.1039/c2ob25909e</t>
  </si>
  <si>
    <t>Afzali, F; Salimi, M</t>
  </si>
  <si>
    <t>Unearthing Regulatory Axes of Breast Cancer circRNAs Networks to Find Novel Targets and Fathom Pivotal Mechanisms</t>
  </si>
  <si>
    <t>INTERDISCIPLINARY SCIENCES-COMPUTATIONAL LIFE SCIENCES</t>
  </si>
  <si>
    <t>Circular RNAs (circRNAs) possess valuable characteristics for both diagnosis and treatment of several human cancers including breast cancer (BC). In this study, we combined several systems, biology tools and approaches to identify influential BC circRNAs, miRNAs, and related mRNAs as the members of competing endogenous RNAs (ceRNAs) networks and related RNA binding proteins (RBPs) to study and decipher the BC-triggering biological processes and pathways. Rooting from the identified total of 25 co-differentially expressed circRNAs (DECs) between triple negative (TN) and luminal A subtypes of BC from microarray analysis, five hub DECs (hsa_circ_0003227, hsa_circ_0001955, hsa_circ_0020080, hsa_circ_0001666, and hsa_circ_0065173) and top eleven RBPs (AGO1, AGO2, EIF4A3, FMRP, HuR (ELAVL1), IGF2BP1, IGF2BP2, IGF2BP3, EWSR1, FUS, and PTB) were explored to form the upper stream regulatory elements. All the hub circRNAs were regarded as a super sponge having multiple miRNA response elements (MREs). Then, three BC leading miRNAs (hsa-miR-149, hsa-miR-182, and hsa-miR-383) were also introduced from merging several established ceRNAs networks. The predicted 7- and 8-mer MREs matches between hub circRNAs and leading miRNAs ensured their enduring regulatory capability. The mined downstream mRNAs of the circRNAs-miRNAs network then were presented to STRING database to form the PPI network and to decipher the issue from another point of view. The BC interconnected enriched pathways and processes guarantee the merits of the ceRNAs network's members as targetable therapeutic elements. This study suggested extensive panels of novel therapeutic targets that are in charge of BC progression, hence their impressive role cannot be excluded and needs deeper empirical laboratory designs.</t>
  </si>
  <si>
    <t>10.1007/s12539-019-00339-6</t>
  </si>
  <si>
    <t>Ueno, K; Samura, M; Nakamura, T; Tanaka, Y; Takeuchi, Y; Kawamura, D; Takahashi, M; Hosoyama, T; Morikage, N; Hamano, K</t>
  </si>
  <si>
    <t>Increased plasma VEGF levels following ischemic preconditioning are associated with downregulation of miRNA-762 and miR-3072-5p</t>
  </si>
  <si>
    <t>Ischemic preconditioning (IPC) has protective effects against ischemia-perfusion injury of organs. In the present study, we investigated the associated mechanisms after performing remote IPC (rIPC) of lower limbs by clamping abdominal aorta in mice. Subsequent experiments showed decreased damage and paralysis of lower limbs following spinal cord injury (SCI). Concomitantly, plasma vascular endothelial growth factor (VEGF) levels were increased 24 h after rIPC compared with those in sham-operated animals. In subsequent microRNA analyses, thirteen microRNAs were downregulated in exosomes 24 h after rIPC. Further studies of femoral CD34-positive bone marrow (BM) cells confirmed downregulation of these seven microRNAs 24 h after rIPC compared with those in sham-operated controls. Subsequent algorithm-based database searches suggested that two of the seven microRNAs bind to the 3'UTR of VEGF mRNA, and following transfection into CD34-positive BM cells, anti-miR-762, and anti-miR-3072-5p inhibitors led to increased VEGF concentrations. The present data suggest that rIPC transiently increases plasma VEGF levels by downregulating miR-762 and miR-3072-5p in CD34-positive BM cells, leading to protection against organ ischemia.</t>
  </si>
  <si>
    <t>10.1038/srep36758</t>
  </si>
  <si>
    <t>Patat, SA; Carnegie, RB; Kingsbury, C; Gross, PS; Chapman, R; Schey, KL</t>
  </si>
  <si>
    <t>Antimicrobial activity of histones from hemocytes of the Pacific white shrimp</t>
  </si>
  <si>
    <t>The role of vertebrate histone proteins or histone derived peptides as innate immune effectors has only recently been appreciated. In this study, high levels of core histone proteins H2A, H2B, H3 and H4 were found in hemocytes from the Pacific white shrimp, Litopenaeus vannamei. The proteins were identified by in-gel digestion, mass spectrometry analysis, and homology searching. The L. vannamei histone proteins were found to be highly homologous to histones of other species. Based on this homology, histone H2A was cloned and its N-terminus was found to resemble the known antimicrobial histone peptides buforin I, parasin, and hipposin. Consequently, a 38 amino acid synthetic peptide identical to the N-terminus of shrimp H2A was synthesized and assayed, along with endogenous histones H2A, H2B, and H4, for growth inhibition against Micrococcus luteus. Histone H2A, purified to homogeneity, completely inhibited growth of the Gram-positive bacterium at 4.5 mum while a mixture of histones H2B and H4 was active at 3 mum. In addition, a fraction containing a fragment of histone H1 was also found to be active. The synthetic peptide similar to buforin was active at submicromolar concentrations. These data indicate, for the first time, that shrimp hemocyte histone proteins possess antimicrobial activity and represent a defense mechanism previously unreported in an invertebrate. Histones may be a component of innate immunity more widely conserved, and of earlier origin, than previously thought.</t>
  </si>
  <si>
    <t>10.1111/j.1432-1033.2004.04448.x</t>
  </si>
  <si>
    <t>Valenzuela-Miranda, D; Nuñez-Acuña, G; Valenzuela-Muñoz, V; Asgari, S; Gallardo-Escárate, C</t>
  </si>
  <si>
    <t>MicroRNA biogenesis pathway from the salmon louse (Caligus rogercresseyi): Emerging role in delousing drug response</t>
  </si>
  <si>
    <t>Despite the increasing evidence of the importance of microRNAs (miRNAs) in the regulation of multiple biological processes, the molecular bases supporting this regulation are still barely understood in crustaceans. Therefore, the molecular characterization and transcriptome modulation of the miRNA biogenesis pathway were evaluated in the salmon louse Caligus rogercresseyi, an ectoparasite that constitutes one of the biggest concerns for salmonid aquaculture industry. Hence, RNA-Seq analysis was conducted from six different developmental stages, and also after bioassays with delousing drugs Deltamethrin and Azamethiphos using adult individuals. In silica analysis evidenced 24 putative genes involved in the miRNA pathway such as biogenesis, transport, maturation and miRNA-target interaction. Moreover, 243 putative single nucleotide polymorphisms (SNPs) were identified, 15 of which showed non-synonyarmutations. RNA-Seq analysis revealed that CCR4-Not complex subunit 3 (CNOT3) was upregulated at earlier developmental stages (nauplius I-II and copepodid), and also after the exposure to Azamethiphos, but not to Deltamethrin. In contrast, the subunit 7 (CNOT7) showed an inverse expression pattern. Different Argonaute transcripts were associated to chalimus and adult stages, revealing specific expression patterns in response to antiparasitic drugs. Our results suggest novel insights into the regulatory network of the post-transcriptional gene regulation in C. rogercresseyi mediated by miRNAs, evidencing a putative role during the ontogeny and drug response. (C) 2014 Elsevier B.V. All rights reserved.</t>
  </si>
  <si>
    <t>JAN 25</t>
  </si>
  <si>
    <t>10.1016/j.gene.2014.11.008</t>
  </si>
  <si>
    <t>Wu, HR; Lin, RL; Hong, LL</t>
  </si>
  <si>
    <t>Two lncRNA signatures with cuproptosis as a novel prognostic model and clinicopathological value for endometrioid endometrial adenocarcinoma</t>
  </si>
  <si>
    <t>AGING-US</t>
  </si>
  <si>
    <t>Objective: Cuproptosis may contribute to tumorigenesis. However, the predictive value and therapeutic significance of cuproptosis-related lncRNAs (CRLs) in endometrioid endometrial adenocarcinoma (EEA) remains unknown. Methods: We obtained RNA-seq data from TCGA database and searched the Literature to identify cuproptosisrelated genes. Using machine learning models, we identified prognostic lncRNAs for cuproptosis. Immune properties and drug sensitivity were investigated based on these signatures. Further, a ceRNA network was constructed by bioinformatics and in vitro experiments were performed. Results: We determined two cuproptosis-related signatures to build the prognostic model in EEA. Afterward, the risk scores of two cuproptosis-related signatures were associated with clinicopathological molecular typing and as independent prognostic factors for EEA. In addition, we observed significant differences in immune function, checkpoints, and CD8+ T lymphocyte infiltration between the two risk groups. Furthermore, chemotherapy drugs such as AKT inhibitors exhibited lower IC50 values in the high-risk group. We speculate that ACOXL-AS1 can be served as an endogenous 'sponge' to regulate the expression of MTF1 by miR-421. Through in vitro experiments, we preliminarily validated the ceRNA network relationship in the cellular model. Conclusion: In EEAs, this study proposed a broad molecular signature of CRLs are promising biomarkers for predicting clinical outcomes and therapeutic responses.</t>
  </si>
  <si>
    <t>Liu, J; Cao, ZW</t>
  </si>
  <si>
    <t>RETRACTED: Protective Effect of Circular RNA (CircRNA ) Ddx17 in Ovalbumin (OVA)-Induced Allergic Rhinitis (AR) Mice (Retracted Article)</t>
  </si>
  <si>
    <t>MEDICAL SCIENCE MONITOR</t>
  </si>
  <si>
    <t>Background: CircRNAs are involved in multiple biological processes, especially when they act as sponges of miRNA. Thus, the present study investigated the effect of circDdxl7 on allergic rhinitis (AR) in an animal model, and determined the miRNA that was involved in this effect. Material/Methods: The AR model was created by repetitive stimulation of ovalbumin (OVA). The levels of mRNAs in plasma were determined by qPCR. CircDdx17 stability was assessed using RNase R. The interaction between circDdx17 and miR-17-5p was predicted by bioinformatics and confirmed by dual luciferase assay. Moreover, the frequencies of rubbing and sneezing and pathological changes were recorded, and OVA-specific IgE, tumor necrosis factor (TNF)-alpha, interleukin (IL)-4, and IL-5 levels were detected by ELISA. Results: Levels of circDdx17 were decreased in OVA-induced AR mice, and miR-17-5p interacted with circDdx17 in spleen cells derived from mice. Moreover, circDdx17 overexpression reduced the expression of miR-17-5p, OVA-specific IgE, TNF-alpha, IL-4, and IL-5, as well as the frequencies of rubbing and sneezing, and alleviated pathological changes in OVA-induced AR mice. Conclusions: CircDdx17 appears to have a protective effect on mice in the progression of AR. Specifically, overexpression of circDdx17 inhibited the expression of miR-17-5p and alleviated the condition of AR. Therefore, circDdx17 appears to be a good candidate for use in prevention of AR. However, the detailed mechanism underlying the circDdx17/miR-17-5p regulatory pathway requires further study.</t>
  </si>
  <si>
    <t>10.12659/MSM.919083</t>
  </si>
  <si>
    <t>Palkar, MB; Rane, RA; Thapliyal, N; Shaikh, MS; Alwan, WS; Jain, KS; Karunanidhi, S; Patel, HM; Hampannavar, GA; Karpoormath, R</t>
  </si>
  <si>
    <t>An Insight into Purine, Tyrosine and Tryptophan Derived Marine Antineoplastic Alkaloids</t>
  </si>
  <si>
    <t>ANTI-CANCER AGENTS IN MEDICINAL CHEMISTRY</t>
  </si>
  <si>
    <t>There is an ever-increasing need for the development of new drugs with safe and improved profile for the treatment of cancer. From time immemorial, nature has been considered as an abundant source of medicinal compounds having therapeutic properties. An enormous chemical diversity is present in thousands and millions of species of microorganisms, marine organisms, plants and animals that can act as potential therapeutic agents against various types of human cancer. Literature survey revealed that many alkaloids isolated from marine cyanobacteria, fungi, algae, sponges and tunicates displayed a wide range of anticancer properties like antiproliferative, antiangiogenic, induction of apoptosis, promoting cytotoxicity by inhibition of topoisomerase activities and tubulin polymerization. In this context, bastadins derived from tyrosine-based alkaloids have been reported as one the important class of anticancer agents. In particular bastadin 6 (24), seems to be a promising natural lead compound for the development of marine natural product-based anticancer therapeutic agents. This review mainly highlights the pharmacologically active scaffolds like purine, tyrosine and tryptophan containing marine alkaloids that exhibit biological activity, including anti-angiogenesis, cytotoxicity and anticancer activity.</t>
  </si>
  <si>
    <t>10.2174/1871520615666150101143520</t>
  </si>
  <si>
    <t>Ma, XL; Zhao, XM; Wang, KL; Tang, XY; Guo, JX; Mi, M; Qi, YP; Chang, LL; Huang, Y; Tong, DW</t>
  </si>
  <si>
    <t>Identification and analysis of long non-coding RNAs that are involved in inflammatory process in response to transmissible gastroenteritis virus infection</t>
  </si>
  <si>
    <t>Background Transmissible gastroenteritis virus (TGEV) infection can cause acute inflammation. Long noncoding RNAs (lncRNAs) play important roles in a number of biological process including inflammation response. However, whether lncRNAs participate in TGEV-induced inflammation in porcine intestinal epithelial cells (IPECs) is largely unknown. Results In this study, the next-generation sequencing (NGS) technology was used to analyze the profiles of lncRNAs in Mock and TGEV-infected porcine intestinal epithelial cell-jejunum 2 (IPEC-J2) cell line. A total of 106 lncRNAs were differentially expressed. Many differentially expressed lncRNAs act as elements to competitively attach microRNAs (miRNAs) which target to messenger RNA (mRNAs) to mediate expression of genes that related to toll-like receptors (TLRs), NOD-like receptors (NLRs), tumor necrosis factor (TNF), and RIG-I-like receptors (RLRs) pathways. Functional analysis of the binding proteins and the up/down-stream genes of the differentially expressed lncRNAs revealed that lncRNAs were principally related to inflammatory response. Meanwhile, we found that the differentially expressed lncRNA TCONS_00058367 might lead to a reduction of phosphorylation of transcription factor p65 (p-p65) in TGEV-infected IPEC-J2 cells by negatively regulating its antisense gene promyelocytic leukemia (PML). Conclusions The data showed that differentially expressed lncRNAs might be involved in inflammatory response induced by TGEV through acting as miRNA sponges, regulating their up/down-stream genes, or directly binding proteins.</t>
  </si>
  <si>
    <t>10.1186/s12864-019-6156-5</t>
  </si>
  <si>
    <t>Martinsson, S; Erséus, C</t>
  </si>
  <si>
    <t>Cryptic diversity in the well-studied terrestrial worm Cognettia sphagnetorum (Clitellata: Enchytraeidae)</t>
  </si>
  <si>
    <t>PEDOBIOLOGIA</t>
  </si>
  <si>
    <t>The terrestrial worm Cognettia sphagnetorum has been used as a model in several studies focusing on research areas such as climate change as well as forest and soil ecology; it has also been shown to play a key role in the decomposition of organic matter and nutrient cycling. Cognettia is an enchytraeid genus commonly found in acidic terrestrial habitats, such as coniferous forests and bogs. In this study, the diversity of the genus, with particular focus on the morphospecies C sphagnetorum in northern Europe, is assessed using four molecular markers, the mitochondrial COI (cytochrome c oxidase subunit I) and 16S (16S ribosomal RNA), and the nuclear H3 (Histone 3) and ITS (Internal Transcribed Spacer). The datasets were first delimited into Molecular Operational Units (MOTUs) and the existence of global barcoding-gaps was tested. Single gene-trees were then estimated for all genes using Bayesian Inference, and a species tree was estimated with all markers combined using the multi-species coalescence. The results show that in northern Europe the genus consists of at least eight MOTUs supported by all genes except H3. Four of these MOTUs were within the morphotaxon C. sphagnetorum and two within Cognettia glandulosa. C sphagnetorum s.l. was found to be non-monophyletic in all gene-trees, as well as in the species tree. As the MOTUs were well separated and non-monophyly was observed within C sphagnetorum s.l., we conclude that the MOTUs are best treated as separate species. Given that cryptic diversity was found in this genus, we recommend that material of Cognettia used in future studies should be identified using molecular barcodes. (C) 2013 Elsevier GmbH. All rights reserved.</t>
  </si>
  <si>
    <t>10.1016/j.pedobi.2013.09.006</t>
  </si>
  <si>
    <t>Tritten, L; Burkman, EJ; Clark, T; Verocai, GG</t>
  </si>
  <si>
    <t>Secretory microRNA Profiles of Third- and Fourth-Stage Dirofilaria immitis Larvae with Different Macrocyclic Lactone Susceptibility: In Search of Biomarkers for Early Detection of Infection</t>
  </si>
  <si>
    <t>PATHOGENS</t>
  </si>
  <si>
    <t>The canine heartworm, Dirofilaria immitis, is among the most important parasites of dogs in the United States and worldwide, and may cause severe and potentially fatal disease. Current diagnostic recommendations rely on serological detection of an adult female antigen, and visualization of microfilariae in the blood. Therefore, a reliable diagnosis can be only performed approximately six months post-infection. There is a growing need to characterize novel diagnostic markers that are capable of detecting the early stages of heartworm infection, in special markers associated with third-stage larvae (L3) and fourth-stage larvae (L4). The early detection of infection would guide medical interventions that could impede the development of patent infections and further parasite transmission. We cultured D. immitis L3 and L4 of two laboratorial strains with different susceptibility statuses to macrocyclic lactone drugs in vitro. Excretory/secretory microRNAs were sequenced and analyzed. We identified two miRNA novel candidates secreted abundantly by both L3 and L4 of both strains. These candidates were previously detected in the secretions of other D. immitis stages and one of them was found in the blood of D. immitis-infected dogs. These miRNAs have not been found in the secretions of other nematodes and could be D. immitis-specific diagnostic biomarkers, which could allow for the early detection of infection.</t>
  </si>
  <si>
    <t>10.3390/pathogens10070786</t>
  </si>
  <si>
    <t>Wahl, M; Borojovich, Y; Levy, T; Asculai, N; Manor, R; Rotblat, B; Levin, L; Chalifa-Caspi, V; Aflalo, ED; Sagi, A</t>
  </si>
  <si>
    <t>Identifying sex-chromosome-linked determinants of sexual differentiation in a WZ-ZZ sex inheritance crustacean†</t>
  </si>
  <si>
    <t>BIOLOGY OF REPRODUCTION</t>
  </si>
  <si>
    <t>Sex determination triggers transcriptional cascades, leading to the development of male or female phenotypes. The aim of this study was to shed light on the linkage between sex determination and sexual differentiation by identifying key W/Z-linked elements that control sexual differentiation in crustaceans with the WZ-ZZ mode of sex inheritance. To this end, we leveraged our previous studies on the insulin-like androgenic gland (IAG) hormone, which serves as a master switch-termed the IAG-switch-in the freshwater prawn Macrobrachium rosenbergii, in which manipulations of the IAG-switch afforded functional WZ males, ZZ females, and even WW males and females. To uncover the link between sex determination and sexual differentiation, males and females lacking either the W or the Z chromosome were used to establish a transcriptomic library of early developmental stages (embryo, larva, and post-larva), followed by clustering analysis of differentially expressed genes. Mapping of these genes to the M. rosenbergii sex chromosomes yielded W/Z-linked candidates with a male-biased expression pattern culminating at day 10 post-larvae (PL10), which marks the phenotypic sexual differentiation stage. Among these genes, two leading candidates were identified, namely, a W/Z-associated coding gene (cytochrome P450 4c3-like, MrCYP4), and a Z-specific long noncoding RNA (MrZlnc). Silencing of these two candidates caused a reduction in MrIAG expression and vice versa, clearly indicating crosstalk with the IAG-switch. The study thus constitutes the first step in unraveling key elements that control sexual differentiation in crustaceans exhibiting WZ-ZZ sex inheritance. Sexually biased genes residing on the W and Z chromosomes were identified in a transcriptomic library of early developmental stages of WW and ZZ prawns, revealing crosstalk between W/Z-linked coding and non-coding genes and the IAG-mediated sexual switch.</t>
  </si>
  <si>
    <t>10.1093/biolre/ioaf138</t>
  </si>
  <si>
    <t>Han, ZP; Chen, HF; Guo, ZH; Zhu, JX; Xie, XY; Li, YG; He, JH</t>
  </si>
  <si>
    <t>Bioinformatics Analysis: The Regulatory Network of hsa_circ_0007843 and hsa_circ_0007331 in Colon Cancer</t>
  </si>
  <si>
    <t>BIOMED RESEARCH INTERNATIONAL</t>
  </si>
  <si>
    <t>Objective. To analyze the molecular regulation network of circular RNA (circRNA) in colon cancer (CC) by bioinformatics method. Methods. hsa_circ_0007843 and hsa_circ_0007331 proved to be associated with CC in previous studies were chosen as the research object. ConSite database was used to predict the transcription factors associated with circRNA, and the CC-associated transcription factors were screened out after intersection. The CircInteractome database was used to predict the RNA-binding proteins (RBPs) interacting with circRNAs and screen out the CC-associated RBPs after an intersection. Furthermore, the CircInteractome database was used to predict the miRNAs interrelated with circRNAs, and the HMDD v3.2 database was used to search for miRNAs associated with CC. The target mRNAs of miRNA were predicted by the miRWalk v3.0 database. CC-associated target genes were screened out from the GeneCards database, and the upregulated genes were enriched and analyzed by the FunRich 3.1.3 software. Finally, the molecular regulatory network diagram of circRNA in CC was plotted. Results. The ConSite database predicted a total of 14 common transcription factors of hsa_circ_0007843 and hsa_circ_0007331, among which Snail, SOX17, HNF3, C-FOS, and ROR alpha-1 were related to CC. The CircInteractome database predicted that the RBPs interacting with these two circRNAs were AGO2 and EIF4A3, and both of them were related to CC. A total of 17 miRNAs interacting with hsa_circ_0007843 and hsa_circ_0007331 were predicted by CircInteractome database. miR-145-5p, miR-21, miR-330-5p, miR-326, and miR-766 were associated with CC according to the HMDDv3.2 database. miR-145-5p and miR-330-5p, lowly expressed in CC, were analyzed in the follow-up study. A total of 676 common target genes of these two miRNAs were predicted by the miRWalk3.0 database. And 57 target genes were involved in the occurrence and development of CC from the GeneCards database, with 23 genes downregulated and 34 genes upregulated. Additionally, GO analysis showed that the 34 upregulated genes were mainly enriched in biological processes such as signal transduction and cell communication. KEGG pathway analysis showed that the upregulated genes were closely related to integrin, ErbB receptor, and ALK1 signal pathways. Finally, a complete regulatory network of hsa_circ_0007843 and hsa_circ_0007331 in CC was proposed, whereby each one of the participants was either directly or indirectly associated and whose deregulation may result in CC progression. Conclusion. Predicting the molecular regulatory network of circRNAs by bioinformatics provides a new theoretical basis for further occurrence and development pathogenesis of CC and good guidance for future experimental research.</t>
  </si>
  <si>
    <t>JUL 23</t>
  </si>
  <si>
    <t>10.1155/2021/6662897</t>
  </si>
  <si>
    <t>Smith, AT; Tucker-Samaras, SD; Fairlamb, AH; Sullivan, WJ Jr</t>
  </si>
  <si>
    <t>MYST family histone acetyltransferases in the protozoan parasite Toxoplasma gondii</t>
  </si>
  <si>
    <t>EUKARYOTIC CELL</t>
  </si>
  <si>
    <t>The restructuring of chromatin precedes tightly regulated events such as DNA transcription, replication, and repair. One type of chromatin remodeling involves the covalent modification of nucleosomes by histone acetyltransferase (HAT; complexes. The observation that apicidin exerts antiprotozoal activity by targeting a histone deacetyltransferase has prompted our search for more components of the histone modifying machinery in parasitic protozoa. We have previously identified GNAT family HATs in the opportunistic pathogen Toxoplasma gondii and now describe the first MYST (named for members MOZ, Ybf2/Sas3, Sas2, and Tip60) family HAT's in apicomplexa (TgMYST-A and -B). The TgMYST-A genomic locus is singular and generates a similar to 3.5-kb transcript that can encode two proteins of 411 or 471 amino acids. TgMYST-B mRNA is similar to 7.0 kb and encodes a second MYST homologue. In addition to the canonical MYST HAT catalytic domain, both TgMYST-A and -B possess an atypical C2HC zinc finger and a chromodomain. Recombinant TgMYST-A exhibits a predilection to acetylate histone H4 in vitro at lysines 5, 8,.12, and M. Antibody generated to TgMYST-A reveals that both the long and short (predominant) versions are present in the nucleus and are also plentiful in the cytoplasm. Moreover, both TgMYST-A forms are far more abundant in rapidly replicating parasites (tachyzoites) than encysted parasites (bradyzoites). A bioinformatics survey of the Toxoplasma genome reveals numerous homologues known to operate in native MYST complexes. The characterization of TgMYST HATs represents another important step toward understanding the regulation of gene expression in pathogenic protozoa and provides evolutionary insight into how these processes operate in eukaryotic cells in general.</t>
  </si>
  <si>
    <t>10.1128/EC.4.12.2057-2065.2005</t>
  </si>
  <si>
    <t>Kulkarni, AP; Mittal, SPK</t>
  </si>
  <si>
    <t>Sequence data mining in search of hookworm (Necator americanus) microRNAs</t>
  </si>
  <si>
    <t>The new world hookworm, Necator americanus is a soil-transmitted nematode responsible for Necatoriasis (a type of helminthiasis) in hosts such as humans, dogs, and cats. N. americanus genome and transcriptome has been sequenced and a draft assembly analysis has been published highlighting protein coding genes and possible drug target proteins. Hookworm microRNA identification, annotations and their public release is yet to be attempted. The same is evident from lack of hookworm miRNA information in related popular public nucleotide sequence repositories such as miRBase, GenBank, WormBase etc. Therefore, in the present study we addressed these issues using EST and assembled transcript sequence information of hookworm. Using computational approaches, we identified three miRNAs precursor sequences and their mature forms. We also identified their potential targets from hookworm ESTs and transcripts, and from human transcriptome. Overall, the results indicate presence of nematode specific miRNA homologs in N. americanus and shades light on their putative targets in worm itself and the human host. (C) 2016 Elsevier B.V. All rights reserved.</t>
  </si>
  <si>
    <t>10.1016/j.gene.2016.05.039</t>
  </si>
  <si>
    <t>Martínez-Fernández, M; Bernatchez, L; Rolán-Alvarez, E; Quesada, H</t>
  </si>
  <si>
    <t>Insights into the role of differential gene expression on the ecological adaptation of the snail Littorina saxatilis</t>
  </si>
  <si>
    <t>Background: In the past 40 years, there has been increasing acceptance that variation in levels of gene expression represents a major source of evolutionary novelty. Gene expression divergence is therefore likely to be involved in the emergence of incipient species, namely, in a context of adaptive radiation. In this study, a genome-wide expression profiling approach (cDNA-AFLP), validated by quantitative real-time polymerase chain reaction (qPCR) were used to get insights into the role of differential gene expression on the ecological adaptation of the marine snail Littorina saxatilis. This gastropod displays two sympatric ecotypes (RB and SU) which are becoming one of the best studied systems for ecological speciation. Results: Among the 99 transcripts shared between ecotypes, 12.12% showed significant differential expression. At least 4% of these transcripts still displayed significant differences after correction for multiple tests, highlighting that gene expression can differ considerably between subpopulations adapted to alternative habitats in the face of gene flow. One of the transcripts identified was Cytochrome c Oxidase subunit I (COI). In addition, 6 possible reference genes were validated to normalize and confirm this result using qPCR. a-Tubulin and histone H3.3 showed the more stable expression levels, being therefore chosen as the best option for normalization. The qPCR analysis confirmed a higher COI expression in SU individuals. Conclusions: At least 4% of the transcriptome studied is being differentially expressed between ecotypes living in alternative habitats, even when gene flow is still substantial between ecotypes. We could identify a candidate transcript of such ecotype differentiation: Cytochrome c Oxidase Subunit I (COI), a mitochondrial gene involved in energy metabolism. Quantitative PCR was used to confirm the differences found in COI and its over-expression in the SU ecotype. Interestingly, COI is involved in the oxidative phosphorylation, suggesting an enhanced mitochondrial gene expression (or increased number of mitochondria) to improve energy supply in the ecotype subjected to the strongest wave action.</t>
  </si>
  <si>
    <t>10.1186/1471-2148-10-356</t>
  </si>
  <si>
    <t>Wang, YZ; Li, Z; Xu, SY; Guo, JM</t>
  </si>
  <si>
    <t>Novel potential tumor biomarkers: Circular RNAs and exosomal circular RNAs in gastrointestinal malignancies</t>
  </si>
  <si>
    <t>JOURNAL OF CLINICAL LABORATORY ANALYSIS</t>
  </si>
  <si>
    <t>Background Circular RNAs (circRNAs) are structural ubiquitous RNA molecules. Accumulating evidences have elucidated that circRNAs play essential roles in the pathogenesis of diseases including cancers. Exosomal circRNAs are those circRNAs stably existing in exosomes and having high clinical values as novel potential diagnostic biomarkers of many diseases. Gastrointestinal (GI) malignancies, including pancreatic cancer, colorectal cancer, hepatocellular carcinoma (HCC), and gastric cancer, are leading causes of mortality worldwide and a major global health burden. However, no ideal tumor biomarkers of screening early GI cancers are currently available. Methods We collected data through Web of Science. The search terms used were as follows: circular RNA, circRNA, exosomes, exosomal circRNAs, biomarkers, gastrointestinal malignancies, pancreatic cancer, hepatocellular carcinoma, HCC, gastric cancer, colorectal cancer, physiological functions, biogenesis, molecular mechanism. Only articles published in English were included. Results We found that several circRNAs and exosomal circRNAs have been used as potential biomarkers to screen GI cancers including pancreatic cancer (hsa_circ_0001649, circ_0007534, circ_0030235, circRHOT1, circZMYM2, circ-LDLRAD3, chr14:101402109-101464448C, chr4:52729603-52780244C, circ-IARS, and circ-PDE8A), HCC (circSETD3, circADAMTS13, hsa_circ_0007874, hsa_circ_104135, circFBLIM1, cSMARCA5, circRNA-100338, and circPTGR1), colorectal cancer (hsa_circ_0001178, hsa_circ_0000826, hsa_circ_0004771, circDDX17, circITGA7, and circHIPK3), and gastric cancer (hsa_circ_0074362, circNRIP1, circAKT3, circ-DONSON, circPSMC3, circ-KIAA1244, circPVRL3, circPVT1, hsa_circ_0000096, ciRS-133, hsa_circ_0001017, and hsa_circ_0061276). Conclusion CircRNAs and exosomal circRNAs have the potential high clinical diagnostic values for GI malignancies.</t>
  </si>
  <si>
    <t>10.1002/jcla.23359</t>
  </si>
  <si>
    <t>Rippe, K</t>
  </si>
  <si>
    <t>The Folding of the Nucleosome Chain</t>
  </si>
  <si>
    <t>GENOME ORGANIZATION AND FUNCTION IN THE CELL NUCLEUS</t>
  </si>
  <si>
    <t>Hou, YK; Zhang, FQ; Liu, XK; Huang, DM; Li, ZM</t>
  </si>
  <si>
    <t>ChPDIA3 targeted by miR-126-x and miR-21-y responds to Vibrio harveyi infection in Crassostrea hongkongensis</t>
  </si>
  <si>
    <t>Introduction The Hong Kong oyster (Crassostrea hongkongensis), as the main marine aquaculture shellfish in the South China Sea, not only has high economic and ecological value, but also is an ideal model for conducting research on pathogen-host interactions. In the cultivation process of C. hongkongensis, there is a challenge posed by vibrios. To improve the antibacterial strains of C. hongkongensis, we have studied the gene associated with immunity, PDIA3. Methods and findings In this study, we cloned the PDIA3 sequence of the C. hongkongensis, using the RACE technique. It has a total of 2081 bp and contains a 5'-UTR of 55 bp and a 3'-UTR of 547 bp. The ChPDIA3 gene sequence has an ORF frame that is 1479 bp in length and encodes 492 amino acids. Analysis of the phylogenetic tree constructed by Neighbor Joining method showed that ChPDIA3 clustered with other shellfishes into a single unit, which was consistent with the law of species evolution. Discussion The highest expression of ChPDIA3 was detected in gill tissues of the C. hongkongensis using RT-qPCR, and significantly higher expression in V. harveyi and LPS infection than Poly(I:C) (P&lt;0.05). This may indicate that ChPDIA3 is primarily involved in the immune response against bacterial infections in the C. hongkongensis. The binding sites of miR-126-x, miR-21-y and ChPDIA3 were detected using dual luciferase experiments, respectively. The results showed that both miR-126-x and miR-21-y inhibited the 3'-UTR region of ChPDIA3. This suggested that both miR-126-x and miR-21-y inhibited ChPDIA3 expression. This study will help to further understand the function of ChPDIA3 in response to pathogen infection, thus providing new ideas for understanding the resistance and adaptation of the C. hongkongensis to Vibrio infection.</t>
  </si>
  <si>
    <t>FEB 14</t>
  </si>
  <si>
    <t>10.3389/fcimb.2025.1533154</t>
  </si>
  <si>
    <t>Abeyrathna, WNU; Davinack, AA</t>
  </si>
  <si>
    <t>Genetic diversity and connectivity of the invasive gastropod, Callinina georgiana (Caenogastropoda: Viviparidae) across a fragmented riverscape: A mitonuclear perspective</t>
  </si>
  <si>
    <t>FRESHWATER BIOLOGY</t>
  </si>
  <si>
    <t>Aquatic invasive species are a significant threat to global freshwater biodiversity. This study focuses on the banded mystery snail, Callinina georgiana, an invasive species in the Adirondack region of northern New York-an important section of the New York Great Lakes Basin. This project aims to explore the genetic connectivity of C. georgiana within its invasive range using a combination of mitochondrial and nuclear markers. Sampling was conducted in the Raquette River and adjacent waterways, with a total of 229 snails collected from 16 distinct populations distributed across eight different waterbodies. Also included were two populations from the species' native range in the southern U.S.A. DNA was extracted, and a 710-bp fragment of the mitochondrial DNA marker cytochrome c oxidase 1 and a 351-bp fragment of nuclear marker histone-3 were amplified. Population genetic analyses including haplotype patterning, AMOVA and genetic diversity estimates, neutrality tests and tests for isolation by distance were performed to assess connectivity patterns. Results showed moderate to high levels of genetic admixture within the snail's invasive range as indicated by the lack of geographic patterning of haplotypes and low to moderate levels of genetic differentiation across multiple sites. Demographic analyses combined with high numbers of private haplotypes indicate historic population expansion. Interestingly, a case of mitonuclear discordance was detected for native and invasive populations as evident by incongruent haplotype patterns for the cytochrome c oxidase 1 and histone-3 markers. Callinina georgiana exhibits a high level of genetic connectivity in its invasive range. The presence of dams does not significantly affect apparent gene flow, indicating that anthropogenic activities, such as boat traffic might be key in dispersing the snails across this fragmented freshwater system. This study offers new insights into the dispersal and genetic structure of an invasive freshwater snail. It highlights the importance of considering anthropogenic factors when confronting complex patterns of genetic diversity. The findings are significant for biodiversity conservation and provide a basis for developing strategies to manage and contain the spread of aquatic invasive species such as C. georgiana, especially in regions with high human activity.</t>
  </si>
  <si>
    <t>10.1111/fwb.14301</t>
  </si>
  <si>
    <t>Liu, X; Luo, BY; Feng, JB; Zhou, LX; Ma, KY; Qiu, GF</t>
  </si>
  <si>
    <t>Identification and profiling of microRNAs during gonadal development in the giant freshwater prawn Macrobrachium rosenbergii</t>
  </si>
  <si>
    <t>As post-transcriptional regulators, microRNAs (miRNAs) play an important role in growth and reproductive processes. So far, there is limited information regarding crustacean miRNAs. To explore the potential role of miRNAs in the gonadal development of the prawn Macrobrachium rosenbergii, we constructed seven small RNA libraries from ovarian and testicular tissues at various stages using somatic tissue as the control. A total of 1,954 known and 129 novel miRNAs were retrieved. By comparing differentially expressed miRNAs (DEMs) between testes and ovaries, forty-one miRNAs were identified with sex-biased expression patterns, including 17 ovary-biased and 24 testis-biased patterns. Furthermore, the putative target genes of the sex-biased miRNAs, such as cyclin L1, mitogen-activated protein kinase 7 (MAPK 7), heat shock protein (HSP), and zinc finger protein, were significantly enriched in many reproduction-related pathways including the Gonadotropin-releasing hormone (GnRH) pathway, glycolysis, gluconeogenesis pathway, ovarian steroidogenesis, estrogen signaling pathway, MAPK pathway, Wnt pathway, and insulin signaling pathway, implicating potential regulatory roles of miRNAs in reproduction. These data aid in the further investigation of the mechanism of gonadal development and reproductive regulation mediated by miRNA in M. rosenbergii.</t>
  </si>
  <si>
    <t>FEB 20</t>
  </si>
  <si>
    <t>10.1038/s41598-019-38648-x</t>
  </si>
  <si>
    <t>Daniels, SR; Phiri, EE; Klaus, S; Albrecht, C; Cumberlidge, N</t>
  </si>
  <si>
    <t>Multilocus Phylogeny of the Afrotropical Freshwater Crab Fauna Reveals Historical Drainage Connectivity and Transoceanic Dispersal Since the Eocene</t>
  </si>
  <si>
    <t>SYSTEMATIC BIOLOGY</t>
  </si>
  <si>
    <t>Phylogenetic reconstruction, divergence time estimations and ancestral range estimation were undertaken for 66% of the Afrotropical freshwater crab fauna (Potamonautidae) based on four partial DNA loci (12S rRNA, 16S rRNA, cytochrome oxidase one [COI], and histone 3). The present study represents the most comprehensive taxonomic sampling of any freshwater crab family globally, and explores the impact of paleodrainage interconnectivity on cladogenesis among freshwater crabs. Phylogenetic analyses of the total evidence data using maximum-likelihood (ML), maximum parsimony (MP), and Bayesian inference (BI) produced a robust statistically well-supported tree topology that reaffirmed the monophyly of the Afrotropical freshwater crab fauna. The estimated divergence times suggest that the Afrotropical Potamonautidae diverged during the Eocene. Cladogenesis within and among several genera occurred predominantly during the Miocene, which was associated with major tectonic and climatic ameliorations throughout the region. Paleodrainage connectivity was observed with specimens from the Nilo-Sudan and East African coast proving to be sister to specimens from the Upper Guinea Forests in West Africa. In addition, we observed strong sister taxon affinity between specimens from East Africa and the Congo basin, including specimens from Lake Tanganyika, while the southern African fauna was retrieved as sister to the Angolan taxa. Within the East African clade we observed two independent transoceanic dispersal events, one to the Seychelles Archipelago and a second to Madagascar, while we observe a single transoceanic dispersal event from West Africa to Sao Tome. The ancestral area estimation suggested a West African/East African ancestral range for the family with multiple dispersal events between southern Africa and East Africa, and between East Africa and Central Africa The taxonomic implications of our results are discussed in light of the widespread paraphyly evident among a number of genera. [Eocene; paleodrainage; Potamonautidae; sub-Saharan Africa and associated islands; zoogeography.]</t>
  </si>
  <si>
    <t>10.1093/sysbio/syv011</t>
  </si>
  <si>
    <t>van Stuijvenberg, J; Proksch, P; Fritz, G</t>
  </si>
  <si>
    <t>Targeting the DNA damage response (DDR) by natural compounds</t>
  </si>
  <si>
    <t>BIOORGANIC &amp; MEDICINAL CHEMISTRY</t>
  </si>
  <si>
    <t>Natural compounds (NC) are an important source of anticancer drugs. The genomic DNA of tumor cells is a major target of conventional anticancer therapeutics (cAT). DNA damage elicits a complex stress response programme termed DNA damage response (DDR), with the PI3-like kinase ATM and ATR being the key regulators. Since the DDR coordinates mechanisms of DNA repair and apoptosis, hence regulating the balance between death and survival, it is an attractive target of novel anticancer strategies. The aim of the study was to identify natural compounds derived from endophytic fungi, lichens, marine sponges or plants that interfere with mechanisms of the DDR. To this end, the cytotoxic and DDR modulating potency of 296 natural compounds, used alone or in combination with the cAT cisplatin (Cis) and doxorubicin (Doxo) was investigated by fluorescencebased analysis of the ATM/ATR-catalyzed S139 phosphorylation of histone 2AX (gamma H2AX), a surrogate marker of DNA damage-triggered DDR. After initial screening, a total of ten natural compounds were identified that were toxic in pancreatic carcinoma cells and activated the DDR on their own and/or promoted the DDR if used in combination with cAT. Their mode of action was shown to be independent of drug transport mechanisms. Based on their chemical structures, DDR modulatory activity and published data we suggest the marine NC 5-epi-nakijiquinone Q and 5-epi-ilimaquinone as well as the fungal compound secalonic acid F as most promising NC-based drug candidates for future synthesis of DDR-modulating chemical derivatives and their preclinical in vitro and in vivo testing.</t>
  </si>
  <si>
    <t>10.1016/j.bmc.2019.115279</t>
  </si>
  <si>
    <t>Ding, JD; Li, DQ; Ohler, U; Guan, JH; Zhou, SG</t>
  </si>
  <si>
    <t>Genome-wide search for miRNA-target interactions in Arabidopsis thaliana with an integrated approach</t>
  </si>
  <si>
    <t>Background: MiRNA are about 22nt long small noncoding RNAs that post transcriptionally regulate gene expression in animals, plants and protozoa. Confident identification of MiRNA-Target Interactions (MTI) is vital to understand their function. Currently, several integrated computational programs and databases are available for animal miRNAs, the mechanisms of which are significantly different from plant miRNAs. Methods: Here we present an integrated MTI prediction and analysis toolkit (imiRTP) for Arabidopsis thaliana. It features two important functions: (i) combination of several effective plant miRNA target prediction methods provides a sufficiently large MTI candidate set, and (ii) different filters allow for an efficient selection of potential targets. The modularity of imiRTP enables the prediction of high quality targets on genome-wide scale. Moreover, predicted MTIs can be presented in various ways, which allows for browsing through the putative target sites as well as conducting simple and advanced analyses. Results: Results show that imiRTP could always find high quality candidates compared with single method by choosing appropriate filter and parameter. And we also reveal that a portion of plant miRNA could bind target genes out of coding region. Based on our results, imiRTP could facilitate the further study of Arabidopsis miRNAs in real use. All materials of imiRTP are freely available under a GNU license at (http://admis.fudan.edu.cn/projects/imiRTP.htm).</t>
  </si>
  <si>
    <t>JUN 11</t>
  </si>
  <si>
    <t>10.1186/1471-2164-13-S3-S3</t>
  </si>
  <si>
    <t>Lin, HC; Hastings, PA</t>
  </si>
  <si>
    <t>Evolution of a Neotropical marine fish lineage (Subfamily Chaenopsinae, Suborder Blennioidei) based on phylogenetic analysis of combined molecular and morphological data</t>
  </si>
  <si>
    <t>Phylogenetic relationships within tube blennies (Chaenopsinae) were reconstructed using Bayesian, maximum parsimony and likelihood analyses of multiple molecular markers (mitochondrial DNA: CM; nuclear DNA: TMO-4C4, RAG1, Rhodopsin, and Histone H3) and 148 morphological characters. This total-evidence based topology is well-resolved and congruent across analytical methods with strong support for the monophyly of the Chaenopsinae, all included genera and several internal nodes. A rapid radiation in the early evolution of chaenopsins is inferred from the relatively poor support values for relationships among basal lineages and their divergence into different habitats (rocky reefs, coral reefs and the reef/sand interface). Rates of molecular evolution in chaenopsins, as inferred by divergence among four putative transisthmian geminate species pairs, are rapid compared to other fishes. Conflicts among genetic markers and morphology are especially evident within the genus Coralliozetus, with different species relationships supported by morphology, TMO-4C4, and RAG1 plus Rhodopsin. This study hypothesizes a novel sistergroup relationship between Ekemblemaria and Hemiemblemaria, consistent with morphological, molecular and habitat use data. Our total evidence phylogenetic hypothesis indicates that previously hypothesized morphological characters supporting a close relationship between Hemiemblemaria and Chaenopsis plus Lucayablennius resulted from convergent evolution in these relatively free-swimming blennies. (C) 2011 Elsevier Inc. All rights reserved.</t>
  </si>
  <si>
    <t>10.1016/j.ympev.2011.04.018</t>
  </si>
  <si>
    <t>Kinnby, A; Robert, C; Havenhand, JN; Broström, G; Bussière, L; De Wit, P</t>
  </si>
  <si>
    <t>The Roles of Plasticity and Selection in Rapid Phenotypic Changes at the Pacific Oyster Invasion Front in Europe</t>
  </si>
  <si>
    <t>Invasive species present significant management challenges worldwide due to their ability to rapidly adapt to novel environments. The Pacific oyster Crassostrea gigas, a globally distributed invasive species, arrived in western Sweden in 2006 but has not yet colonised the low salinity waters of the Baltic Sea, presumably because low salinities act as a barrier to reproduction. We used classic mating designs to investigate fertilisation rates and heritability of embryonal salinity tolerance (in 8 parts per thousand-33 parts per thousand) in oysters from three locations with different invasion history and salinity (established, 33 parts per thousand; past invasion front, 23.5 parts per thousand; and present invasion front, 16 parts per thousand). We found that fertilisation rates at lower salinities increased with proximity to the range front, with a pronounced heritable component. We then used whole-genome sequencing of oysters from the present invasion front to identify genomic regions showing stronger deviations from Mendelian inheritance in larval full-sib families reared in low salinity compared to controls. These regions contained coding sequences for Histones and ribosomal DNA, with the paternal genotype explaining a significant proportion of the deviation, suggesting the involvement of sperm in modulation of low-salinity tolerance at fertilisation and early development. Furthermore, we found no evidence of recent bottlenecks along the invasion front. We conclude that the Pacific oyster has developed low-salinity tolerant reproductive phenotypes at the present invasion front through acclimation and natural selection. Given the strong heritability for tolerance to low-salinities at fertilisation, the species likely has the potential to adapt further to low-salinity conditions and may invade the Baltic Sea.</t>
  </si>
  <si>
    <t>2025 FEB 7</t>
  </si>
  <si>
    <t>10.1111/mec.17684</t>
  </si>
  <si>
    <t>Zhou, Y; Chen, HQ; Zhong, WW; Tao, YJ</t>
  </si>
  <si>
    <t>Collagen and actin network mediate antiviral immunity against Orsay virus in C. elegans intestinal cells</t>
  </si>
  <si>
    <t>PLOS PATHOGENS</t>
  </si>
  <si>
    <t>C. elegans is a free-living nematode that is widely used as a small animal model for studying fundamental biological processes and disease mechanisms. Since the discovery of the Orsay virus in 2011, C. elegans also holds the promise of dissecting virus-host interaction networks and innate antiviral immunity pathways in an intact animal. Orsay virus primarily targets the worm intestine, causing enlarged intestinal lumen as well as visible changes to infected cells such as liquefaction of cytoplasm and convoluted apical border. Previous studies of Orsay virus identified that C. elegans is able to mount antiviral responses by DRH-1/RIG-I mediated RNA interference and Intracellular Pathogen Response, a uridylyltransferase that destabilizes viral RNAs by 3 ' end uridylation, and ubiquitin protein modifications and turnover. To comprehensively search for novel antiviral pathways in C. elegans, we performed genome-wide RNAi screens by bacterial feeding using existing bacterial RNAi libraries covering 94% of the entire genome. Out of the 106 potential antiviral gene hits identified, we investigated those in three new pathways: collagens, actin remodelers, and epigenetic regulators. By characterizing Orsay virus infection in RNAi and mutant worms, our results indicate that collagens likely form a physical barrier in intestine cells to inhibit viral infection by preventing Orsay virus entry. Furthermore, evidence suggests that actin remodeling proteins (unc-34, wve-1 and wsp-1) and chromatin remodelers (nurf-1 and isw-1) exert their antiviral activities by regulating the intestinal actin (act-5), a critical component of the terminal web which likely function as another physical barrier to prevent Orsay infection. Caenorhabditis elegans (C. elegans) is a key animal model for biological studies, sharing as much as 70% genome homology and disease-related signaling pathways with humans. In 2011, the discovery of the Orsay virus, the first virus known to naturally infect C. elegans, made it possible to use C. elegans as a model to study virus-host interaction in an intact animal. Orsay infection targets the worm intestine but does not affect lifespan or brood size. In this study, we performed a genome-wide RNAi screen to search for novel innate immune antiviral pathways using the C. elegans-Orsay virus system. 106 antiviral gene hits were identified, with 68 having human homologs that are expressed in the human intestine. Further characterization of antiviral genes encoding collagens, actin remodelers, and epigenetic regulators suggests two novel antiviral mechanisms: 1) collagens likely form a physical barrier in intestine cells to inhibit viral infection by preventing Orsay virus entry; and 2) actin-5 containing terminal web, which is regulated by actin remodeling proteins and chromatin remodelers, likely constitutes as another physical barrier to prevent Orsay infection.</t>
  </si>
  <si>
    <t>10.1371/journal.ppat.1011366</t>
  </si>
  <si>
    <t>Garcia, GD; Santos, ED; Sousa, GV; Zingali, RB; Thompson, CC; Thompson, FL</t>
  </si>
  <si>
    <t>Metaproteomics reveals metabolic transitions between healthy and diseased stony coral Mussismilia braziliensis</t>
  </si>
  <si>
    <t>Infectious diseases such as white plague syndrome (WPS) and black band disease (BBD) have caused massive coral loss worldwide. We performed a metaproteomic study on the Abrolhos coral Mussismilia braziliensis to define the types of proteins expressed in healthy corals compared to WPS-and BBD-affected corals. A total of 6363 MS/MS spectra were identified as 361 different proteins. Healthy corals had a set of proteins that may be considered markers of holobiont homoeostasis, including tubulin, histone, Rab family, ribosomal, peridinin-chlorophyll a-binding protein, F0F1-type ATP synthase, alpha-iG protein, calmodulin and ADP-ribosylation factor. Cnidaria proteins found in healthy M. braziliensis were associated with Cnidaria-Symbiodinium endosymbiosis and included chaperones (hsp70, hsp90 and calreticulin), structural and membrane modelling proteins (actin) and proteins with functions related to intracellular vesicular traffic (Rab7 and ADP-ribosylation factor 1) and signal transduction (14-3-3 protein and calmodulin). WPS resulted in a clear shift in the predominance of proteins, from those related to aerobic nitrogen-fixing bacteria (i.e. Rhizobiales, Sphingomonadales and Actinomycetales) in healthy corals to those produced by facultative/anaerobic sulphate-reducing bacteria (i.e. Enterobacteriales, Alteromonadales, Clostridiales and Bacteroidetes) in WPS corals. BBD corals developed a diverse community dominated by cyanobacteria and sulphur cycle bacteria. Hsp60, hsp90 and adenosylhomocysteinase proteins were produced mainly by cyanobacteria in BBD corals, which is consistent with elevated oxidative stress in hydrogen sulphide-and cyanotoxin-rich environments. This study demonstrates the usefulness of metaproteomics for gaining better comprehension of coral metabolic status in health and disease, especially in reef systems such as the Abrolhos that are suffering from the increase in global and local threatening events.</t>
  </si>
  <si>
    <t>10.1111/mec.13775</t>
  </si>
  <si>
    <t>Neylan, IP; Sih, A; Stachowicz, JJ</t>
  </si>
  <si>
    <t>Local adaptation in the transgenerational response to copper pollution in the bryozoan Bugula neritina</t>
  </si>
  <si>
    <t>Transgenerational plasticity (TGP)-when a parent or previous generation's environmental experience affects offspring phenotype without involving a genetic change-can be an important mechanism allowing for rapid adaptation. However, despite increasing numbers of empirical examples of TGP, there appears to be considerable variation in its strength and direction, yet limited understanding of what causes this variation. We compared patterns of TGP in response to stress across two populations with high versus low historical levels of stress exposure. Specifically, we expected that exposure to acute stress in the population experiencing historically high levels of stress would result in adaptive TGP or alternatively fixed tolerance (no parental effect), whereas the population with low levels of historical exposure would result in negative parental carryover effects. Using a common sessile marine invertebrate, Bugula neritina, and a split brood design, we exposed parents from both populations to copper or control treatments in the laboratory and then had them brood copper-naive larvae. We then exposed half of each larval brood to copper and half to control conditions before allowing them to grow to maturity in the field. Maternal copper exposure had a strong negative carryover effect on adult offspring growth and survival in the population without historical exposure, especially when larvae themselves were exposed to copper. We found little to no maternal or offspring treatment effect on adult growth and survival in the population with a history of copper exposure. However, parents from this population produced larger larvae on average and were able to increase the size of their larvae in response to copper exposure, providing a potential mechanism for maintaining fitness and suggesting TGP through maternal provisioning. These results indicate that the ability to adjust offspring phenotype via TGP may be a locally adapted trait and potentially influenced by past patterns of exposure.</t>
  </si>
  <si>
    <t>10.1002/ece3.9524</t>
  </si>
  <si>
    <t>Palacios Theil, E; Felder, DL</t>
  </si>
  <si>
    <t>Phylogeny of the genus Austinixa Heard &amp; Manning, 1997, inferred from mitochondrial and nuclear molecular markers, with descriptions of three new species and redescription of Austinixa felipensis (Glassell, 1935) (Decapoda: Brachyura: Pinnotheridae)</t>
  </si>
  <si>
    <t>We used the mitochondrial 16S-NADH1 complex, mitochondrial 12S, and nuclear histone 3 genes to examine evolutionary relationships among members of the genus Austinixa Heard &amp; Manning, 1997, and their relationships to other pinnotherids. The monophyly of Austinixa was confirmed by maximum likelihood, Bayesian, and maximum parsimony analyses. Clades recovered on the basis of molecular data agreed with current morphology-based taxonomy at species rank. Morphological characters presently used to distinguish species of Austinixa are not synapomoiphic at higher levels and therefore cannot be used to infer cladistic relationships among them. High genetic and morphological intraspecific variation was observed, consistent with patterns of restricted gene flow likely attributable to climatic and geographic history, physical characteristics of contemporary habitats, and host-related constraints on the symbiotic life styles of Austinixa spp. Molecular and morphological characters warrant description of three new species, herein named and illustrated: Austinixa cuestai sp. nov., from Pacific waters of Panama and Nicaragua; Austinixa artankeri sp. nov., from the Caribbean waters of Panama, Colombia, and Venezuela; and Austinixa roblesi sp. nov., from Belize and Panama. All three species inhabit intertidal zones, as do their congeners. To facilitate comparisons and augment the very limited original description, a redescription of the Pacific species Austinixa felipensis (Glassell, 1935) is provided on the basis of paratypes labelled by Glassell and more recently collected topoptypic specimens.</t>
  </si>
  <si>
    <t>MAY 13</t>
  </si>
  <si>
    <t>10.11646/zootaxa.4778.1.4</t>
  </si>
  <si>
    <t>Shin, JO; Nakagawa, E; Kim, EJ; Cho, KW; Lee, JM; Cho, SW; Jung, HS</t>
  </si>
  <si>
    <t>miR-200b regulates cell migration via Zeb family during mouse palate development</t>
  </si>
  <si>
    <t>HISTOCHEMISTRY AND CELL BIOLOGY</t>
  </si>
  <si>
    <t>Palate development requires coordinating proper cellular and molecular events in palatogenesis, including the epithelial-mesenchymal transition (EMT), apoptosis, cell proliferation, and cell migration. Zeb1 and Zeb2 regulate epithelial cadherin (E-cadherin) and EMT during organogenesis. While microRNA 200b (miR-200b) is known to be a negative regulator of Zeb1 and Zeb2 in cancer progression, its regulatory effects on Zeb1 and Zeb2 in palatogenesis have not yet been clarified. The aim of this study is to investigate the relationship between the regulators of palatal development, specifically, miR-200b and the Zeb family. Expression of both Zeb1 and Zeb2 was detected in the mesenchyme of the mouse palate, while miR-200b was expressed in the medial edge epithelium. After contact with the palatal shelves, miR-200b was expressed in the palatal epithelial lining and epithelial island around the fusion region but not in the palatal mesenchyme. The function of miR-200b was examined by overexpression via a lentiviral vector in the palatal shelves. Ectopic expression of miR-200b resulted in suppression of the Zeb family, upregulation of E-cadherin, and changes in cell migration and palatal fusion. These results suggest that miR-200b plays crucial roles in cell migration and palatal fusion by regulating Zeb1 and Zeb2 as a noncoding RNA during palate development.</t>
  </si>
  <si>
    <t>10.1007/s00418-012-0915-6</t>
  </si>
  <si>
    <t>Bhambri, A; Dhaunta, N; Patel, SS; Hardikar, M; Bhatt, A; Srikakulam, N; Shridhar, S; Vellarikkal, S; Pandey, R; Jayarajan, R; Verma, A; Kumar, V; Gautam, P; Khanna, Y; Khan, JA; Fromm, B; Peterson, KJ; Scaria, V; Sivasubbu, S; Pillai, B</t>
  </si>
  <si>
    <t>Large scale changes in the transcriptome of Eisenia fetida during regeneration</t>
  </si>
  <si>
    <t>Earthworms show a wide spectrum of regenerative potential with certain species like Eisenia fetida capable of regenerating more than two-thirds of their body while other closely related species, such as Paranais litoralis seem to have lost this ability. Earthworms belong to the phylum Annelida, in which the genomes of the marine oligochaete Capitella telata and the freshwater leech Helobdella robusta have been sequenced and studied. Herein, we report the transcriptomic changes in Eisenia fetida (Indian isolate) during regeneration. Following injury, E. fetida regenerates the posterior segments in a time spanning several weeks. We analyzed gene expression changes both in the newly regenerating cells and in the adjacent tissue, at early (15days post amputation), intermediate (20days post amputation) and late (30 days post amputation) by RNAseq based de novo assembly and comparison of transcriptomes. We also generated a draft genome sequence of this terrestrial red worm using short reads and mate-pair reads. An in-depth analysis of the miRNome of the worm showed that many miRNA gene families have undergone extensive duplications. Sox4, a master regulator of TGF-beta mediated epithelial-mesenchymal transition was induced in the newly regenerated tissue. Genes for several proteins such as sialidases and neurotrophins were identified amongst the differentially expressed transcripts. The regeneration of the ventral nerve cord was also accompanied by the induction of nerve growth factor and neurofilament genes. We identified 315 novel differentially expressed transcripts in the transcriptome, that have no homolog in any other species. Surprisingly, 82% of these novel differentially expressed transcripts showed poor potential for coding proteins, suggesting that novel ncRNAs may play a critical role in regeneration of earthworm.</t>
  </si>
  <si>
    <t>SEP 27</t>
  </si>
  <si>
    <t>10.1371/journal.pone.0204234</t>
  </si>
  <si>
    <t>Schaffhauser, M; Krainer, K; Sanders, D</t>
  </si>
  <si>
    <t>Early Permian carbonate shelf margin deposits: the type section of the Trogkofel Formation (Artinskian/Kungurian), Carnic Alps, Austria/Italy</t>
  </si>
  <si>
    <t>AUSTRIAN JOURNAL OF EARTH SCIENCES</t>
  </si>
  <si>
    <t>Herein the type section of the Trogkofel Formation (Artinskian/Kungurian) in the Carnic Alps (Southern Alps) is described. The locus typicus is mount Trogkofel, where a succession up to similar to 500 m thick of reefal to peri-reefal limestones is exposed. In the pedestal of mount Trogkofel, a succession of shelf limestones (Zottachkopf Formation) is sharply overlain by the unbedded Trogkofel Formation. Farther north, at Zweikofel, the boundary between a package of shelf limestones (Zweikofel Formation), and the overlying, clino-bedded Trogkofel Formation is a disconformity. Deposition of the Trogkofel Formation started after a backstep from shelf deposition (Zottachkopf and Zweikofel Formations) to a carbonate shelf-margin setting with buildups. The backstep was associated with tectonism. The lower to middle part of the Trogkofel type section is characterized by patch buildups grown in a foreslope to uppermost slope setting. Main buildup facies includes Tubiphytes-bryozoan-algal-cement boundstones, botryoidal-fibrous cementstones with Archaeolithoporella, and phylloid-algal bafflestones. The buildups are intercalated with intervals up to 10-15 m thick of bioclastic limestones. The upper similar to 100 m of the type section consist primarily of bioclastic grainstones rich in fusulinid tests and fragments of calcareous green algae; the bioclastic grainstone intervals episodically aggraded at least to near sea-level. The upper part of the section may result from (i) a shoaling because of moderate progradation-aggradation of the platform, or because of eustatic or tectonic sea-level lowering, and/or (ii) changed patterns of offbank sediment dispersal. In the Trogkofel Formation, soft-sediment to brittle deformation features record syn- to early post-depositional tectonism. Within paleokarstic caverns, 'intra-seismites' are represented by discrete, stacked packages of internal sediments with convolute lamination and/or intrabrecciation. Deposition of the Trogkofel Formation was terminated by uplift and subaerial truncation. Karstic caverns filled with geopetally-laminated lime mudstones to wackestones (typically dolomitized), and with caymanitic layers, reach to the base of the formation. Syndepositional deformation, and the uplift that terminated deposition of the Trogkofel Formation, may be related to the 'Saalian tectonic phase'. The truncation surface that caps the Trogkofel Formation is onlapped by carbonate-lithic breccias (Tarvis Breccia) that, on mount Trogkofel, probably accumulated from hillslope colluvium. The entire Tarvis Breccia and the upper part of the Trogkofel Formation are replaced by epigenetic dolomite. Down-section, dolomitization is tied to fractures and adjacent host rock, and to paleokarstic cavities and their vicinity. Dolomitization tapers out towards the base of the formation. Late-stage fractures and dissolution pores are filled with saddle dolomite.</t>
  </si>
  <si>
    <t>10.17738/ajes.2015.0026</t>
  </si>
  <si>
    <t>Das, M; Hasan, M; Akter, S; Roy, S; Sharma, B; Chowdhury, MSR; Ahsan, MI; Akhand, RN; Uddin, MB; Ahmed, SSU</t>
  </si>
  <si>
    <t>In Silico Investigation of Conserved miRNAs and Their Targets From the Expressed Sequence Tags in Neospora Caninum Genome</t>
  </si>
  <si>
    <t>Neospora caninum is a protozoan parasite, the etiologic agent of Neosporosis-a common cause of abortion in cattle worldwide. Herd level prevalence of Neosporosis could be as high as 90%. However. there is no approved treatment and vaccines available for Neosporosis. MicroRNA (miRNA) based prophylaxis and therapeutics could be options for Neosporosis in cattle and other animals. The current study aimed to investigate the genome of Neospora caninum to identify and characterize the conserved miRNAs through Expressed Sequence Tags (ESTs) dependent homology search. A total of 1.041 mature miRNAs of reference organisms were employed against 336 non-redundant ESTs available in the genome of Neospora caninum. The study predicted one putative miRNA nca-miR-9388-5p of 19 nucleotides with MFEI value -1.51 kcal/mol and (A + U) content% 72.94% corresponding with its pre-miRNA. A comprehensive search for specific gene targets was performed and discovered 16 potential genes associated with different protozoal physiological functions. Significantly. the gene Protein phosphatase was found responsible for the virulence of Neospora caninum. The other genes were accounted for gene expression, vesicular transport, cell signaling, cell proliferation, DNA repair mechanism, and different developmental stages of the protozoon. Therefore, this study finding will provide pivotal information to future aspirants upon Bovine Neosporosis. It will also serve as the baseline information for further studies of the bioinformatics approach to identify other protozoal miRNAs.</t>
  </si>
  <si>
    <t>10.1177/11779322211046729</t>
  </si>
  <si>
    <t>Shi, TT; Li, R; Zhao, L</t>
  </si>
  <si>
    <t>Long noncoding RNA UCA1 regulates CCR7 expression to promote tongue squamous cell carcinoma progression by sponging miR-138-5p</t>
  </si>
  <si>
    <t>NEOPLASMA</t>
  </si>
  <si>
    <t>Tongue squamous cell carcinoma (TSCC) is a malignant tumor. Long noncoding RNAs (lncRNAs) have been proved to be involved in the regulation of the progression of various cancers. However, the mechanism of lncRNA urothelial cancer-associated 1 (UCA1) in the progression of TSCC remains unclear. 'I he expression levels of UCA1, microRNA-138-5p (miR-138-5p), and CC chemokine receptor 7 (CCR7) were measured by quantitative real-time polymerase chain reaction (qRT-PCR). The proliferation, migration, and invasion were detected using colony formation assay and transweil assay, respectively. Western blot (WB) analysis was used to test the levels of proliferation and metastasis-related proteins and CCR7 protein. Moreover, the extracellular acidification rate (ECAR) of cells was measured by the Seahorse XF Extracellular Flux Analyzer, and the adenosine triphosphate (ATP) level, glucose uptake, and lactate produce of cells were tested by their corresponding assay kits. Further, the dual-luciferase reporter assay was used to confirm the interaction between miR- I38-5p and UCA1 or CCR7. In addition, the effect of UCA1 on TSCC tumor growth in vivo was evaluated by animal experiments. We found that UCA1 and CCR7 were upregulated, while miR-138-5p was downregulated in TSCC tissues. Silenced UCA1 restrained the proliferation, migration, invasion, and glycolysis metabolism of TSCC cells. Similarly, knockdown of CCR7 also could suppress the progression of TSCC. Besides, UCA1 overexpression promoted TSCC progression, while this promotion effect could be reversed by CCR7 silencing. miR-138-5p could be sponged by UCA1 and could target CCR7. Additionally, miR-138-5p overexpression could reverse the promotion effect of overexpressed UCA1 on TSCC progression. Furthermore, the UCA1 knockdown reduced TSCC tumor growth in vivo. In conclusion, lncRNA UCA1 might function as an oncogene in TSCC through regulating the miR-138-5p/CCR7 axis, providing a new biomarker for TSCC treatment.</t>
  </si>
  <si>
    <t>10.4149/neo_2020_191119N1187</t>
  </si>
  <si>
    <t>Calderón, I; Ventura, CRR; Turon, X; Lessios, HA</t>
  </si>
  <si>
    <t>Genetic divergence and assortative mating between colour morphs of the sea urchin Paracentrotus gaimardi</t>
  </si>
  <si>
    <t>Some species of sea urchins feature large variation in pigmentation. This variability may be the result of phenotypic plasticity or it may be associated with genetic divergence between morphs. Paracentrotus gaimardi exhibits five colour morphs (pink, brown, green, grey and black), which often occur side by side on the same rock. We studied genetic divergence between these morphs in three populations on the coast of Brazil. A fragment of the region encoding the mitochondrial ATPase 8 and 6 mitochondrial genes, a fragment of the intron of a nuclear histone and the entire nuclear gene coding for the sperm protein bindin were analysed. Mitochondrial DNA was differentiated between the pink and all other morphs, but the histone intron was similar in all colour morphs. In bindin, nine codons were found to be under positive selection and significant differences of allelic frequencies were observed in almost all pairwise comparisons between colour morphs. Although the molecular differentiation in bindin is not large enough to suggest reproductive isolation, some degree of assortative mating within morphs seems to be occurring in this species.</t>
  </si>
  <si>
    <t>10.1111/j.1365-294X.2009.04506.x</t>
  </si>
  <si>
    <t>Li, A; Sun, Y; Drummer, C; Lu, YF; Yu, DF; Zhou, Y; Li, XY; Pearson, SJ; Johnson, C; Yu, C; Yang, WY; Mastascusa, K; Jiang, XH; Sun, JX; Rogers, T; Hui, WH; Wang, H; Yang, XF</t>
  </si>
  <si>
    <t>Increasing Upstream Chromatin Long-Range Interactions May Favor Induction of Circular RNAs in LysoPC-Activated Human Aortic Endothelial Cells</t>
  </si>
  <si>
    <t>Circular RNAs (circRNAs) are non-coding RNAs that form covalently closed continuous loops, and act as gene regulators in physiological and disease conditions. To test our hypothesis that proatherogenic lipid lysophosphatidylcholine (LPC) induce a set of circRNAs in human aortic endothelial cell (HAEC) activation, we performed circRNA analysis by searching our RNA-Seq data from LPC-activated HAECs, and found: (1) LPC induces significant modulation of 77 newly characterized cirRNAs, among which 47 circRNAs (61%) are upregulated; (2) 34 (72%) out of 47 upregulated circRNAs are upregulated when the corresponding mRNAs are downregulated, suggesting that the majority of circRNAs are upregulated presumably via LPC-induced abnormal splicing when the canonical splicing for generation of corresponding mRNAs is suppressed; (3) Upregulation of 47 circRNAs is temporally associated with mRNAs-mediated LPC-upregulated cholesterol synthesis-SREBP2 pathway and LPC-downregulated TGF-beta pathway; (4) Increase in upstream chromatin long-range interaction sites to circRNA related genes is associated with preferred circRNA generation over canonical splicing for mRNAs, suggesting that shifting chromatin long-range interaction sites from downstream to upstream may promote induction of a list of circRNAs in lysoPC-activated HAECs; (5) Six significantly changed circRNAs may have sponge functions for miRNAs; and (6) 74% significantly changed circRNAs contain open reading frames, suggesting that putative short proteins may interfere with the protein interaction-based signaling. Our findings have demonstrated for the first time that a new set of LPC-induced circRNAs may contribute to homeostasis in LPC-induced HAEC activation. These novel insights may lead to identifications of new therapeutic targets for treating metabolic cardiovascular diseases, inflammations, and cancers.</t>
  </si>
  <si>
    <t>APR 18</t>
  </si>
  <si>
    <t>10.3389/fphys.2019.00433</t>
  </si>
  <si>
    <t>Taxonomic Reappraisal of Lineus longifissus auct. (Nemertea: Pilidiophora) from Japan for the First Time in 122 Years</t>
  </si>
  <si>
    <t>Having been reported in 1898 for the first time from Japanese waters, the lineid heteronemertean Lineus longifissus auct. is known to inhabit tidal flats under the influence of the warm Kuroshio Current along the coasts of Honshu and southwestward, characteristically with a uniformly raisin-colored to black body lacking a caudal cirrus. The taxonomic identity of the Japanese L. longifissus auct. has been questioned by specialists because of some obvious morphological differences between Lineus longifissus (Hubrecht, 1887) s. str. (now in Heteronemertes Chernyshev, 1995), originally described from the subantarctic region. In the present study, we describe the Japanese L. longifissus auct. as Corsoua takakurai sp. nov. Before the present study, the genus Corsoua Correa, 1963 had been monotypic with the type species Corsoua kristenseni Correa, 1963 from the Caribbean. We infer the phylogenetic position of Corsoua takakurai within Lineidae based on the mitochondrial 16S rRNA and cytochrome c oxidase subunit I, and the nuclear 18S rRNA, 28S rRNA, and histone H3 genes.</t>
  </si>
  <si>
    <t>10.2108/zs200001</t>
  </si>
  <si>
    <t>Abdelfattah, MS; Elmallah, MIY; Faraag, AHI; Hebishy, AMS; Ali, NH</t>
  </si>
  <si>
    <t>Heliomycin and tetracinomycin D: anthraquinone derivatives with histone deacetylase inhibitory activity from marine sponge-associated Streptomyces sp SP9</t>
  </si>
  <si>
    <t>3 BIOTECH</t>
  </si>
  <si>
    <t>Several actinomycetes strains were isolated from different marine sponges collected from the Red Sea shore in Egypt. The efficiency of their crude extracts to inhibit histone deacetylase (HDAC) enzyme was investigated in the nuclear extract of Hela cell line. The crude extract corresponding to Streptomyces sp. SP9 isolated from the marine sponge Pseudoceratina arabica showed a promising HDAC inhibitory activity with 64 and 81% at 50 and 100 mu g/ml, respectively. The strain was identified as Streptomyces sp. by phylogenetic analyses based on its 16S rRNA gene sequence. The major compounds of Streptomyces sp. SP9 were isolated and purified by different chromatographic methods. The chemical structure of the isolated compounds was identified on the basis of their spectroscopic data including mass, H-1 and C-13 NMR, and by comparison with those of authenticated samples. Structures of compounds 1 and 2 were established as heliomycin and tetracenomycin D, respectively. These compounds exhibited HDAC inhibitory activities with IC50 values of 29.8 +/- 0.04 mu g/ml for heliomycin (1) and 10.9 +/- 0.02 mu g/ml for tetracenomycin D (2). A computational docking study for compounds 1 and 2 against HDAC1, HDAC2, and HDAC3 was performed to formulate a hypothetical mechanism by which the tested compounds inhibit HDAC. Tetracenomycin D (2) showed a good binding interactions with HDAC2 (- 5.230 kcal/mol) and HDAC3 (- 6.361 kcal/mol).</t>
  </si>
  <si>
    <t>10.1007/s13205-018-1304-1</t>
  </si>
  <si>
    <t>Yoshikawa, A; Ikeo, K; Imoto, J; Jaingam, W; Putri, LSE; Mardiansyah; Kumar, AB; Asakura, A</t>
  </si>
  <si>
    <t>MOLECULAR PHYLOGENY OF CLIBANARIUS DANA, 1852 FROM THE INDO-WEST PACIFIC: EVOLUTION OF PEREOPOD COLOUR PATTERN AND HABITAT ADAPTATION</t>
  </si>
  <si>
    <t>CRUSTACEANA</t>
  </si>
  <si>
    <t>Species of hermit crabs in the genus Clibanarius Dana, 1852 have adapted to various environments in the intertidal areas, including hard substrates and soft sediments. These species often bear a close morphological resemblance to each other, therefore, the colouration on the pereopods can be one of the reliable characteristics to distinguish the species. However, the evolutionary relationships among species with different colour patterns and relationships between colour patterns and habitat adaptation have not previously been investigated. Therefore, we reconstructed the phylogenetic relationships among 19 species of Clibanarius based on mitochondrial [12S rRNA, 16S rRNA and cytochrome oxidase I] and nuclear [histone H3] DNA markers. The results suggest that the striped and solid colour elements have evolved multiple times independently, with the ancestral colour pattern potentially being scattered, bright colour spots with a bright colour band. Our findings also suggest that evolutionary adaptation from hard substrates to mudflats and soft sediments may have occurred at least twice.</t>
  </si>
  <si>
    <t>10.1163/15685403-00003910</t>
  </si>
  <si>
    <t>Kano, Y; Chikyu, E; Warén, A</t>
  </si>
  <si>
    <t>MORPHOLOGICAL, ECOLOGICAL AND MOLECULAR CHARACTERIZATION OF THE ENIGMATIC PLANISPIRAL SNAIL GENUS ADEUOMPHALUS (VETIGASTROPODA: SEGUENZIOIDEA)</t>
  </si>
  <si>
    <t>Adeuomphalus Seguenza, 1876 is a little known genus among the skeneimorph vetigastropods, with very few specimens previously reported alive from the deep sea. We examined newly collected and museum-stored specimens from upper to lower bathyal depths in the Atlantic, Mediterranean, Pacific and Indian Oceans and recognize seven recent species in the genus: A. ammoniformis Seguenza, 1876, A. densicostatus (Jeffreys, 1884), A. trochanter Waren &amp; Bouchet, 2001, A. sinuosus (Sykes, 1925) n. comb., A. guillei n. sp., A. elegans n. sp. and A. collinsi n. sp., along with a fossil species, A. bandeli (Schroder, 1995) from the Lower Cretaceous, Poland. These species are characterized by a minute and colourless shell with almost perfectly planispiral whorls, an orthocline aperture, distinct radial ribs and a deeply concave apex and base. At least three species are confirmed to be radula-less, while A. guillei n. sp. has a simplified (3 2 1 2 3) rhipidoglossate radula. Anatomical investigations of A. collinsi n. sp. and A. trochanter revealed the following traits: a monopectinate ctenidium, blunt and tapering cephalic tentacles with sensory papillae, a cylindrical snout, a simple right neck lobe, a large foot with the anterior corners drawn out into finger-like projections, a smooth ESO-tentacle and a single, micropapillate epipodial tentacle on each side of the foot; absence of pigmented eyes, eye lobes, cephalic lappets and subocular peduncles. Three species collected by submersibles in the vicinity of hydrothermal vents co-occurred with carnivorous sponges of the family Cladorhizidae; a parasitic mode of life is suggested based on the lack of the radula and the peculiar, tube-like shape of the snout. Separate and combined phylogenetic analyses of mitochondrial (COI and 16S rRNA) and nuclear (histone H3 and 18S rRNA) gene sequences revealed six monophyletic groups in Seguenzioidea: Seguenziidae, Chilodontidae, Calliotropidae, Cataegidae, Spinicalliotropis and skeneimorph seguenzioids. Three included skeneimorphs (A. elegans n. sp., Xyloskenea sp. and Ventsia tricarinata) were ambiguously grouped together with long branches and low statistical supports, possibly suggesting a vast, undiscovered phylogenetic diversity of the group. Taxonomic composition, morphological characteristics and evolutionary history are discussed for the skeneimorphs and five other groups in the superfamily.</t>
  </si>
  <si>
    <t>10.1093/mollus/eyp037</t>
  </si>
  <si>
    <t>Notariale, R; Basile, A; Montana, E; Romano, NC; Cacciapuoti, MG; Aliberti, F; Gesuele, R; De Ruberto, F; Sorbo, S; Tenore, GC; Guida, M; Good, KV; Ausio, J; Piscopo, M</t>
  </si>
  <si>
    <t>Protamine-like proteins have bactericidal activity. The first evidence in Mytilus galloprovincialis</t>
  </si>
  <si>
    <t>ACTA BIOCHIMICA POLONICA</t>
  </si>
  <si>
    <t>The major acid-soluble protein components of the mussel Mytilus galloprovincialis sperm chromatin consist of the protamine-like proteins PL-II, PL-Ill and PL-IV, an intermediate group of sperm nuclear basic proteins between histones and protamines. The aim of this study was to investigate the bactericidal activity of these proteins since, to date, there are reports on bactericidal activity of protamines and histones, but not on protamine- like proteins. We tested the bactericidal activity of these proteins against Gram-positive bacteria: Enterococcus faecalis and two different strains of Staphylococcus aureus, as well as Gram-negative bacteria: Proteus mirabilis, Proteus vulgaris, Pseudomonas aeruginosa, Salmonella ty-phmurium, Enterobacter aerogenes, Enterobacter cloacae, and Escherichia coll. Clinical isolates of the same bacterial species were also used to compare their sensitivity to these proteins. The results show that Mytilus galloprovin- cialis protamine-like proteins exhibited bactericidal activity against all bacterial strains tested with different minimum bactericidal concentration values, ranging from 15.7 to 250 mu g/mL. Furthermore, these proteins were active against some bacterial strains tested that are resistant to conventional antibiotics. These proteins showed very low toxicity as judged by red blood cell lysis and viability MTT assays and seem to act both at the membrane level and within the bacterial cell. We also tested the bactericidal activity of the product obtained from an in vitro model of gastrointestinal digestion of protamine- like proteins on a Gram-positive and a Gram-negative strain, and obtained the same results with respect to un- digested protamine-like proteins on the Gram-positive bacterium. These results provide the first evidence of bactericidal activity of protamine-like-proteins.</t>
  </si>
  <si>
    <t>10.18388/abp.2018_2638</t>
  </si>
  <si>
    <t>Abbott, DW; Ivanova, VS; Wang, XY; Bonner, WM; Ausió, J</t>
  </si>
  <si>
    <t>Characterization of the stability and folding of H2A.Z chromatin particles -: Implications for transcriptional activation</t>
  </si>
  <si>
    <t>JOURNAL OF BIOLOGICAL CHEMISTRY</t>
  </si>
  <si>
    <t>H2A.Z and H2A.1 nucleosome core particles and oligonucleosome arrays were obtained using recombinant versions of these histones and a native histone H2B/H3/H4 complement reconstituted onto appropriate DNA templates. Analysis of the reconstituted nucleosome core particles using native polyacrylamide gel electrophoresis and DNase I footprinting showed that H2A.Z nucleosome core particles were almost structurally indistinguishable from its H2A.1 or native chicken erythrocyte counterparts. While this result is in good agreement with the recently published crystallographic structure of the H2A.Z nucleosome core particle (Suto, R. K., Clarkson, M J., Tremethick, D. J., and Luger, YL (2000) Nat. Struct. Biol. 7,1121-1124), the ionic strength dependence of the sedimentation coefficient of these particles exhibits a substantial destabilization, which is most likely the result of the histone H2A.Z-H213 dimer binding less tightly to the nucleosome. Analytical ultracentrifuge analysis of the H2A.Z 208-12, a DNA template consisting of 12 tandem repeats of a 208-base pair sequence derived from the sea urchin Lytechinus variegatus 5 S rRNA gene, reconstituted oligonucleosome complexes in the absence of histone HI shows that their NaCl-dependent folding ability is significantly reduced. These results support the notion that the histone H2A.Z variant may play a chromatin-destabilizing role, which may be important for transcriptional activation.</t>
  </si>
  <si>
    <t>10.1074/jbc.M108217200</t>
  </si>
  <si>
    <t>González-Romero, R; Rivera-Casas, C; Frehlick, LJ; Méndez, J; Ausió, J; Eirín-López, JM</t>
  </si>
  <si>
    <t>Histone H2A (H2A.X and H2A.Z) Variants in Molluscs: Molecular Characterization and Potential Implications For Chromatin Dynamics</t>
  </si>
  <si>
    <t>Histone variants are used by the cell to build specialized nucleosomes, replacing canonical histones and generating functionally specialized chromatin domains. Among many other processes, the specialization imparted by histone H2A (H2A.X and H2A.Z) variants to the nucleosome core particle constitutes the earliest response to DNA damage in the cell. Consequently, chromatin-based genotoxicity tests have been developed in those cases where enough information pertaining chromatin structure and dynamics is available (i.e., human and mouse). However, detailed chromatin knowledge is almost absent in most organisms, specially protostome animals. Molluscs (which represent sentinel organisms for the study of pollution) are not an exception to this lack of knowledge. In the present work we first identified the existence of functionally differentiated histone H2A.X and H2A.Z variants in the mussel Mytilus galloprovincialis (MgH2A.X and MgH2A.Z), a marine organism widely used in biomonitoring programs. Our results support the functional specialization of these variants based on: a) their active expression in different tissues, as revealed by the isolation of native MgH2A.X and MgH2A.Z proteins in gonad and hepatopancreas; b) the evolutionary conservation of different residues encompassing functional relevance; and c) their ability to confer specialization to nucleosomes, as revealed by nucleosome reconstitution experiments using recombinant MgH2A.X and MgH2A.Z histones. Given the seminal role of these variants in maintaining genomic integrity and regulating gene expression, their preliminary characterization opens up new potential applications for the future development of chromatin-based genotoxicity tests in pollution biomonitoring programs.</t>
  </si>
  <si>
    <t>JAN 11</t>
  </si>
  <si>
    <t>10.1371/journal.pone.0030006</t>
  </si>
  <si>
    <t>Yu, S; Wang, M; Li, X; Guo, XJ; Qin, RY</t>
  </si>
  <si>
    <t>Circ-PAN3 facilitates hepatocellular carcinoma growth via sponging miR-153 and upregulating cyclin D1</t>
  </si>
  <si>
    <t>ONCOLOGY RESEARCH</t>
  </si>
  <si>
    <t>Background: Circular RNAs (circRNAs) play a pivotal role in the development and advancement of various cancer types. However, the involvement of circ-PAN3 in hepatocellular carcinoma (HCC) is not well understood. To shed light on this, we conducted a comprehensive study through biochemistry, cell biology, molecular biology, and bioinformatics techniques to investigate the role of circ-PAN3 and its associated pathway in the progression of HCC. Methods: Cell Counting Kit-8 (CCK-8) assay and colony formation assay were utilized to evaluate cell proliferation; Quantitative real-time PCR (RT-qPCR) and Western blot were adopted for assessing mRNA and protein expression; Annexin V/propidium iodide (PI) staining was applied to detect cellular apoptosis; CircInteractome and Targetscan databases were searched to predict potential targets of circRNA and miRNA; Luciferase reporter assay and RNA pulldown assay were performed to examine the interaction of RNA molecules. Conclusions: Our findings revealed a significant increase in circ-PAN3 expression in HCC clinical specimens, which correlated with a poor survival rate in HCC patients. Knockdown of circ-PAN3 resulted in impaired cell proliferation, reduced cell survival, and inhibited tumorigenesis of HCC in vivo. Further analysis demonstrated that circ-PAN3 could serve as a sponge for miR-153, leading to a decrease in its expression level. This in turn upregulated cyclin D1 and ultimately promoted the proliferation of HCC cells. Additionally, overexpression of cyclin D1 mitigated the inhibitory effect on HCC proliferation induced by circ-PAN3 knockdown. Our study highlights the presence of a novel circ-PAN3/miR-153/ cyclin D1 regulatory axis that plays a crucial role in the progression of HCC.</t>
  </si>
  <si>
    <t>10.32604/or.2024.046774</t>
  </si>
  <si>
    <t>Hookabe, N; Asai, M; Nakano, H; Kimura, T; Kajihara, H</t>
  </si>
  <si>
    <t>A new bathyal tubulanid nemertean, Tubulanus izuensis sp. nov. (Nemertea: Palaeonemertea), from Japanese waters</t>
  </si>
  <si>
    <t>PROCEEDINGS OF THE BIOLOGICAL SOCIETY OF WASHINGTON</t>
  </si>
  <si>
    <t>A new species of tubulanid palaeonemertean, Tubulanus izuensis sp. nov., is described as the sixth member of the genus in Japanese waters, based on materials dredged at depths of 244-436 m. It can be differentiated from all the known congeners by the unique burnt-orange dorsal pattern consisting of a median longitudinal stripe and transverse bands on a white ground color. In a maximum-likelihood tree reconstructed with partial sequences of the 16S rRNA, cytochrome c oxidase subunit I, 18S rRNA, 28S rRNA, and histone H3 genes, Tubulanus was not monophyletic, while T. izuensis sp. nov. was more closely related to the type species T. polymorphus Renier, 1804 than some other congeners including T. punctatus (Takakura, 1898), T. rhabdotus Correa, 1954, T. sexlineatus (Griffin, 1898), and T. tamias Kajihara, Kakui, Yamasaki &amp; Hiruta, 2015.</t>
  </si>
  <si>
    <t>NOV 30</t>
  </si>
  <si>
    <t>10.2988/PBSW-D-20-00006</t>
  </si>
  <si>
    <t>Zhong, L; Zhang, F; Zhai, Y; Cao, YH; Zhang, S; Chang, YQ</t>
  </si>
  <si>
    <t>Identification and comparative analysis of complement C3-associated microRNAs in immune response of Apostichopus japonicus by high-throughput sequencing</t>
  </si>
  <si>
    <t>MicroRNAs (miRNAs) are important effectors in mediating host-pathogen interaction. In this report, coelomocytes miRNA libraries of three Japanese sea cucumbers Apostichopus japonicus were built by Illumina (R) Hiseq2000 from different time points after lipopolysaccharide challenge (at time 0 h, 6 h and 12 h). The clean data received from high throughput sequencing were used to sequences analysis. Referenced to the Strongylocentrotus purpuratus genome, 38 conserved miRNAs were found, and three miRNA candidates were predicted by software. According to the evidence resulting from the expression of AjC3, expressing levels of spu-miR-133, spu-miR-137 and spu-miR-2004 altered along with the expression of AjC3 changing at different time points after LPS injection. Thus, we speculated that the three miRNAs may have influence on A. japonicus complement C3. The spu-miR-137 and miR-137 gene family in miRBase were analyzed by bioinformatics. There is an obvious discrepancy between invertebrates and vertebrates. The first and ninth nucleotides in invertebrate miR-137 are offset compared vertebrate miR-137. Importantly, this is the first attempt to map the stage of immune response regulome in echinoderms, which might be considered as information for elucidating the intrinsic mechanism underlying the immune system in this species.</t>
  </si>
  <si>
    <t>DEC 4</t>
  </si>
  <si>
    <t>10.1038/srep17763</t>
  </si>
  <si>
    <t>Jablonska, A; Navarro, N; Laffont, R; Wattier, R; Pesic, ; Zawal, A; Vukic, J; Grabowski, M</t>
  </si>
  <si>
    <t>An integrative approach challenges species hypotheses and provides hints for evolutionary history of two Mediterranean freshwater palaemonid shrimps (Decapoda: Caridea)</t>
  </si>
  <si>
    <t>EUROPEAN ZOOLOGICAL JOURNAL</t>
  </si>
  <si>
    <t>The Mediterranean Region is a biodiversity/endemism hotspot whose freshwater fauna remains largely unexplored. Our integrative study challenges the taxonomic status of two freshwater palaemonid shrimps, Palaemon antennarius and Palaemon minos. Three molecular operational taxonomic units (MOTUs) were defined based on 352 cytochrome oxidase subunit I (COI) sequences and 88 haplotypes. Two belonged to P. antennarius: one inhabiting the Apennine Peninsula and Sicily, and the other from the Balkan Peninsula. Palaemon minos was the third MOTU, found on Crete. The Balkan MOTU of P. antennarius was genetically closer to P. minos than to the other conspecific MOTU. Data from a nuclear marker (Histone 3) is congruent with such a pattern. The carapace shape variation (based on 180 individuals) was mainly explained by the geographical distribution. Balkan and Cretan groups were clearly recovered, while other samples clustered along a shape gradient from Sicily, through the Apennine Peninsula to the Balkans. Our results show that, for taxonomic consistency, the MOTU inhabiting the Balkan Peninsula should be either described as a new separate species or synonymised with P. minos. The third possible option would be treating all the populations as part of P. antennarius. Geometric morphometrics supports the first option, phylogenetic reconstructions point to the second one, yet the low genetic divergence favours the third one, illustrating that even emblematic taxa such as shrimps require an in-depth integrative approach.</t>
  </si>
  <si>
    <t>10.1080/24750263.2021.1953624</t>
  </si>
  <si>
    <t>Morin, V; Acuña, P; Díaz, F; Inostroza, D; Martinez, J; Montecino, M; Puchi, M; Imschenetzky, M</t>
  </si>
  <si>
    <t>Phosphorylation protects sperm-specific histones H1 and H2B from proteolysis after fertilization</t>
  </si>
  <si>
    <t>At intermediate stages of male pronucleus formation, sperm-derived chromatin is composed of hybrid nucleoprotein particles formed by sperm H1 (SpH1), dimers of sperm H2A-H2B (SpH2A-SpH2B), and a subset of maternal cleavage stage (CS) histone variants. At this stage in vivo, the CS histone variants are poly(ADP-ribosylated), while SpH2B and SpH1 are phosphorylated. We have postulated previously that the final steps of sperm chromatin remodeling involve a cysteine-protease (SpH-protease) that degrades sperm histones in a specific manner, leaving the maternal CS histone variants unaffected. More recently we have reported that the protection of CS histones from degradation is determined by the poly(ADP-ribose) moiety of these proteins. Because of the selectivity displayed by the SpH-protease; the coexistence of a subset of SpH together with CS histone variants at intermediate stages of male pronucleus remodeling remains intriguing. Consequently, we have investigated the phosphorylation state of SpH1 and SpH2B in relation to the possible protection of these proteins from proteolytic degradation. Histones H1 and H2B were purified from sperm, phosphorylated in vitro using the recombinant a-subunit of casein kinase 2, and then used as substrates in the standard assay of the SpH-protease. The phosphorylated forms of SpH1 and SpH2B were found to remain unaltered, while the nonphosphorylated forms were degraded. On the basis of this result, we postulate a novel role for the phosphorylation of SpH1 and SpH2B that occurs in vivo after fertilization, namely to protect these histones against degradation at intermediate stages of male chromatin remodeling. (C) 1999 Wiley-Liss, Inc.</t>
  </si>
  <si>
    <t>10.1002/(SICI)1097-4644(20000201)76:2&lt;173::AID-JCB1&gt;3.0.CO;2-7</t>
  </si>
  <si>
    <t>Lu, K; Wu, JQ; Tang, SL; Peng, D; Bibi, A; Ding, LY; Zhang, YP; Liang, XF</t>
  </si>
  <si>
    <t>Transcriptome analysis reveals the importance of phototransduction during the first-feeding in mandarin fish (Siniperca chuatsi)</t>
  </si>
  <si>
    <t>FUNCTIONAL &amp; INTEGRATIVE GENOMICS</t>
  </si>
  <si>
    <t>The mandarin fish (Siniperca chuatsi), as a typical freshwater carnivorous fish, has high economic value. Mandarin fish have a peculiar feeding habit of feeding on other live fry during the first-feeding period, while rejecting zooplankton or particulate feed, which may be attributed to the low expression of zooplankton-associated gene sws1 in mandarin fish. The domesticated strain of mandarin fish could feed on Artemia at 3 days post hatching (dph). However, the mechanism of mandarin fish larvae recognize and forage Artemia as food is still unclear. In this study, we employed transcriptional analysis to identify the representative differential pathways between mandarin fish larvae unfed and fed with Artemia at 3 dph. The comparative transcriptome analysis has unveiled a tapestry of genetic expression, highlighting 403 genes that have been up-regulated and 259 that have been down-regulated, all of which constitute the differentially expressed genes (DEGs). KEGG pathway analysis revealed that the number of differentially expressed genes in the photoconductive signaling pathway was the largest. Next, the Vorinostat (suberoylanilide hydroxamic acid, SAHA) was used to assess whether sws1 induced ingestion of Artemia in mandarin fish larvae. We discovered that SAHA-treated larvae had more food intake of Artemia and up-regulated the transcription level of npy, which might have been associated with the up-regulated of sws1 opsin. Additionally, exposure to 0.5 mu M SAHA increased the expression of genes involved in phototransduction pathway. These findings would provide insights on the molecular processes involved in mandarin fish larvae feeding on Artemia at the first-feeding stage.</t>
  </si>
  <si>
    <t>10.1007/s10142-024-01471-3</t>
  </si>
  <si>
    <t>Olivera-Hyde, M; Hallerman, E; Santos, R; Jones, J; Varnerin, B; Neto, GDS; Mansur, MC; Moraleco, P; Callil, C</t>
  </si>
  <si>
    <t>Phylogenetic Assessment of Freshwater Mussels Castalia ambigua and C. inflata at an Ecotone in the Paraguay River Basin, Brazil Shows That Inflated and Compressed Shell Morphotypes Are the Same Species</t>
  </si>
  <si>
    <t>The phylogeny and taxonomy of freshwater mussels of the genus Castalia in South America is complicated by issues of morphological plasticity and limited molecular genetic data. We present field data on the distributions of the nominal Castalia ambigua and C. inflata in the upper Paraguay River basin in Brazil based on original occurrence data at 23 sample sites and on historical records. The upper basin has distinct highland and lowland regions, the latter including the Pantanal wetland, where C. ambigua occurs in the highlands and C. inflata occurs in both regions. At Baixo Stream in the highlands, we observed individuals with shell morphologies of either C. ambigua or C. inflata, and also individuals with intermediate shell morphology. DNA sequence variation in the upland Baixo Stream and two representative lowland populations were screened. Two mitochondrial and three nuclear genes were sequenced to test hypotheses regarding the number of species-level phylogenetic lineages present. Reported individual DNA sequences from Amazon-basin C. ambigua and other Castalia and outgroup species were included in the analysis as outgroups. Individuals from the Paraguay River basin exhibited 17 haplotypes at the mitochondrial cytochrome oxidase I (COI) gene and nine at mitochondrial 16S rRNA. Analysis of haplotype networks and phylogenetic trees of combined COI + 16S rRNA sequences among individuals with the respective shell morphologies supported the hypothesis that C. ambigua and C. inflata from the Paraguay River basin belong to the same species and one phylogenetic lineage. No variation was observed at the nuclear 18S rRNA internal transcribed spacer, 28S rRNA, or H3NR histone genes among individuals used in this study. Across all markers, less variation was observed among Paraguay basin populations than between Paraguay and Amazon basin populations. Our results collectively suggest that: (1) C. ambigua, C. inflata, and morphologically intermediate individuals within the upper Paraguay drainage represent one phylogenetic lineage, (2) a phylogeographic divide exists between Castalia populations occurring in the Paraguay and Amazon River basins, and (3) the evolutionary and taxonomic uncertainties that we have identified among Castalia species should be thoroughly assessed across their distribution using both morphological and molecular characters.</t>
  </si>
  <si>
    <t>10.3390/d12120481</t>
  </si>
  <si>
    <t>Rendón-Anaya, M; Delaye, L; Possani, LD; Herrera-Estrella, A</t>
  </si>
  <si>
    <t>Global Transcriptome Analysis of the Scorpion Centruroides noxius: New Toxin Families and Evolutionary Insights from an Ancestral Scorpion Species</t>
  </si>
  <si>
    <t>Scorpion venoms have been studied for decades, leading to the identification of hundreds of different toxins with medical and pharmacological implications. However, little emphasis has been given to the description of these arthropods from cellular and evolutionary perspectives. In this report, we describe a transcriptomic analysis of the Mexican scorpion Centruroides noxius Hoffmann, performed with a pyrosequencing platform. Three independent sequencing experiments were carried out, each including three different cDNA libraries constructed from RNA extracted from the whole body of the scorpion after telson removal, and from the venom gland before and after venom extraction. Over three million reads were obtained and assembled in almost 19000 isogroups. Within the telson-specific sequences, 72 isogroups (0.4% of total unique transcripts) were found to be similar to toxins previously reported in other scorpion species, spiders and sea anemones. The annotation pipeline also revealed the presence of important elements of the small non-coding RNA processing machinery, as well as microRNA candidates. A phylogenomic analysis of concatenated essential genes evidenced differential evolution rates in this species, particularly in ribosomal proteins and proteasome components. Additionally, statistical comparison of transcript abundance before and after venom extraction showed that 3% and 2% of the assembled isogroups had higher expression levels in the active and replenishing gland, respectively. Thus, our sequencing and annotation strategies provide a general view of the cellular and molecular processes that take place in these arthropods, allowed the discovery of new pharmacological and biotechnological targets and uncovered several regulatory and metabolic responses behind the assembly of the scorpion venom. The results obtained in this report represent the first high-throughput study that thoroughly describes the universe of genes that are expressed in the scorpion Centruroides noxius Hoffmann, a highly relevant organism from medical and evolutionary perspectives.</t>
  </si>
  <si>
    <t>AUG 17</t>
  </si>
  <si>
    <t>10.1371/journal.pone.0043331</t>
  </si>
  <si>
    <t>Cavallero, S; Bellini, ; Pizzarelli, A; Arcà, B; D'Amelio, S</t>
  </si>
  <si>
    <t>A miRNAs catalogue from third-stage larvae and extracellular vesicles of Anisakis pegreffii provides new clues for host-parasite interplay</t>
  </si>
  <si>
    <t>Anisakids are widespread marine parasites of medical, veterinary and economic relevance. They infect marine natural hosts but humans can accidentally acquire the fish-borne zoonosis anisakiasis by ingesting infected raw fishes or mollusks. Among the several species described, Anisakis pegreffii is one of the main etiological agent of the disease, in particular in the Mediterranean area. Despite the growing evidence of miRNAs involvement in host-parasite interplay, and the emerging role of exosomal microvesicles in shuttling them between different cell types (and sometime across species), no information on miRNAs from any Anisakis species is presently available. In this study we isolated extracellular vesicles (EVs) released by Anisakis pegreffii infective third-stage larvae (L3) and analyzed by RNA-seq small RNAs from both L3 and EVs. We showed by nanoparticle tracking analysis that L3 release in culture medium particles of size compatible with the one of extracellular vesicles. A catalogue of 156 miRNAs from A. pegreffii was compiled by sequence comparison to evolutionary close species and miRNA prediction software. Using differential expression analysis, we identified a small number of highly abundant miRNAs in larvae and extracellular vesicles fractions whose potential biological relevance may deserve future investigation. Finally, A. pegreffii miRNAs were compared to those described in other parasitic helminths and predicted targets among human genes were searched, suggesting their potential involvement during infection.</t>
  </si>
  <si>
    <t>10.1038/s41598-022-13594-3</t>
  </si>
  <si>
    <t>Traoré, A; Ruiz, S; Baudrimont, I; Sanni, A; Dano, SD; Guarigues, P; Narbonne, JF; Creppy, EE</t>
  </si>
  <si>
    <t>Combined effects of okadaic acid and cadmium on lipid peroxidation and DNA bases modifications (m5dC and 8-(OH)-dG) in Caco-2 cells</t>
  </si>
  <si>
    <t>ARCHIVES OF TOXICOLOGY</t>
  </si>
  <si>
    <t>Okadaic acid (OA) is a marine toxin, a tumour promoter and an inducer of apoptosis. It mainly inhibits protein-phosphatases, protein synthesis and enhances lipid peroxidation. Cadmium (Cd) is known to be carcinogenic in animals and humans (group 1 according to the International Agency for Research on Cancer (IARC) classification). Cd also induces oxidative stress in living organisms. Since they are sometimes found simultaneously in mussels, we have evaluated in the present investigation, the lipid peroxidation, as malondialdehyde (MDA) production, in the variation of the ratios of 8-(OH)-dG/10(5)dG and m(5)dC/(dC + m(5)dC) induced by OA and/or Cd in Caco-2 cells. When cells were treated exclusively by OA (15 ng/ml) or Cd (0.625 and 5 mu g/ml) for 24 h, protein synthesis was inhibited (by 42 +/- 5%, 18 +/- 13%, and 90 +/- 4% respectively) while MDA production was 2235 +/- 129, 1710 +/- 20, and 11496 +/- 1624 pmol/mg protein respectively. In addition, each toxicant induced modified bases in DNA; increases in oxidised bases and methylated dC. The combination of OA and cadmium was more cytotoxic and caused more DNA base modifications; the ratio m(5)dC/(m(5)dC + dC) was increased from 3 +/- 0.15 to 9 +/- 0.15 and the ratio 8-(OH)-dG/10(5) dG also (from 36 +/- 2 to 76 +/- 6). The combination of OA and Cd also increased the level of MDA (16874 +/- 2189 pmole/mg protein). The present results strongly suggest that DNA damage resulting from the oxidative stress induced by these two toxicants may significantly contribute to increasing their carcinogenicity via epigenetic processes.</t>
  </si>
  <si>
    <t>10.1007/s002040050656</t>
  </si>
  <si>
    <t>Wang, SJ; Wu, YX; Li, BY; Xi, CX; Deng, XJ; Ye, GR; Xu, XH</t>
  </si>
  <si>
    <t>Proteomic analysis reveals immune-related proteins of coelomic fluid in Urechis unicinctus</t>
  </si>
  <si>
    <t>Urechis unicinctus is a marine benthic invertebrate that relies primarily on humoral immunity within the nonspecific immune system for body defense. In order to elucidate the protein components of the coelomic fluid and investigate its immune response mechanism, proteomic analysis and antimicrobial characterization of the coelomic fluid of U. unicinctus were carried out. A total of 2194 proteins were identified, with 427 showing differential expression in coelomocytes compared to those in the coelomic fluid supernatant. Of these proteins, 346 were upregulated and 81 were downregulated. Next, these identified proteins were analyzed for biological information, including GO, COG, and KEGG pathway analysis. The results from the GO analysis revealed that cytoplasm and ATP-binding were the two prominent categories of proteins found in the coelomocytes as well as the coelomic fluid supernatant of U. unicinctus. From the COG analysis, it was evident that the categories of proteins identified in the coelomocytes were essentially the same as those identified in the coelomic fluid supernatant, with only the number of proteins differing. The KEGG pathway analysis indicated that 45 pathways from the coelomic fluid supernatant and 42 from the coelomocytes were profiled, with carbon metabolism and ribosome being the two most prominent pathways. The Pfam database displayed that the immune-related proteins in U. unicinctus were neurofascin, cell adhesion molecule 4, receptor-type tyrosine-protein phosphatase F, limbic system-associated membrane protein, four and a half LIM domains protein 2, neuroglian, fasciclin-2, and neural cell adhesion molecule. Furthermore, the active substances from the coelomic fluid underwent isolation, purification, and antimicrobial characterization. The process yielded two purified components (b1 and b2), that were found to significantly inhibit the growth of Vibrio anguillarum, Aeromonas veronii, Micrococcus lysodeik, and Staphylococcus aureus. Based on the nano LC-MS/MS and homology analysis, it was concluded the two purified proteins from b1 and b2 might have been histones with a molecular weight of 11,367 Da. Our study is the first to provide proteomic information on U. unicinctus, which can extend our understanding on the roles of functional proteins in the defense mechanism of U. unicinctus and contribute to the advancement of related drug development in U. unicinctus farming.</t>
  </si>
  <si>
    <t>10.1016/j.cbd.2025.101427</t>
  </si>
  <si>
    <t>Gong, Y; Kong, TT; Ren, X; Lin, SM; Li, SK</t>
  </si>
  <si>
    <t>miR-9875 functions in antiviral immunity by targeting PDCD6 in mud crab (Scylla paramamosain)</t>
  </si>
  <si>
    <t>VIRULENCE</t>
  </si>
  <si>
    <t>Programmed cell death 6 (PDCD6) is a well-known apoptosis regulator that is involved in the immunity of mammals. However, the effects of miRNA-mediated regulation of PDCD6 expression on apoptosis and virus infection in organisms, especially in marine invertebrates, have not been extensively explored. In this study, PDCD6 of mud crab (Scylla paramamosain) (Sp-PDCD6) was characterized. The results showed thatSp-PDCD6 contains five EF-hands domains and could suppress virus infectionviaapoptosis promotion. It also presented thatSp-PDCD6 was directly targeted by miR-9875in vitroandin vivo, miR-9875 served as a positive regulator during the virus invasion. The findings indicated that the miR-9875-PDCD6 pathway possessed fundamental effects on the immune response to virus infection in mud crab. Therefore, our research provided a novel insight into the roles of both miR-9875 and PDCD6 in the regulation of apoptosis and virus defense in mud crab.</t>
  </si>
  <si>
    <t>10.1080/21505594.2020.1787078</t>
  </si>
  <si>
    <t>Xu, ZH; Guan, C; Cheng, ZJ; Zhou, HL; Qin, WT; Feng, JM; Wan, MLSD; Zhang, YH; Jia, CY; Shao, SJ; Guo, HD; Li, SL; Liu, BN</t>
  </si>
  <si>
    <t>Research trends and hotspots of circular RNA in cardiovascular disease: A bibliometric analysis</t>
  </si>
  <si>
    <t>NON-CODING RNA RESEARCH</t>
  </si>
  <si>
    <t>From a global perspective, cardiovascular diseases (CVDs), the leading factor accounting for population mortality, and circRNAs, RNA molecules with stable closed-loop structures, have been proven to be closely related. The latent clinical value and the potential role of circRNAs in CVDs have been attracting increasing, active research interest, but bibliometric studies in this field are still lacking. Thus, in this study, we conducted a bibliometric analysis by using software such as VOSviewer, CiteSpace, Microsoft Excel, and the R package to determine the current research progress and hotspots and ultimately provide an overview of the development trends and future frontiers in this field. In our study, based on our search strategy, a total of 1206 publications published before July 31, 2023 were accessed from the WOSCC database. According to our findings, there is a notable increasing trend in global publications in the field of circRNA in CVDs. China was found to be the dominant country in terms of publication number, but a lack of high-quality articles was a significant fault. A cluster analysis on the co-cited references indicated that dilated cardiomyopathy, AMI, and cardiac hypertrophy are the greatest objects of concern. In contrast, a keywords analysis indicated that high importance has been ascribed to MI, abdominal aortic aneurysm, cell proliferation, and coronary artery diseases.</t>
  </si>
  <si>
    <t>10.1016/j.ncrna.2024.04.002</t>
  </si>
  <si>
    <t>Shao, Y; Lu, TY; Shen, SK; Li, CH</t>
  </si>
  <si>
    <t>MLKL promotes extracellular trap releasing in Vibrio splendidus AJ01-challenged coelomocytes of sea cucumber Apostichopus japonicus</t>
  </si>
  <si>
    <t>Extracellular traps (ETs) is a novel host-defense mechanism for the immobilization and killing of invading microorganisms, of which pseudokinase mixed lineage kinase-like protein (MLKL) is necessary for ET formation. Here, we aimed to investigate the effects of various stimulations (including classic ET inducers and pathogen) on ET formation in the coelomocytes of invertebrate sea cucumber Apostichopus japonicus. Our results show that stimulation of sea cucumber coelomocytes with phorbol 12-myristate 13-acetate (PMA), zymosan, Vibrio splendidus AJ01, and AJ01 flagella all led to the formation of typical ET fibers, which can be further digested by DNase I. This finding suggests that DNA is an essential component of coelomocyte ETs. Meanwhile, the signals of histones H2A and H2B transferred to extracellular spaces and colocalized with AJ01, which indicates that histones are also crucial components of coelomocyte ETs. Scanning electron microscopy observation and antimicrobial activity analysis successfully revealed that AJ01 was trapped and killed by ET fibers, and this finding implies the antimicrobial role of sea cucumber coelomocyte ETs. More importantly, silencing and inhibition of AjMLKL after AJ01 infection not only considerably depressed ET generation but also increased the survival rate of AJ01. All our results indicate that AjMLKL mediates sea cucumber ET formation and plays critical roles during pathogen infection.</t>
  </si>
  <si>
    <t>10.1016/j.aquaculture.2024.741767</t>
  </si>
  <si>
    <t>Lagatie, O; Debrah, LB; Debrah, A; Stuyver, LJ</t>
  </si>
  <si>
    <t>Plasma-derived parasitic microRNAs have insufficient concentrations to be used as diagnostic biomarker for detection of Onchocerca volvulus infection or treatment monitoring using LNA-based RT-qPCR</t>
  </si>
  <si>
    <t>PARASITOLOGY RESEARCH</t>
  </si>
  <si>
    <t>River blindness, caused by infection with the filarial nematode Onchocerca volvulus, is a neglected tropical disease affecting millions of people. There is a clear need for diagnostic tools capable of identifying infected patients, but that can also be used for monitoring disease progression and treatment efficacy. Plasma-derived parasitic microRNAs have been suggested as potential candidates for such diagnostic tools. We have investigated whether these parasitic microRNAs are present in sufficient quantity in plasma of Onchocerca-infected patients to be used as a diagnostic biomarker for detection of O. volvulus infection or treatment monitoring. Plasma samples were collected from different sources (23 nodule-positive individuals and 20 microfilaridermic individuals), microRNAs (miRNAs) were extracted using Qiagen miRNeasy kit, and a set of 17 parasitic miRNAs was evaluated on these miRNA extracts using miRCURY Locked Nucleic Acid (LNA) Universal RT microRNA PCR system. Of the 17 miRNAs evaluated, only 7 miRNAs were found to show detectable signal in a number of samples: bma-miR-236-1, bma-miR-71, ov-miR71-22nt, ov-miR-71-23nt, ov-miR-100d, ov-bantam-a, and ov-miR-87-3p. Subsequent melting curve analysis, however, indicated that the signals observed for ov-miR-71 variants and ov-miR-87-3p are non-specific. The other miRNAs only showed positive signal in one or few samples with Cq values just below the cutoff. Our data indicate that parasitic miRNAs are not present in circulation at a sufficiently high level to be used as biomarker for O. volvulus infection or treatment monitoring using LNA-based RT-qPCR analysis.</t>
  </si>
  <si>
    <t>10.1007/s00436-017-5382-5</t>
  </si>
  <si>
    <t>Shi, L; Zhang, ZW; Huang, Y; Zheng, YB</t>
  </si>
  <si>
    <t>FOXCUT regulates the malignant phenotype of triple-negative breast Cancer via the miR-337-3p/ANP32E Axis</t>
  </si>
  <si>
    <t>Background: The lack of specific molecular targets and the rapid spread lead to a worse prognosis of triplenegative breast cancer (TNBC). Therefore, identifying new therapeutic and prognostic biomarkers helps to develop effective treatment strategies for TNBC. Methods: Through preliminary bioinformatics analysis, FOXCUT was found to be significantly overexpressed in breast cancer, especially in TNBC. Tissue samples were collected from 15 TNBC patients, and qRT-PCR was employed to validate the expression of FOXCUT in both TNBC patient tissues and TNBC cell lines. We also carried out the GSEA analysis and KEGG enrichment analysis of FOXCUT. Additionally, the effects of FOXCUT knockdown on TNBC cell malignant behaviors, and aerobic glycolysis were assessed by methods including CCK-8, Transwell, western blot, and Seahorse XF 96 analyses. Moreover, utilizing databases predicting interactions between ceRNAs, corresponding lncRNA-miRNA binding relationships, and miRNA-mRNA interactions were predicted. These predictions were subsequently validated through RNA immunoprecipitation and dual-luciferase reporter assays. Results: FOXCUT exhibited high expression in both TNBC tissues and cell lines, fostering cell malignant behaviors and glycolysis. FOXCUT was found to sponge miR-337-3p, while miR-337-3p negatively regulated the expression of ANP32E. Consequently, FOXCUT ultimately facilitated the malignant phenotype of TNBC by upregulating ANP32E expression. Conclusion: This study elucidated the role of FOXCUT in elevating aerobic glycolysis levels in TNBC and driving malignant cancer cell development via the miR-337-3p/ANP32E regulatory axis.</t>
  </si>
  <si>
    <t>10.1016/j.ygeno.2024.110892</t>
  </si>
  <si>
    <t>Kharbanda, N; Jalali, SK; Ojha, R; Bhatnagar, RK</t>
  </si>
  <si>
    <t>Temporal expression profiling of novel Spodoptera litura nucleopolyhedrovirus-encoded microRNAs upon infection of Sf21 cells</t>
  </si>
  <si>
    <t>JOURNAL OF GENERAL VIROLOGY</t>
  </si>
  <si>
    <t>Baculoviruses are arthropod-specific pathogens, and find extensive applications in pest control strategies and recombinant protein expression. Spodoptera litura nucleopolyhedrovirus (SpItNPV) infects the tropical armyworm Spodoptera litura, which is an important polyphagous crop pest widely distributed in regions of Asia and Oceania. Using next-generation sequencing, we report stage-specific profiling of SpItNPV-encoded microRNAs (miRNAs) at different time intervals post-infection (pi.) of Sf21 cells. Sequence length distribution analysis of the small RNA libraries revealed a significant increase in 20 nt reads and a reduction of other size fractions during late phases of infection. In silico miRNA prediction tools identified 48 novel SpItNPV-encoded miRNAs, of which 10 were validated experimentally in Sf21 cells using Northern blot analysis and TaqMan quantitative real-time (qRT)-PCR. The viral miRNAs were also found to be expressed in fat-body and mid-gut tissues of infected fifth-instar S. litura larva. qRT-PCR analysis confirmed that expression of most viral miRNAs was triggered 12 h p.i. and continued thereafter. Gene Ontology and KEGG (Kyoto Encyclopedia of Genes and Genomes) pathway annotation of computationally predicted targets of the reported miRNAs suggested a major impact of these miRNAs on cell signalling, protein translation and metabolic processes.</t>
  </si>
  <si>
    <t>10.1099/jgv.0.000008</t>
  </si>
  <si>
    <t>Lindgren, AR; Giribet, G; Nishiguchi, MK</t>
  </si>
  <si>
    <t>A combined approach to the phylogeny of Cephalopoda (Mollusca)</t>
  </si>
  <si>
    <t>Cephalopoda represents a highly diverse group of molluscs, ranging in habitat from coastal regions to deep benthic waters. While cephalopods remain at the forefront of modern biology, in providing insight into fields such as neurobiology and population genetics, little is known about the relationships within the group. This study provides a comprehensive phylogenetic analysis of Cephalopoda (Mollusca) using a combination of molecular and morphological data. Four loci (three nuclear I SS rRNA, fragments of 28S rRNA and histone H3 and one mitochondrial cytochrome e oxidase subunit I) were combined with 101 morphological characters to test the relationships of 60 species of cephalopods, with emphasis within Decabrachia (squids and cuttlefishes). Individual and combined data sets were analyzed using the direct optimization method, with parsimony as the optimality criterion. Analyses were repeated for 12 different parameter sets accounting for a range of indel/change and transversion/transition cost ratios. Most analyses support the monophyly of Cephalopoda, Nautiloidea, Coleoidea and Decabrachia, however, the monophyly of Octobrachia was refuted due to the lack of support for a Cirroctopoda + Octopoda group. When analyzing all molecular evidence in combination and for total evidence analyses, Vampyromorpha formed the sister group to Decabrachia under the majority of parameters, while morphological data and some individual data sets supported a sister relationship between Vampyromorpha and Octobrachia. Within Decabrachia, a relationship between the sepioids Idiosepiida, Sepiida, Sepiolida and the teuthid Loliginidae was supported. Spirulida fell within the teuthid group in most analyses, further rendering Teuthida paraphyletic. Relationships within Decabrachia and specifically Oegopsida were found to be highly parameter-dependent. (C) The Willi Hennig Society 2004.</t>
  </si>
  <si>
    <t>10.1111/j.1096-0031.2004.00032.x</t>
  </si>
  <si>
    <t>Núñez-Acuña, G; Valenzuela-Muñoz, V; Carrera-Naipil, C; Sáez-Vera, C; Benavente, BP; Valenzuela-Miranda, D; Gallardo-Escárate, C</t>
  </si>
  <si>
    <t>Trypsin Genes Are Regulated through the miRNA Bantam and Associated with Drug Sensitivity in the Sea Louse Caligus rogercresseyi</t>
  </si>
  <si>
    <t>The role of trypsin genes in pharmacological sensitivity has been described in numerous arthropod species, including the sea louse Caligus rogercresseyi. This ectoparasite species is mainly controlled by xenobiotic drugs in Atlantic salmon farming. However, the post-transcriptional regulation of trypsin genes and the molecular components involved in drug response remain unclear. In particular, the miRNA bantam family has previously been associated with drug response in arthropods and is also found in C. rogercresseyi, showing a high diversity of isomiRs. This study aimed to uncover molecular interactions among trypsin genes and bantam miRNAs in the sea louse C. rogercresseyi in response to delousing drugs. Herein, putative mRNA/miRNA sequences were identified and localized in the C. rogercresseyi genome through genome mapping and blast analyses. Expression analyses were obtained from the mRNA transcriptome and small-RNA libraries from groups with differential sensitivity to three drugs used as anti-sea lice agents: azamethiphos, deltamethrin, and cypermethrin. The validation was conducted by qPCR analyses and luciferase assay of selected bantam and trypsin genes identified from in silico transcript prediction. A total of 60 trypsin genes were identified in the C. rogercresseyi genome, and 39 bantam miRNAs were differentially expressed in response to drug exposure. Notably, expression analyses and correlation among values obtained from trypsin and bantam revealed an opposite trend and potential binding sites with significant Delta G values. The luciferase assay showed a reduction of around 50% in the expression levels of the trypsin 2-like gene, which could imply that this gene is a potential target for bantam. The role of trypsin genes and bantam miRNAs in the pharmacological sensitivity of sea lice and the use of miRNAs as potential markers in these parasites are discussed in this study.</t>
  </si>
  <si>
    <t>10.3390/ncrna7040076</t>
  </si>
  <si>
    <t>Wu, RW; Kim, KS; Xie, GL; Ouyang, S; Wu, XP</t>
  </si>
  <si>
    <t>Phylogenetic position of Aculamprotula polysticta, comb. res. (Bivalvia : Unionidae) inferred from phylogenetic relationships in Unionida</t>
  </si>
  <si>
    <t>Accurate phylogenies are important for understanding the evolutionary histories of organisms, their reproductive traits and ecological habits. The freshwater mussel order Unionida is currently thought to include six families. However, assignment of particular species to these families has been unstable, particularly for species that have been described solely on conchological characters. Unio polystictus Heude, 1877 represents such a species. Based onDNA sequence data from five genes (COI, 16S rRNA, 18S rRNA, 28S rRNA and histone H3) and complete mitochondrial genomes, weinvestigated the phylogenetic position and generic affinities of U. polystictus using various analytical methods. Both the five-gene and mitogenome datasets strongly supported transferring U. polystictus from Margaritiferidae to Unionidae as Aculamprotula polysticta, comb. res. Our results also supported the following intrageneric relationships: (Aculamprotula tortuosa, ((Aculamprotula polysticta, Aculamprotula scripta), (Aculamprotula fibrosa, Aculamprotula tientsinersis))). In addition, by comparing the morphological features of Aculamprotula (Unionidae, Unioninae), Lamprotula (Unionidae, Gonideinae) and Gibbosula (Margaritiferidae, Gibbosulinae) species, potential issues of relying solely on shell morphology for high-level classification of freshwater mussels are highlighted. Confirmation of classification position and genetic relationship for Aculamprotula polysticta will helpful to understand the ecological characteristics, reproductive strategies and host-fish requirements, which can be inferred from closely related taxa.</t>
  </si>
  <si>
    <t>10.1071/IS19036</t>
  </si>
  <si>
    <t>Davolos, D; De Matthaeis, E; Latella, L; Tarocco, M; Özbek, M; Vonk, R</t>
  </si>
  <si>
    <t>On the molecular and morphological evolution of continental and insular Cryptorchestia species, with an additional description of C. garbinii (Talitridae)</t>
  </si>
  <si>
    <t>Semi-terrestrial talitrid amphipods of the genus Cryptorchestia (sensu Lowry and Fanini 2013) associated with freshwater-soaked leaf litter were known to occur in inland lakes of Turkey and at the shores of the Black Sea. Before 2013 they had been reported as Orchestia cavimana and later as Cryptorchestia cavimana. In our phylogenetic tree, inferred from a mitochondria] and nuclear gene dataset (cytochrome oxidase I (COI), and histone H3 (H3), respectively), we show that these Turkish populations belong to Cryptochestiagarbinii, a common and widespread continental species, which is closely related to C. cavimana (endemic to Cyprus) and C. ruffoi (endemic to Rhodes). For the Turkish and European populations of C. garbinii, we found low levels of both genetic differentiation and morphological variation, and an age-related size variability (increasing at each moult) of the small lobe in the male gnathopod I merus, the main taxonomically diagnostic character for Cryptorchestia. A mainland (C. garbinii) versus insular isolation and in situ speciation (C. cavimana, and C. ruffor) in the two east Mediterranean islands of Cyprus and Rhodes is discussed in relation to terrestrial Cryptorchestia species endemic to North East Atlantic volcanic islands (Azores, Canary Islands, and Madeira). The incorporation of five Mediterranean and Atlantic Orchestia species in the Bayesian analysis of the two genes (COI, and H3) indicated that both genera Orchestia and Cryptorchestia are not monophyletic.</t>
  </si>
  <si>
    <t>SEP 3</t>
  </si>
  <si>
    <t>10.3897/zookeys.783.26179</t>
  </si>
  <si>
    <t>Poljaroen, J; Vanichviriyakit, R; Tinikul, Y; Phoungpetchara, I; Linthong, V; Weerachatyanukul, W; Sobhon, P</t>
  </si>
  <si>
    <t>Spermatogenesis and distinctive mature sperm in the giant freshwater prawn, Macrobrachium rosenbergii (De Man, 1879)</t>
  </si>
  <si>
    <t>The structures of differentiating male germ cells in the testis of the giant freshwater prawn, Macrobrachium rosenbergii, were studied by light and electron microscopy. Based on ultrastructural characteristics, the developing male germ cells are classified into 12 stages, including spermatogonia, six phases of primary spermatocytes (leptotene, zygotene, pachytene, diplotene, diakinesis and metaphase), secondary spermatocyte, three stages of spermatids and mature sperm. During spermatogenesis, the differentiating germ cells have characteristics similar to those of other invertebrates, but they exhibit some unique characteristics during spermiogenesis. In particular, an early spermatid has a round nucleus with highly condensed heterochromatin, appearing as thick interconnecting cords throughout the nucleus. In contrast to most invertebrates and vertebrates, the chromatin begins to decondense in one-half of the nucleus at the mid spermatid stage. In the late spermatid, the chromatin becomes almost entirely decondensed with only a small crescent-shaped heterochromatin patch remaining at the anterior pole of the nucleus. Mature sperm possess an everted umbrella-shaped plate with a spike covering the anterior pole of the nucleus, whose chromatin is totally decondensed as only small traces of histones H3 and H2B remain. The acrosome appears at the ruffled border of the spike plate as small sac-like structures. Few mitochondria remain in the cytoplasm at the posterior pole. (C) 2010 Elsevier GmbH. All rights reserved.</t>
  </si>
  <si>
    <t>10.1016/j.jcz.2010.03.002</t>
  </si>
  <si>
    <t>Yang, JW; Huang, YY; Dong, BH; Dai, YH</t>
  </si>
  <si>
    <t>Long noncoding RNA DLEU2 drives the malignant behaviors of thyroid cancer through mediating he miR-205-5p/TNFAIP8 axis</t>
  </si>
  <si>
    <t>ENDOCRINE CONNECTIONS</t>
  </si>
  <si>
    <t>Objective: Considering the plight in thyroid cancer therapy, we aimed to find novel therapeutic targets from a molecular perspective. Methods: Quantitative real-time PCR (qRT-PCR) and Western blot assay were carried out to determine RNA and protein expression. Cell counting kit-8 (CCK8) assay, flow cytometry, transwell migration assay and aerobic glycolysis analysis were performed to analyze cell proliferation, apoptosis, migration and aerobic glycolysis of thyroid cancer cells. MiRcode and Starbase software were used to search the downstream genes of long noncoding RNA (lncRNA) deleted in lymphocytic leukemia 2 (DLEU2) and microRNA-205-5p (miR-205-5p), and the intermolecular combination was confirmed by dual-luciferase reporter assay. The in vivo role of DLEU2 in tumor growth was verified using the murine xenograft model. Results: DLEU2 and tumor necrosis factor-a-induced protein 8 (TNFAIP8) were highly expressed in thyroid cancer tissues and cell lines. DLEU2 and TNRAIP8 promoted the proliferation, migration and aerobic glycolysis and restrained the apoptosis of thyroid cancer cells. DLEU2/miR-205-5p/TNFAIP8 signaling axis was identified in thyroid cancer cells. TNFAIP8 overexpression largely rescued the malignant phenotypes in DLEU2-silenced thyroid cancer cells. DLEU2 positively regulated TNFAIP8 expression by acting as miR-205-5p sponge in thyroid cancer cells. DLEU2 silencing blocked the growth of xenograft tumors in vivo. Conclusion: lncRNA DLEU2 exerted a pro-tumor role to promote proliferation, migration and aerobic glycolysis while repressing the apoptosis of thyroid cancer cells via miR-205-5p/TNFAIP8 axis.</t>
  </si>
  <si>
    <t>10.1530/EC-21-0046</t>
  </si>
  <si>
    <t>Okoroukwu, ON; Green, GR; D'Souza, MJ</t>
  </si>
  <si>
    <t>Development of albumin microspheres containing Sp H1-DNA complexes: A novel gene delivery system</t>
  </si>
  <si>
    <t>JOURNAL OF MICROENCAPSULATION</t>
  </si>
  <si>
    <t>This study investigated the stability and transfection efficiency of plasmid DNA (pDNA) and sea urchin sperm histone H1 (Sp H1) complexes embedded in albumin microsphere formulations. Sp H1 increased the stability and transfection efficiency of pDNA, while providing a favourable sustained pDNA release profile. Encapsulating Sp H1-complexed pDNA into albumin microspheres further protected the pDNA from physical stress and heparin treatment. When compared with free pDNA encapsulated in albumin microspheres, the Sp H1-pDNA microsphere formulations exhibited decreased hydrophilicity, slower pDNA release profiles, protection against heparin-induced degradation of embedded pDNA and increased stability against physical stress. These results indicate that complex formation of pDNA with Sp H1 facilitates intracellular DNA transfer and that albumin microspheres-Sp H1-pDNA gene delivery formulations are suitable for controlled-release delivery of pDNA while offering protection of the pDNA from degradation and maintaining pDNA biological activity.</t>
  </si>
  <si>
    <t>10.3109/02652040903052028</t>
  </si>
  <si>
    <t>Goto, R; Kawakita, A; Ishikawa, H; Hamamura, Y; Kato, M</t>
  </si>
  <si>
    <t>Molecular phylogeny of the bivalve superfamily Galeommatoidea (Heterodonta, Veneroida) reveals dynamic evolution of symbiotic lifestyle and interphylum host switching</t>
  </si>
  <si>
    <t>Background: Galeommatoidea is a superfamily of bivalves that exhibits remarkably diverse lifestyles. Many members of this group live attached to the body surface or inside the burrows of other marine invertebrates, including crustaceans, holothurians, echinoids, cnidarians, sipunculans and echiurans. These symbiotic species exhibit high host specificity, commensal interactions with hosts, and extreme morphological and behavioral adaptations to symbiotic life. Host specialization to various animal groups has likely played an important role in the evolution and diversification of this bivalve group. However, the evolutionary pathway that led to their ecological diversity is not well understood, in part because of their reduced and/or highly modified morphologies that have confounded traditional taxonomy. This study elucidates the taxonomy of the Galeommatoidea and their evolutionary history of symbiotic lifestyle based on a molecular phylogenic analysis of 33 galeommatoidean and five putative galeommatoidean species belonging to 27 genera and three families using two nuclear ribosomal genes (18S and 28S ribosomal DNA) and a nuclear (histone H3) and mitochondrial (cytochrome oxidase subunit I) protein-coding genes. Results: Molecular phylogeny recovered six well-supported major clades within Galeommatoidea. Symbiotic species were found in all major clades, whereas free-living species were grouped into two major clades. Species symbiotic with crustaceans, holothurians, sipunculans, and echiurans were each found in multiple major clades, suggesting that host specialization to these animal groups occurred repeatedly in Galeommatoidea. Conclusions: Our results suggest that the evolutionary history of host association in Galeommatoidea has been remarkably dynamic, involving frequent host switches between different animal phyla. Such an unusual pattern of dynamic host switching is considered to have resulted from their commensalistic lifestyle, in which they maintain filter-feeding habits even in symbiotic habitats. The results of the molecular phylogenetic analysis did not correspond with the current taxonomic circumscription. Galeommatidae and Lasaeidae were polyphyletic, and Basterotia, which is traditionally assigned to Cyamioidea, formed a monophyletic clade within Galeommatoidea.</t>
  </si>
  <si>
    <t>10.1186/1471-2148-12-172</t>
  </si>
  <si>
    <t>Cahier, K; Piel, D; Barcia-Cruz, R; Goudenège, D; Wegner, KM; Monot, M; Romalde, JL; Le Roux, F</t>
  </si>
  <si>
    <t>Environmental vibrio phage-bacteria interaction networks reflect the genetic structure of host populations</t>
  </si>
  <si>
    <t>Phages depend on their bacterial hosts to replicate. The habitat, density and genetic diversity of host populations are therefore key factors in phage ecology, but our ability to explore their biology depends on the isolation of a diverse and representative collection of phages from different sources. Here, we compared two populations of marine bacterial hosts and their phages collected during a time series sampling program in an oyster farm. The population of Vibrio crassostreae, a species associated specifically to oysters, was genetically structured into clades of near clonal strains, leading to the isolation of closely related phages forming large modules in phage-bacterial infection networks. For Vibrio chagasii, which blooms in the water column, a lower number of closely related hosts and a higher diversity of isolated phages resulted in small modules in the phage-bacterial infection network. Over time, phage load was correlated with V. chagasii abundance, indicating a role of host blooms in driving phage abundance. Genetic experiments further demonstrated that these phage blooms can generate epigenetic and genetic variability that can counteract host defence systems. These results highlight the importance of considering both the environmental dynamics and the genetic structure of the host when interpreting phage-bacteria networks.</t>
  </si>
  <si>
    <t>10.1111/1462-2920.16366</t>
  </si>
  <si>
    <t>Wang, HC; Sha, LX; Huang, LX; Yang, SM; Zhou, QY; Luo, XS; Shi, BB</t>
  </si>
  <si>
    <t>LINC00261 functions as a competing endogenous RNA to regulate BCL2L11 expression by sponging miR-132-3p in endometriosis</t>
  </si>
  <si>
    <t>AMERICAN JOURNAL OF TRANSLATIONAL RESEARCH</t>
  </si>
  <si>
    <t>Endometriosis is a benign disease but manifests with malignant features and limited treatment options. Women with endometriosis should not be ignored or patronized by the medical profession and society. In this regard, a major cultural change and searching for the optimum therapeutic regimen from multiple perspectives is needed in China even in the whole world. Long non-coding RNAs are crucial for various human diseases while its potential functions and mechanisms are largely unknown in endometriosis. LINC00261 was significantly downregulated in endometriosis tissues and our study indicated that it suppresses proliferation and invasion of endometriosis cells functionally in vitro. Insights of the mechanism of competitive endogenous RNAs were obtained from bioinformatic analysis, RIP, RNA pull-down and luciferase assays, which further confirmed that LINC00261 functions as a molecular sponge to regulate BCL2L11 expression by binding to miR-132-3p directly. These data defined LINC00261/miR-132-3p/BCL2L11 regulatory networks may be a novel therapeutic target for endometriosis.</t>
  </si>
  <si>
    <t>Gustafson, KD; Kensinger, BJ; Bolek, MG; Luttbeg, B</t>
  </si>
  <si>
    <t>Distinct snail (Physa) morphotypes from different habitats converge in shell shape and size under common garden conditions</t>
  </si>
  <si>
    <t>EVOLUTIONARY ECOLOGY RESEARCH</t>
  </si>
  <si>
    <t>Background: Aspects of snail shell morphology may be plastic or genetically fixed. Even within a single population, environmentally induced shell shape plasticity can lead to unclear species identifications as a result of extreme shape variation. Extrinsic factors, such as predation pressure and stream flow, tend to induce adaptive plastic changes in shell morphology, such as elongate shells with narrow apertures and short-spired shells with wide apertures, respectively. Snail populations from a local stream and adjacent wetland exhibit these distinct morphotypes. Questions: Do the snail morphotypes represent a single cryptic species? Are the morphotypes environmentally induced and plastic, or epigenetic? Organisms: We captured wild Physa snails from either a stream population (low predation, high flow site) or a nearby pond population (high predation, low flow site) in Stillwater, Oklahoma, USA. Predictions: If distinct snail morphotypes represent a single cryptic species, their phenotypes may be plastic. In this case, raising snail offspring under similar conditions of predation and stream flow will result in one shell shape and size. Methods: We reared and maintained snail offspring of both morphotypes in laboratory aquaria (low water flow, no predation). We measured the shell morphology of wild, of first-generation laboratory, and of second-generation laboratory snails using geometric morphometrics. Results: Shell shape and size of wild snails from the two populations were significantly different. After a single generation, however, the shell shape of both populations resembled the wild snails from the pond site (elongate with narrow apertures). Shell size decreased in the first generation, but shell size in the two populations did not fully converge until the second generation. Conclusions: The shape differences are plastic responses to environmental variation. Thus, the two morphotypes constitute a single snail species (Physa acuta). The single generation lag in size convergence suggests there is an epigenetic difference between generations within populations.</t>
  </si>
  <si>
    <t>Dalmasso, MC; Sullivan, WJ; Angel, SO</t>
  </si>
  <si>
    <t>Canonical and variant histones of protozoan parasites</t>
  </si>
  <si>
    <t>FRONTIERS IN BIOSCIENCE-LANDMARK</t>
  </si>
  <si>
    <t>Protozoan parasites have tremendously diverse lifestyles that require adaptation to a remarkable assortment of different environmental conditions. In order to complete their life cycles, protozoan parasites rely on fine-tuning gene expression. In general, protozoa use novel regulatory elements, transcription factors, and epigenetic mechanisms to regulate their transcriptomes. One of the most surprising findings includes the nature of their histones - these primitive eukaryotes lack some histones yet harbor novel histone variants of unknown function. In this review, we describe the histone components of different protozoan parasites based on literature and database searching. We summarize the key discoveries regarding histones and histone variants and their impact on chromatin regulation in protozoan parasites. In addition, we list histone genes IDs, sequences, and genomic localization of several protozoan parasites and Microsporidia histones, obtained from a thorough search of genome databases. We then compare these findings with those observed in higher eukaryotes, allowing us to highlight some novel aspects of epigenetic regulation in protists and to propose questions to be addressed in the upcoming years.</t>
  </si>
  <si>
    <t>10.2741/3841</t>
  </si>
  <si>
    <t>Ivashkin, E; Melnikova, V; Kurtova, A; Brun, NR; Obukhova, A; Khabarova, MY; Yakusheff, A; Adameyko, I; Gribble, KE; Voronezhskaya, EE</t>
  </si>
  <si>
    <t>Transglutaminase Activity Determines Nuclear Localization of Serotonin Immunoreactivity in the Early Embryos of Invertebrates and Vertebrates</t>
  </si>
  <si>
    <t>ACS CHEMICAL NEUROSCIENCE</t>
  </si>
  <si>
    <t>Serotonin (5-HT) is a key player in many physiological processes in both the adult organism and developing embryo. One of the mechanisms for 5-HT-mediated effects is covalent binding of 5-HT to the target proteins catalyzed by transglutaminases (serotonylation). Despite the implication in a variety of physiological processes, the involvement of serotonylation in embryonic development remains unclear. Here we tested the hypothesis that 5-HT serves as a substrate for transglutaminase-mediated transamidation of the nuclear proteins in the early embryos of both vertebrates and invertebrates. For this, we demonstrated that the level of serotonin immunoreactivity (5-HT-ir) in cell nuclei increases upon the elevation of 5-HT concentration in embryos of sea urchins, mollusks, and teleost fish. Consistently, pharmacological inhibition of transglutaminase activity resulted in the reduction of both brightness and nuclear localization of anti-5-HT staining. We identified specific and bright 5-HT-ir within nuclei attributed to a subset of different cell types: ectodermal and endodermal, macro- and micromeres, and blastoderm. Western blot and dot blot confirmed the presence of 5-HT-ir epitopes in the normal embryos of all the species examined. The experimental elevation of 5-HT level led to the enhancement of 5-HT-ir-related signal on blots in a species-specific manner. The obtained results demonstrate that 5-HT is involved in transglutaminase-dependent monoaminylation of nuclear proteins and suggest nuclear serotonylation as a possible regulatory mechanism during early embryonic development. The results reveal that this pathway is conserved in the development of both vertebrates and invertebrates.</t>
  </si>
  <si>
    <t>10.1021/acschemneuro.9b00346</t>
  </si>
  <si>
    <t>Zuma, AA; Santos, JD; Mendes, I; de Souza, W; Machado, CR; Motta, MCM</t>
  </si>
  <si>
    <t>Chaetocin-A histone methyltransferase inhibitor-Impairs proliferation, arrests cell cycle and induces nucleolar disassembly in Trypanosoma cruzi</t>
  </si>
  <si>
    <t>ACTA TROPICA</t>
  </si>
  <si>
    <t>The Trypanosomatidae family includes pathogenic species of medical and veterinary interest. Chagas disease is endemic in Latin America, and about 8 million people are infected worldwide. There is a need for more effective drugs for the acute, undetermined and chronic phases of the disease that, in addition, do not cause side effects, stimulating the search for identification of new drug targets, as well as new chemotherapeutic targets. Trypanosomatids contain characteristic structures, such as the nucleus that undergoes a closed mitosis without chromosome formation and variations of chromatin packing in the different protozoa developmental stages. The nuclear DNA is condensed by histones that suffer post-translational modifications, such as addition of methyl groups by histone methyltransferases (MHT) and addition of acetyl groups by acetyltransferases. These processes modulate gene expression and chromatin organization, which are crucial to transcription, replication, repair and recombination. In the present study, the effects of chaetocin, a HMT inhibitor, on T. cruzi epimastigote proliferation, viability, ultrastructure and cell cycle were investigated. Results indicate that chaetocin promoted irreversible inhibition of protozoa growth, evident unpacking of nuclear heterochromatin and intense nucleolus fragmentation, which is associated with parasite cell cycle arrest and RNA transcription blockage. Taken together, data obtained with chaetocin treatment stimulate the use of histone methyltransferase inhibitors against pathogenic trypanosomatids. (C) 2017 Elsevier B.V. All rights reserved.</t>
  </si>
  <si>
    <t>10.1016/j.actatropica.2017.02.007</t>
  </si>
  <si>
    <t>Kappner, I; Bieler, R</t>
  </si>
  <si>
    <t>Phylogeny of venus clams (Bivalvia: Venerinae) as inferred from nuclear and mitochondrial gene sequences</t>
  </si>
  <si>
    <t>Venerinae (Heterodonta: Veneridae) is a diverse, commercially important, and cosmopolitan marine bivalve subfamily. Recent workers synonymized it with the subfamily Chioninae, due to their overall morphological similarity. The use of traditional shell-based characters alone, however, is questionable for resolving phylogenetic relationships of this group. A phylogenetic study was carried out, based on nucleotide sequences of the mitochondrial large ribosomal subunit (16S), cytochrome oxidase subunit I (COI), and the nuclear protein-coding gene histone 3, to investigate the relationships and circumscription of Venerinae and the phylogenetic pattern of characters in this group. This study consists of a total of 55 taxa: 13 venerine genera, 24 chionine taxa, and 18 taxa of other venerid subfamilies. We analyzed the alignments using a Bayesian approach using Markov Chain Monte Carlo tree sampling and maximum parsimony methods. The resulting phylogenetic hypothesis suggests that Chioninae and Venerinae are actually discrete taxa, but that the circumscription suffered from misplacement of some genera. Our analysis showed that the former chionine genera Chamelea and Clausinella should be placed in Venerinae, as sister taxa to Venus. We re-analyzed morphological and anatomical features in light of the molecular data to describe monophyletic entities. Features of the hinge and internal shell as well as the degree of siphonal fusion are identified as characters to morphologically distinguish the two subfamilies. Of the three genes used in this study, only COI (commonly used as barcoding gene) posed substantial problems in obtaining sequence data from older museum material. (c) 2006 Elsevier Inc. All rights reserved.</t>
  </si>
  <si>
    <t>10.1016/j.ympev.2006.02.006</t>
  </si>
  <si>
    <t>Tustison, CA; Ramey-Balci, PA; Rouse, GW</t>
  </si>
  <si>
    <t>More Knot Worms: Four New Polygordius (Annelida) Species from the Pacific and Caribbean</t>
  </si>
  <si>
    <t>Polygordius is a clade of marine annelids mainly seen in coarse-grained habitats. They are notable for their smooth bodies, lacking in chaetae or obvious segments, and they resemble Nematoda or Nemertea. Though Polygordius taxa are found in all oceans of the world, identifying species based only on morphological characters can be challenging due to their relatively uniform external appearances. Diversity within the clade has likely been markedly underestimated. Where morphological characters are inconspicuous or even unreliable, molecular methods can provide clarity in delimiting species. In this study, morphological methods (examination under light and scanning electron microscopy) were integrated with molecular analyses (sequencing of Cytochrome c oxidase subunit I, 16S rRNA and Histone H3 gene fragments) to establish the systematic placement of Polygordius specimens collected from Australia, Belize, French Polynesia, Indonesia, Japan, and the U.S. west coast. These analyses revealed three new species of Polygordius from the Pacific Ocean (P. erikae n. sp., P. kurthcarolae n. sp., and P. kurthsusanae n. sp.) as well as one new species from the Caribbean Sea (P. jenniferae n. sp.). These new species are formally described, and a previously known Japanese species, P. pacificus Uchida, 1936, is redescribed. This study establishes the first molecular data set for Polygordius species from the Pacific region, as well as the first formal description of a Caribbean species of Polygordius. Phylogenetic relationships within Polygordius are summarized and discussed.</t>
  </si>
  <si>
    <t>10.3390/d12040146</t>
  </si>
  <si>
    <t>Baratti, M; Filippelli, M; Messana, G</t>
  </si>
  <si>
    <t>Complex genetic patterns in the mangrove wood-borer Sphaeroma terebrans Bate, 1866 (Isopoda, Crustacea, Sphaeromatidae) generated by shoreline topography and rafting dispersal</t>
  </si>
  <si>
    <t>A phylogeographic analysis of the widely distributed marine wood-boring isopod Sphaeroma terebrans Bate 1866 was carried out to test for potential genetic differentiation and geographical structure. The species spends its entire life cycle in mangrove roots and is characterized by low active dispersal ability and no early dispersal stages. As the species has a mainly circumtropical distribution, long-range dispersal mechanisms, such as rafting on floating wood, could have played important roles in the distribution of the species throughout the world. However, as high genetic diversity and very low gene flow levels have been found among very close localities, physical barriers related to changes in coastal topography could have contributed to the contemporary genetic structure. Mitochondrial (CO! and 165) and nuclear (Histone3) sequences were analysed from 13 populations of S. terebrans. High levels of genetic population differentiation ((Phi ST = 0.84) were observed among the 13 populations analysed and they were not explainable by an isolation by distance model (Mantel test: p &gt; 0.13). Four major lineages were recognized by phylogenetic and spatial genetic analyses. One lineage (Clade D), highly divergent from the others, was only found in one of the two populations from Mahe (Seychelles Is.) and it shows morphological affinities with South Asian populations. The other 12 populations are represented by three haplogroups. Clades B and care not highly differentiated from each other, but both of them appear very distant from Clade A, probably representing a different species with significant departure from neutrality, as suggested by Mismatch distribution, Tajima's and Fu's Fs tests. Contrary to expectation, the cosmopolitian S. terebrans seems to comprise more than one species. (C) 2010 Elsevier B.V. All rights reserved.</t>
  </si>
  <si>
    <t>10.1016/j.jembe.2010.12.008</t>
  </si>
  <si>
    <t>Liao, YS; Ma, KY; De Grave, S; Komai, T; Chan, TY; Chu, KH</t>
  </si>
  <si>
    <t>Systematic analysis of the caridean shrimp superfamily Pandaloidea (Crustacea: Decapoda) based on molecular and morphological evidence</t>
  </si>
  <si>
    <t>One of the systematically controversial superfamilies in Caridea is the predominately deep-sea or cold water Pandaloidea, largely because this species-rich group of nearly 200 species in 25 genera exhibits a very high diversity of body forms and ecology. Although the relationships amongst the taxa within Pandaloidea have been repeatedly discussed based on morphology, no comprehensive molecular phylogeny exists. In this study, we present the first molecular phylogeny of the group, based on a combined dataset of two mitochondrial (12S and 16S rRNA) and six nuclear (ATP synthase beta-subunit, enolase, glyceraldehyde-3-phosphate dehydrogenase, histone 3, phosphoenolpyruvate carboxykinase and sodium-potassium ATPase alpha-subunit) markers, based on 62 species (about 1/3 of known biodiversity) in 22 genera (88% of genera) of two pandaloid families (Pandalidae, Thalassocarididae) and outgroups from seven other caridean families. With generally high support, the relationships within the Glade are fully resolved. Pandalidae is shown to be paraphyletic with Thalassocarididae deeply nested within as a monophyletic group, and the latter is herein considered to be a synonym of Pandalidae. Five major clades are recovered, with the shallow water genera Anachlorocurtis, Chlorocurtis, Chlorotocella and Miropandalus forming a sister Glade to the remaining genera. At the genus level, the phylogeny indicates Plesionika, Heterocarpus and Pandalus to be not monophyletic. The validity of Pandalopsis, Stylopandalus and Calipandalus is challenged and these genera are considered herein to be junior synonyms of Pandalus (Pandalopsis) and Plesionika (Stylopandalus and Calipandalus). Although not fully resolved, some evidence potentially considers Nothocaris to be a valid genus. Ancestral State Reconstruction successfully recovered 15 synapomorphies for the major clades, with 11 of them reported to be of systematic significance for the first time.</t>
  </si>
  <si>
    <t>10.1016/j.ympev.2019.02.006</t>
  </si>
  <si>
    <t>Hookabe, N; Kajihara, H; Chernyshev, AV; Jimi, N; Hasegawa, N; Kohtsuka, H; Okanishi, M; Tani, K; Fujiwara, Y; Tsuchida, S; Ueshima, R</t>
  </si>
  <si>
    <t>Molecular Phylogeny of the Genus Nipponnemertes (Nemertea: Monostilifera: Cratenemertidae) and Descriptions of 10 New Species, With Notes on Small Body Size in a Newly Discovered Clade</t>
  </si>
  <si>
    <t>Nemerteans, or ribbon worms, have been reported from intertidal to hadal depths, often showing bathymetrically wide distribution in genus levels. Although current nemertean systematics practices require to provide DNA sequences and infer phylogenetic relationships with suitable molecular markers, previous molecular systematics on nemerteans are mostly biased toward shallow-water species. Members in the genus Nipponnemertes occur worldwide, from tropical to polar waters and intertidal to bathyal waters. Molecular phylogenetic studies are scarce for the genus; only six shallow-water species of 18 species in the genus were subject to molecular phylogeny. Thus, Nipponnemertes is one candidate that needs to be assessed by genetic approaches. In this study, we performed molecular phylogenetic analyses using 59 specimens in 23 species based on partial sequences of two mitochondrial (16S rRNA and cytochrome c oxidase subunit I) and three nuclear gene markers (18S rRNA, 28S rRNA, and histone H3). Our extensive sampling from intertidal to bathyal waters in the Northwest Pacific significantly updated the fauna of Nipponnemertes in this region from four to 17 species. We herein establish 10 new species and provide an updated species list concisely summarizing all the congeners known from the world. Our phylogenetic tree indicated three major lineages within the genus (herein referred to as Clade A, B, and C), each presumably characterized by the combination of morphological characters in the head region. Members in Clade A are: Nipponnemertes pulchra (Johnston, 1837), Nipponnemertes ogumai (Yamaoka, 1947), and several unidentified congeners, characterized by having demarcated head without cephalic patches; members in Clade B are: Nipponnemertes crypta sp. nov., Nipponnemertes jambio sp. nov., Nipponnemertes neonilae sp. nov., and Nipponnemertes ojimaorum sp. nov., species having demarcated head with cephalic patches; members in Clade C are: Nipponnemertes ganahai sp. nov., Nipponnemertes kozaensis sp. nov., Nipponnemertes lactea sp. nov., Nipponnemertes notoensis sp. nov., Nipponnemertes ornata sp. nov., Nipponnemertes sugashimaensis sp. nov., and two unidentified forms collected off Jogashima (Japan) and Guam (USA), species with non-demarcated head lacking cephalic patches. Furthermore, we discuss the evolution of remarkably small body size retained among Clade C.</t>
  </si>
  <si>
    <t>JUL 26</t>
  </si>
  <si>
    <t>10.3389/fmars.2022.906383</t>
  </si>
  <si>
    <t>Luu, BE; Hawkins, LJ; Storey, KB</t>
  </si>
  <si>
    <t>Insights from a vertebrate model organism on the molecular mechanisms of whole-body dehydration tolerance</t>
  </si>
  <si>
    <t>MOLECULAR AND CELLULAR BIOCHEMISTRY</t>
  </si>
  <si>
    <t>Studies on the molecular mechanisms of dehydration tolerance have been largely limited to plants and invertebrates. Currently, research in whole body dehydration of complex animals is limited to cognitive and behavioral effects in humans, leaving the molecular mechanisms of vertebrate dehydration relatively unexplored. The present review summarizes studies to date on the African clawed frog (Xenopus laevis) and examines whole-body dehydration on physiological, cellular and molecular levels. This aquatic frog is exposed to seasonal droughts in its native habitat and can endure a loss of over 30% of its total body water. When coping with dehydration, osmoregulatory processes prioritize water retention in skeletal tissues and vital organs over plasma volume. Although systemic blood circulation is maintained in the vital organs and even elevated in the brain during dehydration, it is done so at the expense of reduced circulation to the skeletal muscles. Increased hemoglobin affinity for oxygen helps to counteract impaired blood circulation and metabolic enzymes show altered kinetic and regulatory parameters that support the use of anaerobic glycolysis. Recent studies with X. laevis also show that pro-survival pathways such as antioxidant defenses and heat shock proteins are activated in an organ-specific manner during dehydration. These pathways are tightly coordinated at the post-transcriptional level by non-coding RNAs, and at the post-translational level by reversible protein phosphorylation. Paired with ongoing research on the X. laevis genome, the African clawed frog is poised to be an ideal animal model with which to investigate the molecular adaptations for dehydration tolerance much more deeply.</t>
  </si>
  <si>
    <t>10.1007/s11010-021-04072-x</t>
  </si>
  <si>
    <t>Lin, HC; Kobasov, GA; Chan, BKK</t>
  </si>
  <si>
    <t>Phylogenetic relationships of Darwin's Mr. Arthrobalanus: The burrowing barnacles (Cirripedia: Acrothoracica)</t>
  </si>
  <si>
    <t>The barnacles of the superorder Acrothoracica are small, burrowing, epibiotic, and dioecious (large female with dwarf male) crustaceans largely found in the carbonate sediments and skeletons of marine invertebrates. The acrothoracicans represent the Cirripedia with the most plesiomorphic characters and have prominently featured in phylogenetic speculations concerning these crustaceans. Traditionally, Acrothoracica was divided into two main orders, Pygophora and Apygophora. The Apygophora had uniramus cirri and no anus. The Pygophora had biramus terminal cirri and an anus and was further divided into two families, Lithoglyptidae and Cryptophialidae. Kolbasov (2009) revised the superorder Acrothoracica on the basis of morphological examinations of females, dwarf males, and cyprids and rearranged the acrothoracican species into two new orders, Lithoglyptida and Cryptophialida. The present study is the first attempt to reconstruct the phylogenetic relationships of acrothoracican barnacles by sequencing two mitochondrial (cytochrome C oxidase I and 16S ribosomal DNA) and two nuclear (18S ribosomal DNA and histone H3) markers of 8 of the 11 genera comprising 23 acrothoracican species. All monophylies of the eight acrothoracican genera sampled in this study were strongly supported. The deep interfamilial relationship constructed is consistent with the recent morphological phylogenetic relationship proposed by Kolbasov, Newman, and Hoeg (Kolbasov, 2009) that Cryptophialidae (order Cryptophialida) is the sister group to all other acrothoracicans (order Lithoglyptida). According to an ancestral character state reconstruction analysis, the posterior lobes of females; armament of opercular bars, attachment stalk, lateral projections of the body, and aperture slits in dwarf males; and habitat use appear to have phylogenetic importance. (C) 2016 The Authors. Published by Elsevier Inc.</t>
  </si>
  <si>
    <t>10.1016/j.ympev.2016.03.016</t>
  </si>
  <si>
    <t>Sharma, PP; Zardus, JD; Boyle, EE; González, VL; Jennings, RM; McIntyre, E; Wheeler, WC; Etter, RJ; Giribet, G</t>
  </si>
  <si>
    <t>Into the deep: A phylogenetic approach to the bivalve. subclass Protobranchia</t>
  </si>
  <si>
    <t>A molecular phylogeny of Protobranchia, the subclass of bivalve mollusks sister to the remaining Bivalvia, has long proven elusive, because many constituent lineages are deep-sea endemics, which creates methodological challenges for collecting and preserving genetic material. We obtained 74 representatives of all 12 extant protobranch families and investigated the internal phylogeny of this group using sequence data from five molecular loci (165 rRNA, 18S rRNA, 285 rRNA, cytochrome c oxidase subunit I, and histone H3). Model-based and dynamic homology parsimony approaches to phylogenetic reconstruction unanimously supported four major clades of Protobranchia, irrespective of treatment of hypervariable regions in the nuclear ribosomal genes 18S rRNA and 28S rRNA. These four clades correspond to the superfamilies Nuculoidea (excluding Sareptidae), Nuculanoidea (including Sareptidae), Solemyoidea, and Manzanelloidea. Salient aspects of the phylogeny include (1) support for the placement of the family Sareptidae with Nuculanoidea; (2) the non-monophyly of the order Solemyida (Solemyidae + Nucinellidae); (3) and the non-monophyly of most nuculoid and nuculanoid genera and families. In light of this first family-level phylogeny of Protobranchia, we present a revised classification of the group. Estimation of divergence times in concert with analyses of diversification rates demonstrate the signature of the end-Permian mass extinction in the phylogeny of extant protobranchs. (C) 2013 Elsevier Inc. All rights reserved.</t>
  </si>
  <si>
    <t>10.1016/j.ympev.2013.05.018</t>
  </si>
  <si>
    <t>Georgel, PT; Robert, CH</t>
  </si>
  <si>
    <t>Differential core histone binding Behavior - RNA polymerase I promoter region vs 5S rDNA positioning DNA sequences</t>
  </si>
  <si>
    <t>CELL BIOCHEMISTRY AND BIOPHYSICS</t>
  </si>
  <si>
    <t>In order to further characterize the previously observed disruptive effect of the RNA polymerase I promoter sequence (Pol 1) from Acanthamoeba castellanii on tandemly repeated 5S rDNA positioning sequences from sea urchin (Lytechinus variegatus), we compared the histone-binding ability of the isolated 199-bp Pol I promoter region to that of the 208-bp 5S rDNA and that of nucleosome core particle sequences isolated from chicken erythocytes. We found the 5S rDNA positioning sequence to be more efficient at forming nucleosomes than the RNA polymerase I promoter sequence. Nevertheless, examination of the free-DNA half-depletion points during the titrations suggested that twice as much histone had bound to the RNA polymerase I promoter sequence as to the 5S nucleosome-positioning or core particle sequences. DNA bending analysis suggested two potential DNA bending loci in the RNA polymerase I promoter, whereas only one such locus was predicted for the 5S positioning sequence. Such mixed bending signals on the RNA polymerase I promoter could favor non-nucleosomal deposition of histones on these sequences.</t>
  </si>
  <si>
    <t>10.1385/CBB:37:1:01</t>
  </si>
  <si>
    <t>Rossi, N; Mantelatto, FL</t>
  </si>
  <si>
    <t>Molecular Analysis of the Freshwater Prawn Macrobrachium olfersii (Decapoda, Palaemonidae) Supports the Existence of a Single Species throughout Its Distribution</t>
  </si>
  <si>
    <t>Macrobrachium olfersii is an amphidromous freshwater prawn, widespread along the eastern coasts of the Americas. This species shows great morphological modifications during ontogenesis, and several studies have verified the existence of a wide intraspecific variation. Because of this condition, the species is often misidentified, and several synonyms have been documented. To elucidate these aspects, individuals of M. olfersii from different populations along its range of distribution were investigated. The taxonomic limit was established, and the degree of genetic variability of this species was described. We extracted DNA from 53 specimens of M. olfersii, M. americanum, M. digueti and M. faustinum, which resulted in 84 new sequences (22 of 16S mtDNA, 45 of Cythocrome Oxidase I (COI) mtDNA, and 17 of Histone (H3) nDNA). Sequences of three genes (single and concatenated) from these species were used in the Maximum Likelihood and Bayesian Inference phylogenetic analyses and COI sequences from M. olfersii were used in population analysis. The genetic variation was evaluated through the alignment of 554 bp from the 16S, 638 bp from the COI, and 338 bp from the H3. The rates of genetic divergence among populations were lower at the intraspecific level. This was confirmed by the haplotype net, which showed a continuous gene flow among populations. Although a wide distribution and high morphological intraspecific variation often suggest the existence of more than one species, genetic similarity of Caribbean and Brazilian populations of M. olfersii supported them as a single species.</t>
  </si>
  <si>
    <t>JAN 31</t>
  </si>
  <si>
    <t>10.1371/journal.pone.0054698</t>
  </si>
  <si>
    <t>Rabinowitz, C; Moiseeva, E; Rinkevich, B</t>
  </si>
  <si>
    <t>In vitro cultures of ectodermal monolayers from the model sea anemone Nematostella vectensis</t>
  </si>
  <si>
    <t>CELL AND TISSUE RESEARCH</t>
  </si>
  <si>
    <t>We report here a novel approach for the extraction, isolation and culturing of intact ectodermal tissue layers from a model marine invertebrate, the sea anemone Nematostella vectensis. A methodology is described in which a brief exposure of the animal to the mucolytic agent N-acetyl-L-cysteine (NAC) solution triggers the dislodging of the ectodermis from its underlying basement membrane and mesoglea. These extracted fragments of cell sheets adherent to culture-dish substrates, initially form 2D monolayers that are transformed within 24 h post-isolation into 3D structures. These ectodermal tissues were sustained in vitro for several months, retaining their 3D structure while continuously releasing cells into the surrounding media. Cultures were then used for cell type characterizations and, additionally, the underlying organization of actin filaments in the 3D structures are demonstrated. Incorporation of BrdU and immunohistochemical labeling using p-histone H3 primary antibody were performed to compare mitotic activities of ectodermal cells originating from intact and from in vivo regenerating animals. Results revealed no change in mitotic activities at 2 h after bisection and a 1.67-, 1.71- and 3.74-fold increase over 24, 48 and 72 h of regeneration, respectively, depicting a significant correlation coefficient (p &lt; 0.05; R (2) = 0.74). A significant difference was found only between the control and 3-day regenerations (p = 0.016). Cell proliferation was demonstrated in the 3D ectodermis after 6 culturing days. Moreover, monolayers that were subjected to Ca++/Mg++ free medium for the first 2 h after isolation and then replaced by standard medium, showed, at 6 days of culturing, profuse appearance of positive p-histone H3-labeled nuclei in the 3D tissues. Cytochalasin administered throughout the culturing period abolished all p-histone H3 labeling. This study thus depicts novel in vitro tissue culturing of ectodermal layers from a model marine invertebrate, demonstrating the ease with which experiments can be performed and cellular and molecular pathways can be revealed, thus opening studies on 2D tissue organizations and morphogenesis as well as the roles of cellular components in the formation of tissues in this organism.</t>
  </si>
  <si>
    <t>10.1007/s00441-016-2495-6</t>
  </si>
  <si>
    <t>Page, TJ; Short, JW; Humphrey, CL; Hillyer, MJ; Hughes, JM</t>
  </si>
  <si>
    <t>Molecular systematics of the Kakaducarididae (Crustacea: Decapoda: Caridea)</t>
  </si>
  <si>
    <t>The systematic relationships of the freshwater shrimp family, Kakaducarididae, were examined using mitochondrial and nuclear DNA sequences. Combined nuclear (18S rDNA, 28S rDNA, Histone) and mitochondrial (16S rDNA) analyses placed the kakaducaridid genera, Kakaducaris and Leptopalaemon, as a strongly supported clade within the Palaemonidae, in a close relationship with the genus Macrobrachium. Monophyly of the Australian Kakaducarididae was strongly supported by the molecular data. Estimated net divergence times between Kakaducaris and Leptopalaemon using mitochondrial 16S rDNA equate to a late Miocene/Pliocene split. Within Leptopalaemon, each locality was distinct for mitochondrial COI haplotypes, suggesting long-term isolation or recent genetic bottlenecks, a lack of contemporary gene flow amongst sites and a small N-e. Mitochondrial groupings within Leptopalaemon were largely congruent with several previously recognised morphotypes. Estimated net divergence times between L. gagadjui and the new Leptopalaemon morphotypes equate to a split in the late Pliocene/early Pleistocene. The hypothesis that the Kakaducarididae is comprised of relict species in specialised ecological niches is not supported by the molecular data, which instead suggest a relatively recent origin for the group in northern Australia, sometime in the late Miocene or Pliocene. (c) 2008 Elsevier Inc. All rights reserved.</t>
  </si>
  <si>
    <t>10.1016/j.ympev.2007.12.020</t>
  </si>
  <si>
    <t>López-Luis, MA; Padrón-Manrique, CJC; García-Lerena, JA; Lozano-Amado, D; Hernández-Rivas, R; Saucedo-Cárdenas, O; Méndez-Tenorio, A; Valdés, J</t>
  </si>
  <si>
    <t>In Silico Identification and Characterization of circRNAs as Potential Virulence-Related miRNA/siRNA Sponges from Entamoeba histolytica and Encystment-Related circRNAs from Entamoeba invadens</t>
  </si>
  <si>
    <t>Ubiquitous eukaryotic non-coding circular RNAs regulate transcription and translation. We have reported full-length intronic circular RNAs (flicRNAs) in Entamoeba histolytica with esterified 3' ss and 5' ss. Their 5' ss GU-rich elements are essential for their biogenesis and their suggested role in transcription regulation. Here, we explored whether exonic, exonic-intronic, and intergenic circular RNAs are also part of the E. histolytica and E. invadens ncRNA RNAome and investigated their possible functions. Available RNA-Seq libraries were analyzed with the CIRI-full software in search of circular exonic RNAs (circRNAs). The robustness of the analyses was validated using synthetic decoy sequences with bona fide back splice junctions. Differentially expressed (DE) circRNAs, between the virulent HM1:IMSS and the nonvirulent Rahman E. histolytica strains, were identified, and their miRNA sponging potential was analyzed using the intaRNA software. Respectively, 188 and 605 reverse overlapped circRNAs from E. invadens and E. histolytica were identified. The sequence composition of the circRNAs was mostly exonic although different to human circRNAs in other attributes. 416 circRNAs from E. histolytica were virulent-specific and 267 were nonvirulent-specific. Out of the common circRNAs, 32 were DE between strains. Finally, we predicted that 8 of the DE circRNAs could function as sponges of the bioinformatically reported miRNAs in E. histolytica, whose functions are still unknown. Our results extend the E. histolytica RNAome and allow us to devise a hypothesis to test circRNAs/miRNAs/siRNAs interactions in determining the virulent/nonvirulent phenotypes and to explore other regulatory mechanisms during amoebic encystment.</t>
  </si>
  <si>
    <t>10.3390/ncrna8050065</t>
  </si>
  <si>
    <t>Buschini, A; Carboni, P; Martino, A; Poli, P; Rossi, C</t>
  </si>
  <si>
    <t>Effects of temperature on baseline and genotoxicant-induced DNA damage in haemocytes of Dreissena polymorpha</t>
  </si>
  <si>
    <t>MUTATION RESEARCH-GENETIC TOXICOLOGY AND ENVIRONMENTAL MUTAGENESIS</t>
  </si>
  <si>
    <t>The potential application of the Comet assay for monitoring genotoxicity in the freshwater mussel Dreissena polymorpha was explored and a preliminary investigation was undertaken of the baseline levels of DNA damage in mussel haemocytes of animals kept at different temperatures. In addition, in vitro cell sensitivity against genotoxicants was assessed in relation to increasing temperatures. The mussels were kept at four different constant temperatures (4, 18, 28 and 37 C) for 15 h. The haemocytes withdrawn were treated in vitro with melphalan, as a model genotoxic compound, or sodium hypochlorite, a common water disinfectant capable of producing mutagenic/carcinogenic by-products, at the established temperatures for 1 h. The data obtained in vivo, in cells directly withdrawn from the mussels showed a significant (P &lt; 0.001, Student's t test) inter-individual variability, probably due to genetic and epigenetic factors and an increasing amount of DNA damage at increasing temperature. Mussel haemocytes showed a clear dose-response effect after in vitro melphalan treatment. Hypochlorite treatment also significantly increased DNA migration: the damage was temperature dependent, with a similar increase at 4 and 28degreesC and a minimum level at 18degreesC. This study demonstrates the potential application of the Comet assay to haemocytes of D. pollymorpha. However, these findings suggest that temperature could alter both DNA damage baseline levels in untreated animals and cell sensitivity towards environmental pollutants in in vitro conditions. Therefore, more information is needed about seasonal variations and the natural background levels of DNA damage in mussels living in the wild, before they are used for the monitoring of genotoxic effects in aquatic environments. (C) 2003 Elsevier Science B.V. All rights reserved.</t>
  </si>
  <si>
    <t>10.1016/S1383-5718(03)00050-0</t>
  </si>
  <si>
    <t>Pan, YB; Zhang, WJ; Lin, SJ</t>
  </si>
  <si>
    <t>Transcriptomic and microRNAomic profiling reveals molecular mechanisms to cope with silver nanoparticle exposure in the ciliate Euplotes vannus</t>
  </si>
  <si>
    <t>ENVIRONMENTAL SCIENCE-NANO</t>
  </si>
  <si>
    <t>In spite of many reports on the toxicity of silver nanoparticles (AgNPs), the mechanisms underlying the toxicity are far from clear. The present study conducted transcriptome and microRNAome sequencing for Euplotes vannus to understand the molecular mechanisms by which this protist responds to and copes with AgNP exposure. By transcriptomic profiling, 1884 and 5834 differentially expressed genes (DEGs) were identified after one hour and 12 hours of exposure to 15 mg L-1 AgNPs, respectively. The DEGs were significantly enriched in macropinocytosis and phagocytic vesicles, suggesting that endocytic pathways may mediate the uptake of AgNPs, while the differential expression of ABC transporters and copper-transporting ATPase implicates active efflux transport of Ag. Several DNA repair pathways were also significantly enriched with differentially expressed cell cycle control genes, implying that exposure to AgNPs might have caused DNA damage and G2/M cell cycle arrest. The damage might have resulted from increased ROS production, as evidenced by elevated expression of several antioxidant genes to combat oxidative stress. From microRNAomic profiling, a total of 16 differentially expressed microRNAs were identified under AgNP stress. Integrated analysis of the microRNA and mRNA expression profiles indicated that the differentially expressed microRNAs target a series of genes involved in many important biological processes, such as the cell cycle, TCA cycle and mismatch repair, suggesting that AgNP exposure elicited a broad post-transcriptional regulatory mechanism in E. vannus to cope with the toxicity.</t>
  </si>
  <si>
    <t>10.1039/c8en00924d</t>
  </si>
  <si>
    <t>Ahn, MY; Jung, JH; Na, YJ; Kim, HS</t>
  </si>
  <si>
    <t>A natural histone deacetylase inhibitor, Psammaplin A, induces cell cycle arrest and apoptosis in human endometrial cancer cells</t>
  </si>
  <si>
    <t>GYNECOLOGIC ONCOLOGY</t>
  </si>
  <si>
    <t>Objective. Histone deacetylase (HDAC) inhibitors are promising new class of anticancer agents that act by inhibiting cell proliferation and inducing cell cycle arrest of various cancer cells. Psammaplin A (PsA) is a phenolic natural product that has been isolated from marine sponges, and has been suggested to be a promising novel HDAC inhibitor. However, the precise mechanism of PsA as a HDAC inhibitor is poorly understood. This study investigated the anti-tumor effect of PsA on endometrial human cancer cells. Methods. The cell proliferation, cell cycle, and apoptosis were measured in Ishikawa endometrial cancer cells after PsA treatment. Results. PsA significantly inhibited the proliferation of Ishikawa cells in a dose-dependent manner. PsA markedly induced the expression of acetylated H3 and H4 histone proteins. In addition, PsA markedly up-regulated the expression of cyclin-dependent kinase inhibitor, p21(WAF1), and down-regulated the expression of pRb, cyclins, and CDKs, which lead to induce cell cycle arrest. Cell cycle analysis indicated that PsA treatment increased the proportion of cells in the G0/G1 and G2/M phases, and decreased the ratio of cells in the S phase. Conclusion. The PsA treatment resulted in the significant induction of apoptosis, which was associated with p53 independent p21(WAF1) expression. These results suggest that PsA exhibits the antiproliferative effects on endometrial cancer cells through selective induction of genes related to cell cycle arrest and apoptosis. (c) 2007 Elsevier Inc. All rights reserved.</t>
  </si>
  <si>
    <t>10.1016/j.ygyno.2007.08.098</t>
  </si>
  <si>
    <t>Tarazona, G; Santamaría, G; Cruz, PG; Fernández, R; Pérez, M; Martínez-Leal, JF; Rodríguez, J; Jiménez, C; Cuevas, C</t>
  </si>
  <si>
    <t>Cytotoxic Anomoian B and Aplyzanzine B, New Bromotyrosine Alkaloids from Indonesian Sponges</t>
  </si>
  <si>
    <t>ACS OMEGA</t>
  </si>
  <si>
    <t>Two new bromotyrosine derivatives, anomoian B (1) and aplyzanzine B (2), were isolated, respectively, from the organic extracts of a Verongida sponge belonging to the Hexadella genus and from a two-sponge association (Jaspis sp. and Bubaris sp.), both collected off the coast of Indonesia. The planar structure of 1 and 2 was determined by 1D and 2D NMR experiments and by high-resolution mass spectrometry, while their absolute stereochemistry was assigned by comparison with optical rotation values of known bromotyrosines and by chemical degradation. Both compounds showed moderate anti-proliferative activity against a panel of different cancer cell lines. Their cytotoxic activity is facilitated through the induction of apoptosis, which is mediated neither by the generation of reactive oxygen species nor by the inhibition of histone deacetylases in these cell lines.</t>
  </si>
  <si>
    <t>10.1021/acsomega.7b00417</t>
  </si>
  <si>
    <t>Takagi, H; Inai, Y; Watanabe, S; Tatemoto, S; Yajima, M; Akasaka, K; Yamamoto, T; Sakamoto, N</t>
  </si>
  <si>
    <t>Nucleosome exclusion from the interspecies-conserved central AT-rich region of the Ars insulator</t>
  </si>
  <si>
    <t>JOURNAL OF BIOCHEMISTRY</t>
  </si>
  <si>
    <t>The Ars insulator is a boundary element identified in the upstream region of the arylsulfatase (HpArs) gene in the sea urchin, Hemicentrotus pulcherrimus, and possesses the ability to both block enhancer-promoter communications and protect transgenes from silent chromatin. To understand the molecular mechanism of the Ars insulator, we investigated the correlation between chromatin structure, DNA structure and insulator activity. Nuclease digestion of nuclei isolated from sea urchin embryos revealed the presence of a nuclease-hypersensitive site within the Ars insulator. Analysis of micrococcal nuclease-sensitive sites in the Ars insulator, reconstituted with nucleosomes, showed the exclusion of nucleosomes from the central AT-rich region. Furthermore, the central AT-rich region in naked DNA was sensitive to nucleotide base modification by diethylpyrocarbonate (DEPC). These observations suggest that non-B-DNA structures in the central AT-rich region may inhibit nucleosomal formation, which leads to nuclease hypersensitivity. Furthermore, comparison of nucleotide sequences between the HpArs gene and its ortholog in Strongylocentrotus purpuratus revealed that the central AT-rich region of the Ars insulator is conserved, and this conserved region showed significant enhancer blocking activity. These results suggest that the central AT-rich nucleosome-free region plays an important role in the function of the Ars insulator.</t>
  </si>
  <si>
    <t>10.1093/jb/mvr118</t>
  </si>
  <si>
    <t>Guo, J; Su, YY; Zhang, M</t>
  </si>
  <si>
    <t>Circ_0000140 restrains the proliferation, metastasis and glycolysis metabolism of oral squamous cell carcinoma through upregulating CDC73 via sponging miR-182-5p</t>
  </si>
  <si>
    <t>Background Oral squamous cell carcinoma (OSCC) is a more common cancer in the world. Emerging evidence suggests that circular RNAs (circRNAs) participate in the progression of OSCC. However, the role of circ_0000140 in OSCC is still unknown. Methods The expression of circ_0000140 and microRNA-182-5p (miR-182-5p) were assessed by quantitative real-time polymerase chain reaction (qRT-PCR). Also, cell proliferation, migration and invasion were measured by colony formation and transwell assays, respectively. Western blot (WB) analysis was used to test the levels of proliferation, metastasis and glycolysis metabolism-related proteins as well as cell division cycle 73 (CDC73) protein. Further, the extracellular acidification rate (ECAR) of cells was detected by the Seahorse XF Extracellular Flux Analyzer. The lactate acid level of cells was tested by Lactate Assay Kit. Moreover, dual-luciferase reporter was used to verify the interaction between miR-182-3p and circ_0000140 or CDC73, and RNA immunoprecipitation (RIP) assay was employed to further confirm the relationship between miR-182-3p and circ_0000140. In addition, mice xenograft models were built to measure the effect of circ_0000140 on OSCC tumor growth in vivo. Results Circ_0000140 was lowly expressed in OSCC, and its overexpression hindered proliferation, migration, invasion and glycolysis metabolism in OSCC cells. MiR-182-5p could be sponged by circ_0000140, and its mimic could invert the suppression of circ_0000140 overexpression on OSCC progression. CDC73 could be targeted by miR-182-3p, and its silencing could reverse the inhibition of miR-182-3p inhibitor on OSCC progression. Further, overexpressed circ_0000140 reduced the OSCC tumor growth in vivo. Conclusions Circ_0000140 might play an anti-cancer role in OSCC, which provided a novel target for clinical therapy of OSCC.</t>
  </si>
  <si>
    <t>AUG 26</t>
  </si>
  <si>
    <t>10.1186/s12935-020-01501-7</t>
  </si>
  <si>
    <t>Nohara, LL; Ellis, SLS; Dreier, C; Dada, S; Saranchova, I; Munro, L; Pfeifer, CG; Coyle, KM; Morrice, JR; Shim, DJS; Ahn, P; De Voogd, N; Williams, DE; Cheng, P; Garrovillas, E; Andersen, RJ; Jefferies, WA</t>
  </si>
  <si>
    <t>A novel cell-based screen identifies chemical entities that reverse the immune-escape phenotype of metastatic tumours</t>
  </si>
  <si>
    <t>Genetic and epigenetic events have been implicated in the downregulation of the cellular antigen processing and presentation machinery (APM), which in turn, has been associated with cancer evasion of the immune system. When these essential components are lacking, cancers develop the ability to subvert host immune surveillance allowing cancer cells to become invisible to the immune system and, in turn, promote cancer metastasis. Here we describe and validate the first high-throughput cell-based screening assay to identify chemical extracts and unique chemical entities that reverse the downregulation of APM components in cell lines derived from metastatic tumours. Through the screening of a library of 480 marine invertebrate extracts followed by bioassay-guided fractionation, curcuphenol, a common sesquiterpene phenol derived from turmeric, was identified as the active compound of one of the extracts. We demonstrate that curcuphenol induces the expression of the APM components, TAP-1 and MHC-I molecules, in cell lines derived from both metastatic prostate and lung carcinomas. Turmeric and curcumins that contain curcuphenol have long been utilized not only as a spice in the preparation of food, but also in traditional medicines for treating cancers. The remarkable discovery that a common component of spices can increase the expression of APM components in metastatic tumour cells and, therefore reverse immune-escape mechanisms, provides a rationale for the development of foods and advanced nutraceuticals as therapeutic candidates for harnessing the power of the immune system to recognize and destroy metastatic cancers.</t>
  </si>
  <si>
    <t>10.3389/fphar.2023.1119607</t>
  </si>
  <si>
    <t>Nakao, Y; Narazaki, G; Hoshino, T; Maeda, S; Yoshida, M; Maejima, H; Yamashita, JK</t>
  </si>
  <si>
    <t>Evaluation of antiangiogenic activity of azumamides by the in vitro vascular organization model using mouse induced pluripotent stem (iPS) cells</t>
  </si>
  <si>
    <t>Evaluation of antiangiogenic activity of marine sponge derived azumamides by the in vitro vascular organization model using mouse induced pluripotent stem (iPS) cells was carried out. Azumamide E (5) strongly inhibited in vitro angiogenesis from iPS cells at 1.9 mu M while azumamide A (1) showed only weak inhibition at 19 mu M. These results were well correlated with HDAC inhibitory activity of these compounds, revealing the prospect of azumamides as the probe molecules useful for stem cell chemical biology. (C) 2008 Published by Elsevier Ltd.</t>
  </si>
  <si>
    <t>10.1016/j.bmcl.2008.03.053</t>
  </si>
  <si>
    <t>Yuan, B; Yang, Y; Yan, ZC; He, C; Sun, YH; Wang, F; Wang, BB; Shi, JM; Xiao, S; Wang, F; Fang, Q; Li, F; Ye, XH; Ye, GY</t>
  </si>
  <si>
    <t>A rapidly evolving single copy histone H1 variant is associated with male fertility in a parasitoid wasp</t>
  </si>
  <si>
    <t>The linker histone H1 binds to the nucleosome core particle at the site where DNA enters and exits, and facilitates folding of the nucleosomes into a higher-order chromatin structure in eukaryotes. Additionally, some variant H1s promote specialized chromatin functions in cellular processes. Germline-specific H1 variants have been reported in some model species with diverse roles in chromatin structure changes during gametogenesis. In insects, the current understanding of germline-specific H1 variants comes mainly from the studies in Drosophila melanogaster, and the information on this set of genes in other non-model insects remains largely unknown. Here, we identify two H1 variants (PpH1V1 and PpH1V2) that are specifically predominantly expressed in the testis of the parasitoid wasp Pteromalus puparum. Evolutionary analyses suggest that these H1 variant genes evolve rapidly, and are generally maintained as a single copy in Hymenoptera. Disruption of PpH1V1 function in the late larval stage male by RNA interference experiments has no phenotype on spermatogenesis in the pupal testis, but results in abnormal chromatin structure and low sperm fertility in the adult seminal vesicle. In addition, PpH1V2 knockdown has no detectable effect on spermatogenesis or male fertility. Collectively, our discovery indicates distinct functions of male germline-enriched H1 variants between parasitoid wasp Pteromalus and Drosophila, providing new insights into the role of insect H1 variants in gametogenesis. This study also highlights the functional complexity of germline-specific H1s in animals.</t>
  </si>
  <si>
    <t>MAY 31</t>
  </si>
  <si>
    <t>10.3389/fcell.2023.1166517</t>
  </si>
  <si>
    <t>Zhang, XY; Xu, YY; Yamaguchi, K; Hu, JP; Zhang, LB; Wang, JF; Tian, JF; Chen, WY</t>
  </si>
  <si>
    <t>Circular RNA circVAPA knockdown suppresses colorectal cancer cell growth process by regulating miR-125a/CREB5 axis</t>
  </si>
  <si>
    <t>Background Colorectal cancer (CRC) is a malignant tumor, and the overall prognosis of patients with advanced CRC is still unsatisfactory. Circular RNAs (circRNAs) vesicle-associated membrane protein-associated protein A (circVAPA) could act as an underlying biomarker in CRC. This study aimed to explore the mechanism of circVAPA in the regulation of CRC growth. Methods CircVAPA level was measured in CRC tumor tissues. The expression levels of circVAPA, VAPA mRNA, microRNA-125a (miR-125a), and cAMP response element binding 5 (CREB5) in CRC cells were detected by RT-qPCR. Cell cycle progression, migration and invasion, extracellular acidification rate (ECAR) and oxygen consumption rate (OCR) were measured by flow cytometry, transwell assays and Seahorse XF96 Glycolysis Analyzer, severally. The levels of glucose uptake, lactate and ATP production were examined by Glucose Uptake Colorimetric Assay kit, Lactate Assay kit and ATP Colorimetric Assay kit, respectively. The interaction between miR-125a and circVAPA or CREB5 was predicted by Starbase or DIANA TOOL, and verified by the dual-luciferase reporter and RNA Immunoprecipitation (RIP) assays. Results CircVAPA level was up-regulated in CRC tumor tissues. Expression levels of circVAPA and CREB5 were increased, and miR-125a was decreased in CRC cells. CircVAPA knockdown repressed CRC cells cycle progression, migration, invasion and glycolysis. CircVAPA acted as a miR-125a sponge to regulate CREB5 expression. Rescue assay confirmed that miR-125a deletion or CREB5 overexpression weakened the inhibitory effect of circVAPA knockdown on CRC growth. Conclusion Our studies disclosed that circVAPA knockdown suppressed CRC cells cycle progression, migration, invasion and glycolysis partly by modulating miR-125a/CREB5 axis, suggesting a potential therapeutic strategy for CRC treatment.</t>
  </si>
  <si>
    <t>MAR 30</t>
  </si>
  <si>
    <t>10.1186/s12935-020-01178-y</t>
  </si>
  <si>
    <t>Dunlap, WC; Starcevic, A; Baranasic, D; Diminic, J; Zucko, J; Gacesa, R; van Oppen, MJH; Hranueli, D; Cullum, J; Long, PF</t>
  </si>
  <si>
    <t>KEGG orthology-based annotation of the predicted proteome of Acropora digitifera: ZoophyteBase - an open access and searchable database of a coral genome</t>
  </si>
  <si>
    <t>Background: Contemporary coral reef research has firmly established that a genomic approach is urgently needed to better understand the effects of anthropogenic environmental stress and global climate change on coral holobiont interactions. Here we present KEGG orthology-based annotation of the complete genome sequence of the scleractinian coral Acropora digitifera and provide the first comprehensive view of the genome of a reef-building coral by applying advanced bioinformatics. Description: Sequences from the KEGG database of protein function were used to construct hidden Markov models. These models were used to search the predicted proteome of A. digitifera to establish complete genomic annotation. The annotated dataset is published in ZoophyteBase, an open access format with different options for searching the data. A particularly useful feature is the ability to use a Google-like search engine that links query words to protein attributes. We present features of the annotation that underpin the molecular structure of key processes of coral physiology that include (1) regulatory proteins of symbiosis, (2) planula and early developmental proteins, (3) neural messengers, receptors and sensory proteins, (4) calcification and Ca2+-signalling proteins, (5) plant-derived proteins, (6) proteins of nitrogen metabolism, (7) DNA repair proteins, (8) stress response proteins, (9) antioxidant and redox-protective proteins, (10) proteins of cellular apoptosis, (11) microbial symbioses and pathogenicity proteins, (12) proteins of viral pathogenicity, (13) toxins and venom, (14) proteins of the chemical defensome and (15) coral epigenetics. Conclusions: We advocate that providing annotation in an open-access searchable database available to the public domain will give an unprecedented foundation to interrogate the fundamental molecular structure and interactions of coral symbiosis and allow critical questions to be addressed at the genomic level based on combined aspects of evolutionary, developmental, metabolic, and environmental perspectives.</t>
  </si>
  <si>
    <t>10.1186/1471-2164-14-509</t>
  </si>
  <si>
    <t>Bauer, M; Greenwood, SJ; Clark, KF; Jackman, P; Fairchild, W</t>
  </si>
  <si>
    <t>Analysis of gene expression in Homarus americanus larvae exposed to sublethal concentrations of endosulfan during metamorphosis</t>
  </si>
  <si>
    <t>Agricultural pesticide runoff has been suspected as the cause of numerous fish kills in rivers throughout Prince Edward Island but the impact on the surrounding marine environment is unknown. Endosulfan, an organochlorine pesticide, is a potent neurotoxin and molt inhibitor used to combat the Colorado potato beetle however it has the potential to affect non-target organisms including the American lobster (Homarus americanus). Metamorphosis is a critical stage of development and the effects of contaminant exposure during this time are largely unknown in lobster. A 14 day endosulfan exposure was performed to identify the effects on survival, development and gene expression in lobster larvae during metamorphosis; all of which were predicted to be negatively impacted. The higher endosulfan concentrations resulted in greater mortality and a significant increase in the number of days required to reach metamorphosis in surviving animals. A custom made H. americanus microarray was used for monitoring the changes in expression of 14,592 genes at the termination of the exposure. Genes With &gt;1.5 fold change and identified as being significant at p &lt; 0.05 using one-way ANOVA were selected for further analysis. A total of 707 genes were identified as being significantly differentiated, however with only similar to 40% annotation of the array, the majority of these genes were unknown. Annotated genes of interest were involved in many processes: development, metabolism, immunity and oxidative stress response and gene regulation. Nine genes of interest (histone H1, farnesoic acid O-methyltransferase, cuticle protein, glutathione S-transferase, thioredoxin, NADH dehydrogenase, ecdysone nuclear receptor Fushi tarazu F1 (FTZ-F1), ferritin and ecdysone inducible protein E75 (EIP-E75)) were selected for RT-qPCR validation of the microarray results. The RT-qPCR method was more sensitive than the microarray yet detected similar expression patterns. The two highest endosulfan concentrations resulted in increased mortalities, developmental delays in reaching metamorphosis and significant changes in gene expression. This research provides a foundation for using microarray gene expression profiles as screening tools for exploring the impact of environmental contaminants on lobster. Crown Copyright (C) 2013 Published by Elsevier Inc. All rights reserved.</t>
  </si>
  <si>
    <t>10.1016/j.cbd.2013.07.002</t>
  </si>
  <si>
    <t>Cardoso, IA; Rodríguez-Rey, GT; Terossi, M; Bartilotti, C; Serejo, CS</t>
  </si>
  <si>
    <t>Taxonomic status of the amphi Atlantic species Plesionika acanthonotus (Caridea: Pandalidae): a multi-locus and morphological approach</t>
  </si>
  <si>
    <t>Deep-sea shrimps of the species Plesionika acanthonotus (Smith, 1882) and P holthuisi Crosnier &amp; Forest, 1968 are morphologically similar and exhibit overlapping amphi-Atlantic distributions. In the literature, through morphological studies, them are reports of doubts about the validity of P. holthuisi and some authors believe that the eastern and western Atlantic populations of P. acanthonothus could represent two distinct species. The objective of the present study was to use molecular data to elucidate the taxonomic status of the two populations of P acanthonothus. DNA sequences of two mitochondrial genes (16S rDNA and Cytochrome Oxidase subunit I) and a nuclear gene (Histone 3) were obtained for both species and for both populations of P. acanthonotus. The sequences were also obtained from Genbank for comparison. The trees (separate and multi-locus/partitioned genes) were generated by Bayesian Inference analyzes, and genetic divergence (Kimura-2-parameters) was also calculated. All specimens that had their DNA sequenced were examined morphologically to confirm their identification: morphological variations were noted. The genetic data showed that Plesionika holthuisi is closely related to P acanthonotus, but clearly separated, indicating that P. holthuisi is a valid species. In the multi-locus analysis, the P. acanthonothus specimens were divided into two clades, one with the eastern Atlantic specimens and another with the western Atlantic specimens. However, this genetic separation was considered to be a population structuring for three reasons: (1) the genetic divergences of the two mitochondrial genes between these two groups (eastern Atlantic X western Atlantic) were smaller than the interspecific divergence for Plesionika; (2) the P. acanthonothus sequences of the Histone 3 gene showed no genetic variation; (3) in the analyzed individuals, no valid morphological character was found to support this separation. Thus, the conclusion of this study is that P. holthuisi probably is a valid species and P acanthonothus presents two populations with mitochondria! divergences that could be in the process of speciation, but which currently represent only one species.</t>
  </si>
  <si>
    <t>10.11646/zootaxa.4590.4.3</t>
  </si>
  <si>
    <t>Shieh, AWY; Chalker, DL</t>
  </si>
  <si>
    <t>LIA5 Is Required for Nuclear Reorganization and Programmed DNA Rearrangements Occurring during Tetrahymena Macronuclear Differentiation</t>
  </si>
  <si>
    <t>During macronuclear differentiation of the ciliate Tetrahymena thermophila, genome-wide DNA rearrangements eliminate nearly 50 Mbp of germline derived DNA, creating a streamlined somatic genome. The transposon-like and other repetitive sequences to be eliminated are identified using a piRNA pathway and packaged as heterochromatin prior to their removal. In this study, we show that LIA5, which encodes a zinc-finger protein likely of transposon origin, is required for both chromosome fragmentation and DNA elimination events. Lia5p acts after the establishment of RNAi-directed heterochromatin modifications, but prior to the excision of the modified sequences. In Delta LIA5 cells, DNA elimination foci, large nuclear sub-structures containing the sequences to be eliminated and the essential chromodomain protein Pdd1p, do not form Lia5p, unlike Pdd1p, is not stably associated with these structures, but is required for their formation. In the absence of Lia5p, we could recover foci formation by ectopically inducing DNA damage by UV treatment. Foci in both wild-type or UV-treated Delta LIA5 cells contain dephosphorylated Pdd1p. These studies of LIA5 reveal that DNA elimination foci form after the excision of germ-line limited sequences occurs and indicate that Pdd1p reorganization is likely mediated through a DNA damage response.</t>
  </si>
  <si>
    <t>SEP 17</t>
  </si>
  <si>
    <t>10.1371/journal.pone.0075337</t>
  </si>
  <si>
    <t>Chan, TY; Ho, KC; Li, CP; Chu, KH</t>
  </si>
  <si>
    <t>Origin and diversification of the clawed lobster genus Metanephrops (Crustacea: Decapoda: Nephropidae)</t>
  </si>
  <si>
    <t>A phylogenetic analysis of all 17 extant species of the clawed lobster genus Metanephrops based on mitochondrial 12S rRNA, 16S rRNA and cytochrome c oxidase 1, and nuclear histone H3 gene sequences supports the morphological groupings of two of the traditional groups of the genus (the binghami and japonicus groups) but refutes monophyly of the other two groups (the arafurensis and thomsoni groups). The results in general support a recent morphology-based cladistic analysis of this genus except that this study suggests M. neptunus to be a basal rather than a derived species as indicated in the morphological analysis. This species is genetically diverse over its geographical range. Moreover, the two color forms of M. thomsoni are genetically distinct, most likely representing different species. The molecular phylogeny and current distribution pattern of the extant species, together with the fossil record. suggest that the genus originated in the Antarctica in the Cretaceous, followed by diversification and dispersal along the continental shelf of different continents as a result of the vicariant events associated with the breakup of the Southern Temperate Gondwana since Late Cretaceous. (C) 2008 Elsevier Inc. All rights reserved.</t>
  </si>
  <si>
    <t>10.1016/j.ympev.2008.11.020</t>
  </si>
  <si>
    <t>Kawahara, H; Philipova, R; Yokosawa, H; Patel, R; Tanaka, K; Whitaker, M</t>
  </si>
  <si>
    <t>Inhibiting proteasome activity causes overreplication of DNA and blocks entry into mitosis in sea urchin embryos</t>
  </si>
  <si>
    <t>The proteasome has been shown to be involved in exit from mitosis by bringing about destruction of mitotic cyclins, Here, we present evidence that the proteasome is also required for proper completion of S phase and for entry into mitosis in the sea urchin embryonic cleavage cycle. A. series of structurally related peptide-aldehydes prevent nuclear envelope breakdown in their order of inhibitory efficacies against the proteasome. Their efficacies in blocking exit from S phase and exit from mitosis correlate well, indicating that the proteasome is involved at both these steps. Mitotic histone HI kinase activation and tyrosine dephosphorylation of p34(cdc2) kinase are blocked by inhibition of the proteasome, indicating that the proteasome plays an important role in the pathway that leads to embryonic p34(cdc2) kinase activation. Arrested embryos continued to incorporate [H-3]thymidine and characteristically developed large nuclei. Pre-mitotic arrest can be overcome by treatment with caffeine, a manoeuvre that is known to override the DNA replication checkpoint, These data demonstrate that the proteasome is involved in the control of termination of S phase and consequently in the initiation of M phase of the first embryonic cell cycle.</t>
  </si>
  <si>
    <t>Wang, Z; Xu, T; Qiu, JW; Ji, YL; Yu, ZS; Ke, CH</t>
  </si>
  <si>
    <t>Morphological analysis of Rhynchospio aff. asiatica (Annelida: Spionidae) and comments on the phylogeny and reproduction of the family Spionidae</t>
  </si>
  <si>
    <t>JOURNAL OF OCEANOLOGY AND LIMNOLOGY</t>
  </si>
  <si>
    <t>The genus Rhynchospio has fronto-lateral horns on prostomium, paired branchiae from chaetiger 2 to near the posterior end, capillary notochaetae only, and more than two pairs of pygidial cirri. Rhynchospio species are common in coastal soft bottom communities; nevertheless, many recorded Rhynchospio specimens around the world are currently undescribed. Here we described a Rhynchospio species based on specimens collected from Qingdao, China. Comparison with the reported DNA sequences of four gene markers (16S rRNA, 18S rRNA, 28S rRNA, and Histone H3) and brief morphological description of specimens collected from Jinhae Bay, South Korea, previously reported as Rhynchospio aff asiatica, indicated that they are conspecific. Morphologically, specimens of R. aff. asiatica from Qingdao are characterized by having neuropodial hooded hooks from chaetigers 14-17 (vs. 10-23 in R. asiatica) to near pygidial chaetigers, sperm from chaetiger 11 to 14 (vs. from chaetiger 11 to 21-22 in R. asiatica), oocytes from chaetigers 16-17 to 26-39 (vs. from 22-24 in R. asiatica), and 4-6 (vs. up to 6 in R. asiatica) pygidial cirri. Genetically, Rhynchospio aff. asiatica is most closely related to R. arenincola Hartman, 1936 from California, USA with the interspecific distances of 20.02% (16S rRNA), 4.50% (18S rRNA), 8.44% (28S rRNA), 2.74% (Histone H3), and 6.10% (concatenated sequences). Water flow across the dorsum created by ciliary beating of the branchiae and nototrochs, observed on live specimens, may help transport gametes from reproductive segments in anterior and middle parts to the posterior brooding segments. Phylogenetic trees based on concatenated sequences of four gene markers of 54 spioniform species in 25 genera revealed two clades, covering the two subfamilies Spioninae and Nerininae respectively. Two families (i.e., Poecilochaetidae and Trochochaetidae) in the order Spionida were clustered within Spionidae, supporting a morphology-based proposal that these families bearing a pair of prehensile, grooved palps should be grouped within a more broadly defined family Spionidae. Mapping morphological and reproductive characteristics to the phylogenetic trees indicated that the ancestor of spionids might lack branchiae, broadcast spawn thick-envelop oocytes and ect-aquasperm, and produce planktotrophic larvae.</t>
  </si>
  <si>
    <t>10.1007/s00343-021-1068-z</t>
  </si>
  <si>
    <t>Marková, A; Orosová, M; Marec, F; Barcák, D; Oros, M</t>
  </si>
  <si>
    <t>Karyological Study of Acanthocephalus lucii (Echinorhynchida): The Occurrence of B Chromosomes in Populations from PCB-Polluted Waters</t>
  </si>
  <si>
    <t>In this study, we performed a cytogenetic analysis of Acanthocephalus lucii specimens from three sites with different levels of environmental pollution. Standard and fluorochrome staining (CMA3/DAPI), fluorescence in situ hybridization (FISH) with 18S rDNA and histone H3 probes, and silver impregnation were performed. Chromosome complements of 2n = 7/8 (male/female), n = 1m + 2sm + 1a (X), and CMA(3)-positive bands in all chromosomes were found in all three populations. FISH revealed one 18S rDNA locus on the X chromosome and one locus of H3 histone genes on the first chromosome pair. At the intraspecific level, the populations differed in the presence of supernumerary B chromosomes, which were found in all specimens from Zemplinska Sirava and in 89.4% of specimens from the Laborec River, but not at the reference site. The first two sites are considered to be water bodies with high toxin contamination. Based on this fact, we assume an increased frequency of chromosome breaks leading to the formation of DNA fragments that have the potential to form B chromosomes. The present results add to the very limited data on the organization of multigene families in the genome of Acanthocephala and suggest a possible causal link between water pollution and the occurrence of B chromosomes in fish parasites.</t>
  </si>
  <si>
    <t>10.3390/d16030140</t>
  </si>
  <si>
    <t>Cheng, YT; Chang, DM; Tung, YC; Hsiao, PW; Nakagawa-Goto, K; Shyur, LF</t>
  </si>
  <si>
    <t>Phytosesquiterpene lactones deregulate mitochondrial activity and phenotypes associated with triple-negative breast cancer metastasis</t>
  </si>
  <si>
    <t>PHYTOMEDICINE</t>
  </si>
  <si>
    <t>Background: Triple-negative breast cancer (TNBC) recurrence and metastasis are the major causes of failure in TNBC therapy. The difficulties in treating TNBCs may be because of increased cancer cell plasticity that involves the fine-tuning of cellular redox homeostasis, mitochondrial bioenergetics, metabolic characteristics, and the development of cancer stem cells (CSCs). Purpose: To investigate the effects and the underlying mechanisms of the phytosesquiterpene lactone deoxyelephantopin (DET) and its semi-synthesized derivative (DETD-35) in suppressing different phenotypic TNBC cell populations that contribute to tumor metastasis. Methods: A timelapse microfluidic-based system was established to analyze the effects of DETD-35 and DET on cell migration behavior in an oxygen gradient. Seahorse real-time cell metabolic analyzer and gas chromatography/quadrupole-time-of-flight mass spectrometry (GC/Q-TOF MS) were utilized to analyze the effects of the compounds on mitochondrial bioenergetics in TNBC cells. A miRNA knockout technique and miRNA sponges were employed to evaluate the miR-4284 involvement in the anti-TNBC cell effect of either compound. Results: DETD-35 and DET attenuated TNBC cell migration toward hypoxic regions under a 2-19 % oxygen gradient in a timelapse microfluidic-based system. DETD-35 and DET also suppressed CSC-like phenotypes, including the expression of Sox2, Oct4, and CD44 in TNBC cells under hypoxic conditions. DETD-35 and DET affected mitochondrial basal respiration, ATP production, proton leak, and primary metabolism, including glycolysis, the TCA cycle, and amino acid metabolism in the lung-metastatic TNBC cells. Furthermore, the expression of mitophagy markers PARKIN, BNIP3, PINK1, LC3-II, and apoptotic markers Bax, cleaved caspase 7, and cleaved PARP in hypoxic and lung-metastatic TNBC cells was also regulated by treatment with either compound. In miR-4284 knockout cells or miR-4284 inhibitor co-treated TNBC cells, DET- and DETD-35-induced over-expression of mitophagic and apoptotic markers was partially reversed, indicating miR-4284 involved with the compounds caused programmed cell death. Conclusion: This study demonstrated the novel activities of DETD-35 and DET in suppressing CSC-like phenotypes and metastatic TNBC cells through the de-regulation of mitochondrial bioenergetics.</t>
  </si>
  <si>
    <t>10.1016/j.phymed.2024.156226</t>
  </si>
  <si>
    <t>Federico, S; Glaviano, F; Esposito, R; Pinto, B; Gharbi, M; Di Cosmo, A; Costantini, M; Zupo, V</t>
  </si>
  <si>
    <t>Gene Expression Detects the Factors Influencing the Reproductive Success and the Survival Rates of Paracentrotus lividus Offspring</t>
  </si>
  <si>
    <t>The increase in the demand for Paracentrotus lividus roe, a food delicacy, causes increased pressure on its wild stocks. In this scenario, aquaculture facilities will mitigate the effects of anthropogenic pressures on the wild stocks of P. lividus. Consequently, experimental studies should be conducted to enhance techniques to improve efficient aquaculture practices for these animals. Here, we for the first time performed molecular investigations on cultured sea urchins. We aimed at understanding if maternal influences may significantly impact the life of future offspring, and how the culture conditions may impact the development and growth of cultured specimens. Our findings demonstrate that the outcomes of in vitro fertilization of P. lividus are influenced by maternal influences, but these effects are largely determined by culture conditions. In fact, twenty-three genes involved in the response to stress and skeletogenesis, whose expressions were measured by Real Time qPCR, were differently expressed in sea urchins cultured in two experimental conditions, and the results were largely modified in offspring deriving from two groups of females. The findings herein reported will be critical to develop protocols for the larval culture of the most common sea urchin, both for research and industrial production purposes for mass production.</t>
  </si>
  <si>
    <t>10.3390/ijms232112790</t>
  </si>
  <si>
    <t>Chukaew, T; Isomura, N; Mezaki, T; Matsumoto, H; Kitano, YF; Nozawa, Y; Tachikawa, H; Fukami, H</t>
  </si>
  <si>
    <t>Molecular Phylogeny and Taxonomy of the Coral Genus Cyphastrea (Cnidaria, Scleractinia, Merulinidae) in Japan, With the First Records of Two Species</t>
  </si>
  <si>
    <t>The scleractinian coral genus Cyphastrea is widely distributed in the Indo-Pacific region and is common from the subtropical to the warm-temperate regions in Japan. Three new species in this genus have recently been reported from south-eastern Australia or the Red Sea. However, taxonomic and species diversity have been little studied so far in Japan. In this study, we analyzed 112 specimens of Cyphastrea collected from the subtropical to the warm-temperate regions in Japan to clarify the species diversity in the country. This analysis was based on skeletal morphological and molecular analyses using three genetic markers of the nuclear 28S rDNA, histone H3 gene, and the mitochondrial noncoding intergenic region between COI and tRNAmet. The molecular phylogenetic trees showed that our specimens are separated mainly into four clades. Considering the morphological data with the molecular phylogenetic relationships, we confirmed a total of nine species, including two species, C. magna and C. salae, recorded for the first time in Japan. Although eight out of nine species were genetically included within Cyphastrea, one species, C. agassizi, was genetically distant from all other species and was closely related to the genus Leptastrea, suggesting the return of this species to the genus to which it was originally ascribed. Two newly recorded species were reciprocally monophyletic, while the other six species (excluding C. agassizi) clustered in two clades without forming species-specific lineages, including three polyphyletic species. Thus, the species boundary between species in Cyphastrea remains unclear in most species using these three sequenced loci.</t>
  </si>
  <si>
    <t>10.2108/zs230009</t>
  </si>
  <si>
    <t>Jemaà, M; Morin, N; Cavelier, P; Cau, J; Strub, JM; Delsert, C</t>
  </si>
  <si>
    <t>Adult somatic progenitor cells and hematopoiesis in oysters</t>
  </si>
  <si>
    <t>Long-lived animals show a non-observable age-related decline in immune defense, which is provided by blood cells that derive from self-renewing stem cells. The oldest living animals are bivalves. Yet, the origin of hemocytes, the cells involved in innate immunity, is unknown in bivalves and current knowledge about mollusk adult somatic stem cells is scarce. Here we identify a population of adult somatic precursor cells and show their differentiation into hemocytes. Oyster gill contains an as yet unreported irregularly folded structure (IFS) with stem-like cells bathing into the hemolymph. BrdU labeling revealed that the stem-like cells in the gill epithelium and in the nearby hemolymph replicate DNA. Proliferation of this cell population was further evidenced by phosphorylated-histone H3 mitotic staining. Finally, these small cells, most abundant in the IFS epithelium, were found to be positive for the stemness marker Sox2. We provide evidence for hematopoiesis by showing that co-expression of Sox2 and Cu/Zn superoxide dismutase, a hemocyte-specific enzyme, does not occur in the gill epithelial cells but rather in the underlying tissues and vessels. We further confirm the hematopoietic features of these cells by the detection of Filamin, a protein specific for a subpopulation of hemocytes, in large BrdU-labeled cells bathing into gill vessels. Altogether, our data show that progenitor cells differentiate into hemocytes in the gill, which suggests that hematopoiesis occurs in oyster gills.</t>
  </si>
  <si>
    <t>10.1242/jeb.106575</t>
  </si>
  <si>
    <t>Cavelier, P; Cau, J; Morin, N; Delsert, C</t>
  </si>
  <si>
    <t>Early gametogenesis in the Pacific oyster: new insights using stem cell and mitotic markers</t>
  </si>
  <si>
    <t>While our knowledge of bivalve gametogenesis has progressed in recent times, more molecular markers are needed in order to develop tissue imaging. Here, we identified stem cell and mitotic markers to further characterize oyster early gametogenesis, mainly through immunofluorescence microscopy. Intense alkaline phosphatase activity, a non-specific marker for stem cells, was detected on the outer edge of the gonad ducts at the post-spawning stage, suggesting an abundance of undifferentiated cells very early during the sexual cycle. This observation was confirmed using an antibody against Sox2, a transcription factor specific for stem or germline cells, which labeled cells in the gonad duct inner mass and ciliated epithelium early during the initial oyster sexual cycle. Moreover, Vasa, a cytoplasmic marker for germline cells, was also detected in the gonad acini and duct cells, thus confirming that germline cells were abundant early on. In addition, the binding of the minichromosome maintenance MCM6 protein to chromatin indicated the gonad acini and duct cells were engaged in the cell cycle. DNA replication was indeed confirmed by an abundant in vivo incorporation of BrdU into the duct cell chromatin. Finally, proliferation of acini and duct cells was demonstrated by the chromatin-bound Ser10-phosphorylated histone H3, a mitotic marker. The markers for the cell cycle and mitosis used here thus indicate that acini and duct cells were already actively dividing early during the oyster sexual cycle. In addition, together with the stem cell markers, these data reveal that the epithelium delimiting the duct outer edge contains a dynamic population of undifferentiated cells.</t>
  </si>
  <si>
    <t>10.1242/jeb.167734</t>
  </si>
  <si>
    <t>Meloni, M; Candusso, S; Galeotti, M; Volpatti, D</t>
  </si>
  <si>
    <t>Preliminary study on expression of antimicrobial peptides in European sea bass (Dicentrarchus labrax) following in vivo infection with Vibrio anguillarum. A time course experiment</t>
  </si>
  <si>
    <t>Antimicrobial polypeptides (AMPPs) are humoral components of the vertebrates and invertebrates innate immune system. Their potent broad spectrum antimicrobial activities have drawn the attention of the scientific community to their potential use not only as an alternative to antibiotics but also as functional targets for immunostimulants in order to enhance the host immunity. Fish synthesize a great number of these peptides but in European sea bass, an important fish species in the Mediterranean aquaculture, only a few AMPPs have been studied and these surveys have highlighted their functional role as predictive markers of stressful conditions. Many aspects concerning AMPP mode of action in the host during bacterial infections are still unknown. In this work a 72 h time course experiment, performed on juvenile sea bass intraperitoneally (i.p.) injected with a sub-lethal dose of Vibrio anguillarum, was aimed to investigate the mRNA expression of four specific AMPP genes and interleukin-1 beta (IL-1 beta) in skin, gills, spleen, and head kidney. AMPP genes were: dicentracin (DIC), histone-like protein 1 (HLP-1), histone-like protein 2 (HLP-2) and hemoglobin-like protein (Hb-LP). The delta delta C-T method in real-time RT-PCR allowed to gain more knowledge about temporal dynamics, preferential sites of expression as well as immunological and physiological role of these molecular markers. DIC was significantly up-regulated mainly in head kidney at 1.5-3 h post-infection (p.i.). HLP-1 showed an extended-time overexpression in gills and a significant up-regulation in spleen. HLP-2 was interestingly overexpressed in gills at 24 h p.i., while Hb-LP showed a significant up-regulation in skin for all the 72 h trial as well as lower but always significant values either in gills or in spleen. Different was the response of IL-1 beta that showed a dramatic up-regulation in spleen and head kidney at 8 h p.i. whilst in gills it displayed a severe inhibition. During this survey the i.p. stimulus surely conditioned the AMPP expression in skin and gills, especially as regards the DIC that as piscidin-related gene has an important defensive role in the mucosa] tissues. However, two unconventional AMPP genes such as HLP-2 and Hb-LP, strictly related to the physiological mechanisms of fish, were less affected in terms of expression by the route of infection, being more evident in peripheral loci. These findings might suggest them as potential markers to be analyzed within plans of health survey in fish farms. 0 2014 Elsevier Ltd. All rights reserved.</t>
  </si>
  <si>
    <t>10.1016/j.fsi.2014.12.016</t>
  </si>
  <si>
    <t>Bhuyan, AAM; Signoretto, E; Lang, F</t>
  </si>
  <si>
    <t>Triggering of Suicidal Erythrocyte Death by Psammaplin A</t>
  </si>
  <si>
    <t>CELLULAR PHYSIOLOGY AND BIOCHEMISTRY</t>
  </si>
  <si>
    <t>Background/Aims: Psammaplin A, a natural product isolated from marine sponges, triggers apoptosis of tumor cells and is thus considered for the treatment of malignancy. In analogy to apoptosis of nucleated tumor cells, erythrocytes may enter eryptosis, a suicidal death characterized by cell shrinkage and cell membrane scrambling with phosphatidylserine translocation to the erythrocyte surface. Cellular mechanisms stimulating eryptosis include increase of cytosolic Ca2+ activity ([Ca2+](i)), oxidative stress and ceramide. The present study explored, whether Psammaplin A induces eryptosis and to possibly shed some light on the underlying mechanisms. Methods: Phosphatidylserine exposing erythrocytes were identified utilizing annexin-V-binding, cell volume was estimated from forward scatter, [Ca2+](i) determined utilizing Fluo3-fluorescence, the abundance of reactive oxygen species (ROS) quantified with DCFDA dependent fluorescence, and ceramide abundance at the erythrocyte surface detected with specific antibodies. Results: A 48 hours exposure of human erythrocytes to Psammaplin A (2-8 mu g/ml) significantly decreased forward scatter and significantly increased the percentage of annexin-V-binding cells. Psammaplin A significantly increased Fluo3-fluorescence, the effect of Psammaplin A on annexin-V-binding and forward scatter was, however, not significantly blunted by removal of extracellular Ca2+. Psammaplin A significantly increased DCFDA fluorescence and ceramide abundance. Conclusions: Psammaplin A triggers cell shrinkage and phospholipid scrambling of the erythrocyte cell membrane, an effect paralleled by increase of [Ca2+](i), induction of oxidative stress and enhanced appearance of ceramide. (C) 2016 The Author(s) Published by S. Karger AG, Basel</t>
  </si>
  <si>
    <t>10.1159/000447800</t>
  </si>
  <si>
    <t>Galili-Kostin, B; Rajan, KS; Ashkenazi, YI; Freedman, A; Doniger, T; Cohen-Chalamish, S; Ben-Asher, HW; Unger, R; Roditi, I; Tschudi, C; Michaeli, S</t>
  </si>
  <si>
    <t>TblncRNA-23, a long non-coding RNA transcribed by RNA polymerase I, regulates developmental changes in Trypanosoma brucei</t>
  </si>
  <si>
    <t>The protozoan parasite Trypanosoma brucei undergoes a complex life cycle, moving between its mammalian host and the blood-feeding tsetse fly vector. The two major surface proteins expressed by procyclic forms in the insect midgut, EP and GPEET procyclin, are transcribed from a polycistronic transcription unit by RNA polymerase I. Here we identify a long non-coding RNA, TblncRNA-23, that is encoded between the two procyclin genes. TblncRNA-23 localizes to the nucleolus and also associates with polysomes. Overexpression of TblncRNA-23 and its down regulation by RNAi or knockout (KO) identify EP and GPEET mRNAs as targets, among other mRNAs that changed abundance in the transition from early to late procyclic forms and from procylic to the metacylic forms, suggesting its role in regulating gene expression which accomapines or dictates of the parasite transitions within in its insect host. TblncRNA-23 interacts with its substrates via base-pairing using different domains. Purification of TblncRNA-23-associated proteins by RaPID identifies hundreds of proteins, including proteins translated from its target mRNAs, suggesting its association with translating ribosomes. Early and late procyclic forms differ in their social motility (SoMo) capabilities, which is essential for migration away from the insect midgut to enable parasite transmission. Overexpression of TblncRNA-23 results in hypermotility, whereas KO compromises this capacity, suggesting a regulatory role in SoMo. Moreover, silencing of the RNA abrogates the ability of the parasite to transform from procylic to the metacyclic forms affecting the parasite's potential to cycle between its hosts.</t>
  </si>
  <si>
    <t>10.1038/s41467-025-58979-w</t>
  </si>
  <si>
    <t>Payton, L; Last, KS; Grigor, J; Noirot, C; Hüppe, L; Conway, DVP; Dannemeyer, M; Wilcockson, D; Meyer, B</t>
  </si>
  <si>
    <t>Revealing the profound influence of diapause on gene expression: Insights from the annual transcriptome of the copepod Calanus finmarchicus</t>
  </si>
  <si>
    <t>Annual rhythms are observed in living organisms with numerous ecological implications. In the zooplanktonic copepod Calanus finmarchicus, such rhythms are crucial regarding its phenology, body lipid accumulation, and global carbon storage. Climate change drives annual biological rhythms out of phase with the prevailing environmental conditions with yet unknown but potentially catastrophic consequences. However, the molecular dynamics underlying phenology are still poorly described. In a rhythmic analysis of C. finmarchicus annual gene expression, results reveal that more than 90% of the transcriptome shows significant annual rhythms, with abrupt and dramatic upheaval between the active and diapause life cycle states. This work explores the implication of the circadian clock in the annual timing, which may control epigenetic mechanisms to profoundly modulate gene expression in response to calendar time. Results also suggest an increased light sensitivity during diapause that would ensure the photoperiodic entrainment of the endogenous annual clock.</t>
  </si>
  <si>
    <t>10.1111/mec.17425</t>
  </si>
  <si>
    <t>Henry, MA; Alexis, MN; Fountoulaki, E; Nengas, I; Rigos, G</t>
  </si>
  <si>
    <t>Effects of a natural parasitical infection (Lernanthropus kroyeri) on the immune system of European sea bass, Dicentrarchus labrax L</t>
  </si>
  <si>
    <t>PARASITE IMMUNOLOGY</t>
  </si>
  <si>
    <t>P&gt;The immune response of European sea bass, Dicentrarchus labrax, to a natural infection by the copepod parasite Lernanthropus kroyeri was evaluated for the first time in vivo. The results clearly demonstrated the triggering of the fish immune system by the parasite. Lysozyme activity and alternative complement pathway were involved in the early action against the parasitical infection, whilst classical complement and respiratory burst (RB) activity took over in the later stages of infection. It was hypothesized that the levels of alternative and classical complement and RB stimulation indexes may determine the resistance capacity of the fish to the parasite. It is not clear how parasites can survive despite the strong immunological arsenal deployed by the fish. The continual increase of prevalence and severity of parasite infection suggested that the parasite's mechanism of evasion of the immune system was extremely successful. The contrasting decrease in the negative effects of parasites on the fish health (such as gills anaemia) suggested that an equilibrium between the parasites and their hosts was reached in chronic infection. These dynamic interactions between parasites and fish hosts were probably the main determinant of host specificity.</t>
  </si>
  <si>
    <t>10.1111/j.1365-3024.2009.01150.x</t>
  </si>
  <si>
    <t>Aksoy, E; Vigneron, A; Bing, XL; Zhao, X; O'Neill, M; Wu, YN; Bangs, JD; Weiss, BL; Aksoy, S</t>
  </si>
  <si>
    <t>Mammalian African trypanosome VSG coat enhances tsetse's vector competence</t>
  </si>
  <si>
    <t>Tsetse flies are biological vectors of African trypanosomes, the protozoan parasites responsible for causing human and animal trypanosomiases across sub-Saharan Africa. Currently, no vaccines are available for disease prevention due to antigenic variation of the Variant Surface Glycoproteins (VSG) that coat parasites while they reside within mammalian hosts. As a result, interference with parasite development in the tsetse vector is being explored to reduce disease transmission. A major bottleneck to infection occurs as parasites attempt to colonize tsetse's midgut. One critical factor influencing this bottleneck is the fly's peritrophic matrix (PM), a semipermeable, chitinous barrier that lines the midgut. The mechanisms that enable trypanosomes to cross this barrier are currently unknown. Here, we determined that as parasites enter the tsetse's gut, VSG molecules released from trypanosomes are internalized by cells of the cardia-the tissue responsible for producing the PM. VSG internalization results in decreased expression of a tsetse microRNA (mir-275) and interferes with the Wnt-signaling pathway and the Iroquois/IRX transcription factor family. This interference reduces the function of the PM barrier and promotes parasite colonization of the gut early in the infection process. Manipulation of the insect midgut homeostasis by the mammalian parasite coat proteins is a novel function and indicates that VSG serves a dual role in trypanosome biology-that of facilitating transmission through its mammalian host and insect vector. We detail critical steps in the course of trypanosome infection establishment that can serve as novel targets to reduce the tsetse's vector competence and disease transmission.</t>
  </si>
  <si>
    <t>JUN 21</t>
  </si>
  <si>
    <t>10.1073/pnas.1600304113</t>
  </si>
  <si>
    <t>Yu, LH; Deng, HQ; Liu, SH; Xia, JP; Hao, ZL; Yin, DH; Zhan, YY; Chang, YQ</t>
  </si>
  <si>
    <t>MicroRNA-1985 enhances the redox capability of scallop (Patinopecten yessoensis) in response to poly(I:C) stimulation by targeting MNK1</t>
  </si>
  <si>
    <t>To clarify the microRNA (miRNA)-target gene axis is involved in response to pathogen-associated molecular pattern (PAMP)-induced oxidative stress in shellfish, the full-length cDNA of a novel mitogen-activated protein kinase-interacting kinase 1 (MNK1) homolog gene from the scallop Patinopecten yessoensis (PyMNK1) was cloned and characterized. The interaction between miR-1985 and PyMNK1 was verified, and then the responses and possible molecular function of miR-1985, PyMNK1, and miR-1985/PyMNK1 axis to poly(I:C) (a classic virus-related PAMP) stimulation in P. yessoensis were explored and preliminarily dissected. The results indicate: 1) The full-length cDNA of PyMNK1 was 5354 bp, with a high level of sequence conservation across mollusks. 2) MiR-1985 bound to the 3'-UTR of PyMNK1 and negatively regulated the expression of PyMNK1. 3) PyMNK1 may repress the relative expression of superoxide dismutase (SOD) by binding its promoter. 4) Both PyMNK1 silencing and miR-1985 overexpression promoted the expression and enzymatic activity of SOD. 5) The miR-1985/PyMNK1 axis may be involved in the response to poly(I:C) stimulation by elevating the activity of the SOD/catalase axis. To summarize, all observations from this study indicated that P. yessoensis may enhance its redox capability via the miR-1985/PyMNK1/SOD/CAT cascade and thereby alleviate PAMP-induced oxidative stress.</t>
  </si>
  <si>
    <t>10.3389/fimmu.2025.1556591</t>
  </si>
  <si>
    <t>Kong, D; Aoki, S; Sowa, Y; Sakai, T; Kobayashi, M</t>
  </si>
  <si>
    <t>Smenospongine, a sesquiterpene aminoquinone from a marine sponge, induces G1 arrest or apoptosis in different leukemia cells</t>
  </si>
  <si>
    <t>Smenospongine, a sesquiterpene aminoquinone isolated from the marine sponge Dactylospongia elegans, was previously reported by us to induce erythroid differentiation and G1 phase arrest of K562 chronic myelogenous leukemia cells. In this study, we investigated the effect of smenospongine on the cell cycles of other leukemia cells, including HL60 human acute promyelocytic leukemia cells and U937 human histiocytic lymphoma cells by flow cytometric analysis. Smenospongine induced apoptosis dose-dependently in HL60 and U937 cells. The smenospongine treatment increased expression of p21 and inhibited phosphorylation of Rb in K562 cells, suggesting the p21-Rb pathway play an important role in G1 arrest in K562 cells. However, the p21 promoter was not activated by the smenospongine treatment based on a luciferase assay using the transfected K562 cells. Smenospongine might induce p21 expression via another mechanism than transactivation of p21 promoter.</t>
  </si>
  <si>
    <t>10.3390/md20080023</t>
  </si>
  <si>
    <t>Baumgarten, S; Cziesielski, MJ; Thomas, L; Michell, CT; Esherick, LY; Pringle, JR; Aranda, M; Voolstra, CR</t>
  </si>
  <si>
    <t>Evidence for miRNA-mediated modulation of the host transcriptome in cnidarian-dinoflagellate symbiosis</t>
  </si>
  <si>
    <t>Reef-building corals and other cnidarians living in symbiotic relationships with intracellular, photosynthetic dinoflagellates in the genus Symbiodinium undergo transcriptomic changes during infection with the algae and maintenance of the endosymbiont population. However, the precise regulatory mechanisms modulating the host transcriptome are unknown. Here, we report apparent post-transcriptional gene regulation by miRNAs in the sea anemone Aiptasia, a model system for cnidarian-dinoflagellate endosymbiosis. Aiptasia encodes mainly species-specific miRNAs, and there appears to have been recent differentiation within the Aiptasia genome of miRNAs that are commonly conserved among anthozoan cnidarians. Analysis of miRNA expression showed that both conserved and species-specific miRNAs are differentially expressed in response to endosymbiont infection. Using cross-linking immunoprecipitation of Argonaute, the central protein of the miRNA-induced silencing complex, we identified miRNA binding sites on a transcriptome-wide scale and found that the targets of the miRNAs regulated in response to symbiosis include genes previously implicated in biological processes related to Symbiodinium infection. Our study shows that cnidarian miRNAs recognize their mRNA targets via high-complementarity target binding and suggests that miRNA-mediated modulations of genes and pathways are important during the onset and maintenance of cnidarian-dinoflagellate endosymbiosis.</t>
  </si>
  <si>
    <t>10.1111/mec.14452</t>
  </si>
  <si>
    <t>Accorsi, A; Ottaviani, E; Malagoli, D</t>
  </si>
  <si>
    <t>Effects of repeated hemolymph withdrawals on the hemocyte populations and hematopoiesis in Pomacea canaliculata</t>
  </si>
  <si>
    <t>Pomacea canaliculata is a freshwater gastropod considered an invasive pest by several European, North American and Asiatic countries. This snail presents a considerable resistance to pollutants and may successfully face stressful events. Thanks to the unusual possibility to perform several hemolymph collections without affecting its survival, P. canaliculata is a good model to study the hematopoietic process and the hemocyte turnover in molluscs. Here we have analyzed the effects of repeated hemolymph withdrawals on circulating hemocyte populations and pericardial organs, i.e., the heart, the main vessels entering and leaving the heart and the ampulla, of P. canaliculata. Our experiments revealed that the circulating hemocyte populations were maintained constant after 3 collections performed in 48 h. The tissue organization of the heart and the vessels remained unaltered, whereas the ampulla buffered the effects of hemolymph collections acting as hemocyte reservoir, and its original organization was progressively lost by the repeated hemolymph withdrawals. The hematopoietic tissue of P. canaliculata was evidenced here for the first time. It is positioned within the pericardial cavity, in correspondence of the principle veins. Mitoses within the hematopoietic tissue were not influenced by hemolymph collections, and circulating hemocytes never presented mitotic activity. (c) 2014 Elsevier Ltd. All rights reserved.</t>
  </si>
  <si>
    <t>10.1016/j.fsi.2014.03.003</t>
  </si>
  <si>
    <t>Ballesteros, JA; Santibañez-López, CE; Baker, CM; Benavides, LR; Cunha, TJ; Gainett, G; Ontano, AZ; Setton, EVW; Arango, CP; Gavish-Regev, E; Harvey, MS; Wheeler, WC; Hormiga, G; Giribet, G; Sharma, PP</t>
  </si>
  <si>
    <t>Comprehensive Species Sampling and Sophisticated Algorithmic Approaches Refute the Monophyly of Arachnida</t>
  </si>
  <si>
    <t>Deciphering the evolutionary relationships of Chelicerata (arachnids, horseshoe crabs, and allied taxa) has proven notoriously difficult, due to their ancient rapid radiation and the incidence of elevated evolutionary rates in several lineages. Although conflicting hypotheses prevail in morphological and molecular data sets alike, the monophyly of Arachnida is nearly universally accepted, despite historical lack of support in molecular data sets. Some phylotranscriptomic analyses have recovered arachnid monophyly, but these did not sample all living orders, whereas analyses including all orders have failed to recover Arachnida. To understand this conflict, we assembled a data set of 506 high-quality genomes and transcriptomes, sampling all living orders of Chelicerata with high occupancy and rigorous approaches to orthology inference. Our analyses consistently recovered the nested placement of horseshoe crabs within a paraphyletic Arachnida. This result was insensitive to variation in evolutionary rates of genes, complexity of the substitution models, and alternative algorithmic approaches to species tree inference. Investigation of sources of systematic bias showed that genes and sites that recover arachnid monophyly are enriched in noise and exhibit low information content. To test the impact of morphological data, we generated a 514-taxon morphological data matrix of extant and fossil Chelicerata, analyzed in tandem with the molecular matrix. Combined analyses recovered the clade Merostomata (the marine orders Xiphosura, Eurypterida, and Chasmataspidida), but merostomates appeared nested within Arachnida. Our results suggest that morphological convergence resulting from adaptations to life in terrestrial habitats has driven the historical perception of arachnid monophyly, paralleling the history of numerous other invertebrate terrestrial groups.</t>
  </si>
  <si>
    <t>10.1093/molbev/msac021</t>
  </si>
  <si>
    <t>Niksirat, H; James, P; Andersson, L; Kouba, A; Kozák, P</t>
  </si>
  <si>
    <t>Label-free protein quantification in freshly ejaculated versus post-mating spermatophores of the noble crayfish Astacus astacus</t>
  </si>
  <si>
    <t>Crayfish spermatophores are deposited on the body surface of the female during mating and remain there for a period of time before fertilization ensues. Post-mating changes in protein expression level in the noble crayfish Astacus astacus spermatophore were quantified. In-gel digestion and high resolution mass spectrometry were used for label-free protein quantification. One hundred twelve proteins were identified in the spermatophore of noble crayfish. After 7 days of storage on the body of the female, 6 proteins were identified in the post-mating spermatophore that showed significant up-regulation and 4 significant down-regulations (p &lt; 0.05, fold change &gt;= 2). The highest rate of up-regulation was observed in sodium/hydrogen exchanger, which may indicate the importance of intracellular pH adjustment for final maturation of the crayfish spermatozoon. The highest rate of down-regulation was observed in histone H2A. This may increase chromatin flexibility and facilitate its transfer into the oocyte during fertilization. The vitellogenin protein was identified in the crayfish spermatophore and its level changed during storage on the body surface of female. Extensive proteomic modification of male gametes during storage on the body surface of the female suggests post-mating final maturation of the crayfish spermatozoon. Biological significance Freshwater crayfish comprise a large and diverse group of ecologically and commercially important animals. Molecular studies of gametes in the crayfish can provide insight into the complex process of reproduction in this diverse group of animals. The results of such studies can be used for development of new techniques for artificial reproduction of these economically important species. (C) 2015 Elsevier B.V. All rights reserved.</t>
  </si>
  <si>
    <t>JUN 18</t>
  </si>
  <si>
    <t>10.1016/j.jprot.2015.04.004</t>
  </si>
  <si>
    <t>Reynolds, DA; Yoo, MJ; Dixson, DL; Ross, C</t>
  </si>
  <si>
    <t>Exposure to the Florida red tide dinoflagellate, Karenia brevis, and its associated brevetoxins induces ecophysiological and proteomic alterations in Porites astreoides</t>
  </si>
  <si>
    <t>As reef-building corals are increasingly being exposed to persistent threats that operate on both regional and global scales, there is a pressing need to better understand the complex processes that diminish coral populations. This study investigated the impacts of the Florida red tide dinoflagellate Karenia brevis and associated brevetoxins on selected facets of coral biology using Porites astreoides as a model system. When provided with choice assays, P. astreoides larvae were shown to actively avoid seawater containing red tide (5x10(5) cells L-1 -7.6x10(6) cells L-1) or purified brevetoxins (0.018 mu g mL(-1) brevetoxin-2 and 0.0018 mu g mL(-1) brevetoxin-3). However, forced exposure to similar treatments induced time-dependent physiological and behavioral changes that were captured by PAM fluorometry and settlement and survival assays, respectively. Adult fragments of P. astreoides exposed to red tide or associated brevetoxins displayed signs of proteomic alterations that were characterized by the use of an iTRAQ-based quantitative proteomic analysis. The novel use of this technique with P. astreoides demonstrated that protein regulation was highly contingent upon biological versus chemical treatment (i.e. live K. brevis vs. solely brevetoxin exposure) and that several broad pathways associated with cell stress were affected including redox homeostasis, protein folding, energy metabolism and reactive oxygen species production. The results herein provide new insight into the ecology, behavior and sublethal stress of reef-building corals in response to K. brevis exposure and underscore the importance of recognizing the potential of red tide to act as a regional stressor to these important foundation species.</t>
  </si>
  <si>
    <t>10.1371/journal.pone.0228414</t>
  </si>
  <si>
    <t>Tsai, MK; Tsai, ML; Wen, ZH; Liao, WT; Lin, YC; Chiou, HYC; Lin, MH; Hung, CH</t>
  </si>
  <si>
    <t>Suppressive Effects of 4-(Phenylsulfanyl) Butan-2-One on CCL-1 Production via Histone Acetylation in Monocytes</t>
  </si>
  <si>
    <t>CURRENT ISSUES IN MOLECULAR BIOLOGY</t>
  </si>
  <si>
    <t>The 4-(phenylsulfanyl) butan-2-one (4-PSB-2), a marine-derived compound from soft coral, was proven to have multiple biological activities including neuroprotection and potent anti-inflammatory effects. CC chemokine ligand (CCL)-1 belongs to T helper (Th)2-related chemokines that are involved in the recruitment of Th2 inflammatory cells. Histone acetylation has been recognized as a critical mechanism underlying the regulated cytokine and chemokine production. Our study tried to investigate the anti-inflammatory effect of 4-PSB-2 on CCL-1 production in human monocytes and explore possible underlying intracellular processes, including epigenetic regulation. To confirm our hypothesis, human monocyte THP-1 cell line and primary CD14(+) cells were pretreated with various concentrations of 4-PSB-2 and then were stimulated with lipopolysaccharide (LPS). The CCL-1 concentration was measured by enzyme-linked immunosorbent assays, and the intracellular signaling pathways and epigenetic regulation of 4-PSB-2 were investigated by using Western blotting and chromatin immunoprecipitation analysis. In this study, we found that 4-PSB-2 had a suppressive effect on LPS-induced CCL-1 production. Moreover, this suppressive effect of 4-PSB-2 was mediated via intracellular signaling such as the mitogen-activated protein kinase and nuclear factor-kappa B pathways. In addition, 4-PSB-2 could suppress CCL-1 production by epigenetic regulation through downregulating histone H3 and H4 acetylation. In short, our study demonstrated that 4-PSB-2 may have a potential role in the treatment of allergic inflammation.</t>
  </si>
  <si>
    <t>10.3390/cimb44100315</t>
  </si>
  <si>
    <t>Simon, P; Bäumner, S; Busch, O; Röhrich, R; Kaese, M; Richterich, P; Wehrend, A; Müller, K; Gerardy-Schahn, R; Mühlenhoff, M; Geyer, H; Geyer, R; Middendorff, R; Galuska, SP</t>
  </si>
  <si>
    <t>Polysialic Acid Is Present in Mammalian Semen as a Post-translational Modification of the Neural Cell Adhesion Molecule NCAM and the Polysialyltransferase ST8SiaII</t>
  </si>
  <si>
    <t>Fertilization in animals is a complex sequence of several biochemical events beginning with the insemination into the female reproductive tract and, finally, leading to embryogenesis. Studies by Kitajima and co-workers (Miyata, S., Sato, C., and Kitajima, K. (2007) Trends Glycosci. Glyc, 19, 85-98) demonstrated the presence of polysialic acid (polySia) on sea urchin sperm. Based on these results, we became interested in the potential involvement of sialic acid polymers in mammalian fertilization. Therefore, we isolated human sperm and performed analyses, including Western blotting and mild 1,2-diamino-4,5-methylenedioxybenzene-HPLC, that revealed the presence alpha 2,8-linked polySia chains. Further analysis by a glyco-proteomics approach led to the identification of two polySia carriers. Interestingly, besides the neural cell adhesion molecule, the polysialyltransferase ST8SiaII has also been found to be a target for polysialylation. Further analysis of testis and epididymis tissue sections demonstrated that only epithelial cells of the caput were polySia-positive. During the epididymal transit, polySia carriers were partially integrated into the sperm membrane of the postacrosomal region. Because polySia is known to counteract histone as well as neutrophil extracellular trap-mediated cytotoxicity against host cells, which plays a role after insemination, we propose that polySia in semen represents a cytoprotective element to increase the number of vital sperm.</t>
  </si>
  <si>
    <t>JUN 28</t>
  </si>
  <si>
    <t>10.1074/jbc.M113.451112</t>
  </si>
  <si>
    <t>Santos, PKF; Araujo, ND; Françoso, E; Zuntini, AR; Arias, MC</t>
  </si>
  <si>
    <t>Diapause in a tropical oil-collecting bee: molecular basis unveiled by RNA-Seq</t>
  </si>
  <si>
    <t>Background: Diapause is a natural phenomenon characterized by an arrest in development that ensures the survival of organisms under extreme environmental conditions. The process has been well documented in arthropods. However, its molecular basis has been mainly studied in species from temperate zones, leaving a knowledge gap of this phenomenon in tropical species. In the present study, the Neotropical and solitary bee Tetrapedia diversipes was employed as a model for investigating diapause in species from tropical zones. Being a bivoltine insect, Tetrapedia diversipes produce two generations of offspring per year. The first generation, normally born during the wet season, develops faster than individuals from the second generation, born after the dry season. Furthermore, it has been shown that the development of the progeny, of the second generation, is halted at the 5th larval instar, and remains in larval diapause during the dry season. Towards the goal of gaining a better understanding of the diapause phenomenon we compared the global gene expression pattern, in larvae, from both reproductive generations and during diapause. The results demonstrate that there are similarities in the observed gene expression patterns to those already described for temperate climate models, and also identify diapause-related genes that have not been previously reported in the literature. Results: The RNA-Seq analysis identified 2275 differentially expressed transcripts, of which 1167 were annotated. Of these genes, during diapause, 352 were upregulated and 815 were downregulated. According to their biological functions, these genes were categorized into the following groups: cellular detoxification, cytoskeleton, cuticle, sterol and lipid metabolism, cell cycle, heat shock proteins, immune response, circadian clock, and epigenetic control. Conclusion: Many of the identified genes have already been described as being related to diapause; however, new genes were discovered, for the first time, in this study. Among those, we highlight: Niemann-Pick type C1, NPC2 and Acyl-CoA binding protein homolog (all involved in ecdysteroid synthesis); RhoBTB2 and SASH1 (associated with cell cycle regulation) and Histone acetyltransferase KAT7 (related to epigenetic transcriptional regulation). The results presented here add important findings to the understanding of diapause in tropical species, thus increasing the comprehension of diapause-related molecular mechanisms.</t>
  </si>
  <si>
    <t>APR 27</t>
  </si>
  <si>
    <t>10.1186/s12864-018-4694-x</t>
  </si>
  <si>
    <t>Wu, RW; Liu, LL; Zhang, LP; Liu, XJ; Hu, ZK; Jin, DD; Zhang, ZP; Wu, XP; Xie, ZC; Li, ZF; Lopes-Lima, M</t>
  </si>
  <si>
    <t>Diversity, morphology, and phylogeny of freshwater mussels of the genus Nodularia (Bivalvia: Unionidae) from China, with descriptions of four new species</t>
  </si>
  <si>
    <t>Freshwater bivalves (Bivalvia, Unionida) are one of the most threatened groups of animals in the world. Defining species boundaries and understanding the phylogeny and genetic diversity of these species is key to guiding their conservation and management. However, the presence of significant phenotypic plasticity and convergence within this group complicates species delimitation. This includes the freshwater mussel genus Nodularia, endemic to East Asia, for which a comprehensive understanding of species diversity and phylogenetic relationships remains elusive due to inadequate sampling in previous studies, particularly in China, a widely recognized biodiversity hotspot for freshwater mussels. Here, we conduct comprehensive taxonomic and phylogenetic analyses of Nodularia species based on extensive sampling across 23 provinces in China and multiple data sources, including shell morphology, soft body anatomy, six-gene (COI + ND1 + 16S + 18S + 28S + histone H3) and mitogenome datasets. The integrative systematics approach used here reveals 10 distinct species in this genus, four of which are new to science, i.e. Nodularia hanensis sp. nov., Nodularia huana sp. nov., Nodularia fusiformans sp. nov., Nodularia dualobtusus sp. nov. and two of which are new records for China, i.e. Nodularia dorri (Wattebled [Journal de Conchyliologie, 34, 1886, 54]) and Nodularia micheloti (Morlet [Journal de Conchyliologie, 34, 1886, 75]). We also propose that the nominal species Nodularia jourdyi (Morlet [Journal de Conchyliologie, 34, 1886, 75]) syn. nov. is a new synonym for Nodularia douglasiae (Griffith &amp; Pidgeon, 1833) based on molecular data. BI, ML, and BEAST analyses based on the six-gene dataset and mitochondrial phylogenomics consistently support the following phylogenetic relationships: (N. dorri + (N. hanensis sp. nov. + N. micheloti)) + (N. breviconcha + (N. huana sp. nov. + (N. fusiformans sp. nov. + ((N. nuxpersicae + N. nipponensis) + (N. dualobtusus sp. nov. + N. douglasiae))))). The molecular clock with fossil calibration indicates that Nodularia originated in the Late Cretaceous period (ca. 73.78 Mya). It then diverged into two independent clades during the Middle Paleogene (ca. 45.01 Mya), followed by a rapid burst of extant speciation during the Neogene (mean age 28.28 to 4.79 Mya). Nodularia breviconcha is the earliest differentiated taxon among the 10 Nodularia taxa, appearing during the Paleogene-Neogene transition (28.28 Mya; 95% HPD = 14.35-48.44 Mya). Taken together, we provide a robust systematic framework for Nodularia species, addressing phylogenetic relationships, taxonomy, and evolutionary history of this group.</t>
  </si>
  <si>
    <t>10.1111/zsc.12677</t>
  </si>
  <si>
    <t>Paran, FJ; Ikeo, K; Asakura, A; Nakano, T</t>
  </si>
  <si>
    <t>Species divergence despite minimal morphological differentiation and habitat overlap in the Patelloida saccharina (Patellogastropoda: Lottiidae) species complex</t>
  </si>
  <si>
    <t>BIOLOGICAL JOURNAL OF THE LINNEAN SOCIETY</t>
  </si>
  <si>
    <t>We describe the current state of speciation in the species complex of the marine gastropod Patelloida saccharina, using mitochondrial COI, 16S RNA, nuclear histone 3 gene and single-nucleotide polymorphism (SNP) markers from 165 specimens collected from 37 localities across the Japanese archipelago. In total, 28 unique COI haplotypes, 16 16S haplotypes, 11 histone 3 haplotypes and 148 734 SNPs were obtained. Genetic assignments and phylogenetic trees recovered three genetically distinct lineages: P. saccharina saccharina, P. saccharina lanx and an unknown P. sp. from Shionomisaki, Wakayama Prefecture. The divergence between P. saccharina saccharina and P. saccharina lanx was estimated to have occurred around 44 000 years ago-too recent to have accumulated the morphological differences that have confounded taxonomic identification. Continuous gene exchange after an initial split is suggested based on demographic history analyses, which allowed for introgression of the P. saccharina lanx genome and the proliferation of intermediate individuals. Speciation, despite the existence of a contact zone in the Ryukyu Islands, possibly occurred due to the eventual reproductive isolation that followed the initial split with gene flow. Patelloida saccharina saccharina and P. saccharina lanx were strongly supported by our results as two separate species, and a revision of the current taxonomic descriptions based on their phylogeny, demographic history and species distribution is proposed.</t>
  </si>
  <si>
    <t>JUN 12</t>
  </si>
  <si>
    <t>10.1093/biolinnean/blad019</t>
  </si>
  <si>
    <t>Yen, YH; Joseph, J; Liu, SYV</t>
  </si>
  <si>
    <t>Delimiting species boundaries within the Babyloniidae (Mollusca: Gastropoda: Neogastropoda) using multi-locus phylogenetic analysis</t>
  </si>
  <si>
    <t>The Babyloniidae is a family of marine snails consisting of 21 species and two genera. Current taxonomic debates on the Babyloniidae are mainly due to their extremely similar shell morphologies, which have led to incorrect locality records and mislabelling in legal or illegal international trade. We have therefore constructed a phylogeny of the Babyloniidae with high species coverage (57% of the family) by using multi-locus genes (cytochrome c oxidase subunit I [COI], 16S, and H3) with four species delimitation methods (Best Close Match [BCM], Assemble Species by Automatic Partitioning [ASAP], Bayesian Poisson Tree Process [bPTP] and Multi-rate Poisson Tree Processes [mPTP]). Based on our results, 13 clades/operational taxonomic unit were observed, which confirms pre-existing species status for 10 Babylonia and one Zemiropsis taxa: B. areolata (Link, 1807), B. borneensis (Sowerby II, 1864), B. feicheni Shikama, 1973, B. formosae (Sowerby II, 1866), B. japonica (Reeve, 1842), B. lutosa (Lamarck, 1816), B. pieroangelai Cossignani, 2008, B. spirata (Linnaeus, 1758), B. valentiana (Swainson, 1822), B. zeylanica (Brugui &amp; egrave;re, 1789) and Z. papillaris (Sowerby I, 1825). A monophyletic group with four species collected from Indonesia which includes B. spirata f. balinensis Cossignani, 2009, B. spirata f. semipicta (Sowerby II, 1866) and B. angusta Altena &amp; Gittenberger, 1981, implying they should belong to a single species, B. semipicta. Additionally, we suggest B. formosae habei Altena &amp; Gittenberger, 1981 should be escalated as B. habei, and not as a subspecies.</t>
  </si>
  <si>
    <t>10.1111/zsc.12694</t>
  </si>
  <si>
    <t>Li, LJ; Wang, MY; Mei, ZJ; Cao, WF; Yang, Y; Wang, YM; Wen, A</t>
  </si>
  <si>
    <t>lncRNAs HIF1A-AS2 facilitates the up-regulation of HIF-1α by sponging to miR-153-3p, whereby promoting angiogenesis in HUVECs in hypoxia</t>
  </si>
  <si>
    <t>BIOMEDICINE &amp; PHARMACOTHERAPY</t>
  </si>
  <si>
    <t>Angiogenesis serves as an important protective mechanism against ischemic stroke, because angiogenesis promotes the generation of collateral circulation and consequently improves the blood supply to cerebral infraction areas. Long noncoding RNAs (lncRNAs), which can act as a competing endogenous RNA, mediate protein-coding gene expression by sponging miRNA. Based on previous studies, the present study hypothesized that lncRNAs HIF1A-AS2 by sponging to miR-153-3p might regulate expression of HIF-1 alpha and its down-stream targets, thereby influencing angiogenesis in hypoxia. Permanent middle cerebral artery occlusion (pMCAO) model was established in SD rats to explore the association between angiogenesis and expression profiles of miR-153-3p and HIF-1 alpha in infraction areas. The effect of HIF1A-AS2 on angiogenesis was investigated in an in vitro study by using human umbilical vein endothelial cells (HUVECs). Results showed that angiogenesis was induced during pMCAO. pMCAO decreased miR-153-3p RNA level in infraction areas, but increased protein levels of HIF-1 alpha, VEGFA and Notch1. HIF1A-AS2 was up-regulated in HUVECs in hypoxia. Luciferase reporter assay indicated that HIF1A-AS2 serves as a 'sponge' to miR-153-3p, which decreased the post-transcriptional silencing of HIF-1 alpha by miR-153-3p. This function of HIF1A-AS2 facilitated the activation of HIF-1 alpha/VEGFA/Notch1 cascades, by which HUVECs viability, migration ability and tube formation were promoted. These results suggest an enhanced angiogenesis in HUVECs. In short, HIF1A-AS2 facilitates the up-regulation of HIF-1 alpha by sponging to miR-153-3p, whereby promoting angiogenesis in HUVECs in hypoxia. The present study revealed an important mechanism for understanding angiogenesis in hypoxia, thus laid theoretical basis for developing new strategy for the treatment of ischemic stroke.</t>
  </si>
  <si>
    <t>10.1016/j.biopha.2017.09.113</t>
  </si>
  <si>
    <t>Shinde, PB; Lee, YM; Dang, HT; Hong, J; Lee, CO; Jung, JH</t>
  </si>
  <si>
    <t>Cytotoxic bromotyrosine derivatives from a two-sponge association of Jaspis sp and Poecillastra sp.</t>
  </si>
  <si>
    <t>Bioassay-guided chemical investigation of the lipophilic extract of a two-sponge association (Jaspis sp. and Poecillastra sp.) led to the isolation of two new bromotyrosine derivatives (1 and 2), along with known derivatives (3-12). Cyclobispsammaplin A (1) is a cyclic derivative of the previously reported bispsammaplin A (13), while psammaplin M(2) is composed of beta-alanine (or aspartic acid) unit. Compounds 3, 4, 6, 10, and 12 are isolated for the first time from a sponge belonging to the subclass Tetractinomorpha. Structure elucidation was performed by a combination of high resolution mass and 2D NMR (principally COSY, HMBC, HSQC, and NOESY) spectroscopy. Compounds 1-4, 6, 10, and 12 were evaluated for cytotoxicity against a small panel of five human solid tumor cell lines and their activity was compared in relevance to their structure. (C) 2008 Elsevier Ltd. All rights reserved.</t>
  </si>
  <si>
    <t>10.1016/j.bmcl.2008.10.082</t>
  </si>
  <si>
    <t>Ferreira, LC; Orso, F; Dettori, D; Lacerda, JZ; Borin, TF; Taverna, D; Zuccari, DAPC</t>
  </si>
  <si>
    <t>The role of melatonin on miRNAs modulation in triple-negative breast cancer cells</t>
  </si>
  <si>
    <t>Melatonin, a hormone secreted by pineal gland, exerts antimetastatic effects by reducing tumor cell proliferation, migration and invasion. MicroRNAs (miRNAs) are small, non-coding RNAs that play a crucial role in regulation of gene expression and biological processes of the cells. Herein, we search for a link between the tumor/metastatic-suppressive actions of melatonin and miRNA expression in triple-negative breast cancer cells. We demonstrated that melatonin exerts its anti-tumor actions by reducing proliferation, migration and c-Myc expression of triple negative breast cancer cells. By using Taqman-based assays, we analyzed the expression levels of a set of miRNAs following melatonin treatment of triple negative breast cancer cells and we identified 17 differentially expressed miRNAs, 6 down-regulated and 11 up-regulated. We focused on the anti-metastatic miR-148b and the oncogenic miR-210 both up-regulated by melatonin treatment and studied the effect of their modulation on melatonin-mediated impairment of tumor progression. Surprisingly, when miR-148b or miR-210 were depleted in triple-negative breast cancer cells, using a specific miR-148b sponge or anti-miR-210, melatonin effects on migration inhibition and c-myc downregulation were still visible suggesting that the increase of miR-148b and miR-210 expression observed following melatonin treatment was not required for the efficacy of melatonin action. Nevertheless, ours results suggest that melatonin exhibit a compound for metastatic trait inhibition, especially in MDA-MB-231 breast cancer cells even if a direct link between modulation of expression of certain proteins or miRNAs and melatonin effects has still to be established.</t>
  </si>
  <si>
    <t>10.1371/journal.pone.0228062</t>
  </si>
  <si>
    <t>Arrigoni, R; Richards, ZT; Chen, CA; Baird, AH; Benzoni, F</t>
  </si>
  <si>
    <t>Taxonomy and phylogenetic relationships of the coral genera Australomussa and Parascolymia (Scleractinia, Lobophylliidae)</t>
  </si>
  <si>
    <t>CONTRIBUTIONS TO ZOOLOGY</t>
  </si>
  <si>
    <t>Novel micromorphological characters in combination with molecular studies have led to an extensive revision of the taxonomy and systematics of scleractinian corals. In the present work, we investigate the macro- and micromorphology and the phylogenetic position of the genera Australomussa and Parascolymia, two monotypic genera ascribed to the family Lobophylliidae. The molecular phylogeny of both genera was addressed using three markers, the partial mitochondrial COI gene and the nuclear histone H3 and the ribosomal ITS region. Based on molecular data, Australomussa and Parascolymia belong to the Lobophylliidae and they cluster together with the genera Lobophyllia and Symphyllia within the same clade. While A. rowleyensis and P. vitiensis are closely related based on the three gene regions examined, their macro and micromorphology suggest that these species are distinct, differing in several characters, such as continuity and thickness of the costosepta, the number of septa, septal tooth height, spacing, and shape, and the distribution and shape of granules. Thus, we revise the taxonomic status of the genus Australomussa as a junior synonym of Parascolymia.</t>
  </si>
  <si>
    <t>10.1163/18759866-08303004</t>
  </si>
  <si>
    <t>Ayers, TN; Nicotra, ML; Lee, MT</t>
  </si>
  <si>
    <t>Parallels and contrasts between the cnidarian and bilaterian maternal-to-zygotic transition are revealed in Hydractinia embryos</t>
  </si>
  <si>
    <t>Embryogenesis requires coordinated gene regulatory activities early on that establish the trajectory of subsequent development, during a period called the maternal-to-zygotic transition (MZT). The MZT comprises transcriptional activation of the embryonic genome and post-transcriptional regulation of egg-inherited maternal mRNA. Investigation into the MZT in animals has focused almost exclusively on bilaterians, which include all classical models such as flies, worms, sea urchin, and vertebrates, thus limiting our capacity to understand the gene regulatory paradigms uniting the MZT across all animals. Here, we elucidate the MZT of a non-bilaterian, the cnidarian Hydractinia symbiolongicarpus. Using parallel poly(A)-selected and non poly(A)-dependent RNA-seq approaches, we find that the Hydractinia MZT is composed of regulatory activities similar to many bilaterians, including cytoplasmic readenylation of maternally contributed mRNA, delayed genome activation, and separate phases of maternal mRNA deadenylation and degradation that likely depend on both maternally and zygotically encoded clearance factors, including microRNAs. But we also observe massive upregulation of histone genes and an expanded repertoire of predicted H4K20 methyltransferases, aspects thus far particular to the Hydractinia MZT and potentially underlying a novel mode of early embryonic chromatin regulation. Thus, similar regulatory strategies with taxon-specific elaboration underlie the MZT in both bilaterian and non-bilaterian embryos, providing insight into how an essential developmental transition may have arisen in ancestral animals. Author summaryEggs are preloaded with genetic instructions encoded as mRNA, which not only drive the first stages of embryogenesis, but also induce the production of new mRNA from the embryonic genome that supplant the egg-inherited ones. Many different species undergo this process, but the extent to which they share common mechanisms to regulate the transition from egg to embryonic mRNA is still unclear, especially among very distant animal relatives to humans. We have investigated this transition in Hydractinia, a representative of the Cnidaria phylum that also includes jellyfish and sea anemones. Using optimized methods to measure mRNA quantities during early Hydractinia development, we find an overall trajectory of mRNA change closely resembling what occurs in embryos of more commonly studied animals, as well as evidence for similar mechanisms regulating these changes. However, we also uncovered surprising patterns of gene expression for chromosome structural genes (histones) and enzymes that chemically modify them, suggesting that Hydractinia embryos regulate their genomes in a novel way compared to what has previously been observed. Our findings provide insight into how our common animal ancestor may have regulated early development, but also reveal a new aspect of gene regulation that warrants further investigation in other contexts.</t>
  </si>
  <si>
    <t>10.1371/journal.pgen.1010845</t>
  </si>
  <si>
    <t>Shih, SP; Lee, MG; El-Shazly, M; Juan, YS; Wen, ZH; Du, YC; Su, JH; Sung, PJ; Chen, YC; Yang, JC; Wu, YC; Lu, MC</t>
  </si>
  <si>
    <t>Tackling the Cytotoxic Effect of a Marine Polycyclic Quinone-Type Metabolite: Halenaquinone Induces Molt 4 Cells Apoptosis via Oxidative Stress Combined with the Inhibition of HDAC and Topoisomerase Activities</t>
  </si>
  <si>
    <t>A marine polycyclic quinone-type metabolite, halenaquinone (HQ), was found to inhibit the proliferation of Molt 4, K562, MDA-MB-231 and DLD-1 cancer cell lines, with IC50 of 0.48, 0.18, 8.0 and 6.76 g/mL, respectively. It exhibited the most potent activity against leukemia Molt 4 cells. Accumulating evidence showed that HQ may act as a potent protein kinase inhibitor in cancer therapy. To fully understand the mechanism of HQ, we further explored the precise molecular targets in leukemia Molt 4 cells. We found that the use of HQ increased apoptosis by 26.23%-70.27% and caused disruption of mitochondrial membrane potential (MMP) by 17.15%-53.25% in a dose-dependent manner, as demonstrated by Annexin-V/PI and JC-1 staining assays, respectively. Moreover, our findings indicated that the pretreatment of Molt 4 cells with N-acetyl-l-cysteine (NAC), a reactive oxygen species (ROS) scavenger, diminished MMP disruption and apoptosis induced by HQ, suggesting that ROS overproduction plays a crucial rule in the cytotoxic activity of HQ. The results of a cell-free system assay indicated that HQ could act as an HDAC and topoisomerase catalytic inhibitor through the inhibition of pan-HDAC and topoisomerase II expression, respectively. On the protein level, the expression of the anti-apoptotic proteins p-Akt, NFB, HDAC and Bcl-2, as well as hexokinase II was inhibited by the use of HQ. On the other hand, the expression of the pro-apoptotic protein Bax, PARP cleavage, caspase activation and cytochrome c release were increased after HQ treatment. Taken together, our results suggested that the antileukemic effect of HQ is ROS-mediated mitochondrial apoptosis combined with the inhibitory effect on HDAC and topoisomerase activities.</t>
  </si>
  <si>
    <t>10.3390/md13053132</t>
  </si>
  <si>
    <t>Sapone, A; Canistro, D; Vivarelli, F; Paolini, M</t>
  </si>
  <si>
    <t>Perturbation of xenobiotic metabolism in Dreissena polymorpha model exposed in situ to surface water (Lake Trasimene) purified with various disinfectants</t>
  </si>
  <si>
    <t>Sanitation is of crucial importance for the microbiological safety of drinking water. However, chlorination of water rich in organic material produces disinfection by-products (DBPs), many of which have been reported to be mutagenic and/or carcinogenic compounds such as haloacetic acids and trihalomethanes. Epidemiological studies have suggested a link between drinking water consumption and cancer. We previously observed that Cyprinus carpio fish exposed to DBPs, may be subject to epigenetic effects such as those referable to the up-regulation of cytochrome P450 (CYP) superfamily (ex. co-mutagenesis/co-carcinogenesis and oxidative stress) that has been associated to non-genotoxic carcinogenesis. Our goal was to study the xenobiotic metabolism in mollusks exposed in situ to surface water of Lake Trasimene (Central Italy) treated with several disinfectants such as the traditional chlorine dioxide (ClO2), sodium hypochlorite (NaClO) or the relatively new one peracetic acid (PM). The freshwater bivalves (Dreissena polymorpha) being selected as biomarker, have the unique ability to accumulate pollutants. Freshwater bivalves were maintained in surface water containing each disinfectant individually (1-2 mg/L). Following an exposure period up to 20 days during the fall period, microsomes were collected from the mussels, then tested for various monooxygenases. Strong CYP inductions were observed. These data indicate that drinking water disinfection generates harmful DBP mixtures capable of determining a marked perturbation of CYP-supported reactions. This phenomenon, being associated to an increased pro-carcinogen bioactivation and persistent oxidative stress, could provide an explanation for the observational studies connecting the regular consumption of drinking water to increased risk of various cancers in humans. (C) 2015 Elsevier Ltd. All rights reserved.</t>
  </si>
  <si>
    <t>10.1016/j.chemosphere.2015.09.022</t>
  </si>
  <si>
    <t>Kirk, AL; Clowez, S; Lin, F; Grossman, AR; Xiang, TT</t>
  </si>
  <si>
    <t>Transcriptome Reprogramming of Symbiodiniaceae Breviolum minutum in Response to Casein Amino Acids Supplementation</t>
  </si>
  <si>
    <t>Dinoflagellates in the family Symbiodiniaceae can live freely in ocean waters or form a symbiosis with a variety of cnidarians including corals, sea anemones, and jellyfish. Trophic plasticity of Symbiodiniaceae is critical to its ecological success as it moves between environments. However, the molecular mechanisms underlying these trophic shifts in Symbiodiniaceae are still largely unknown. Using Breviolum minutum strain SSB01 (designated SSB01) as a model, we showed that Symbiodiniaceae go through a physiological and transcriptome reprogramming when the alga is grown with the organic nitrogen containing nutrients in hydrolyzed casein, but not with inorganic nutrients. SSB01 grows at a much faster rate and maintains stable photosynthetic efficiency when supplemented with casein amino acids compared to only inorganic nutrients or seawater. These physiological changes are driven by massive transcriptome changes in SSB01 supplemented with casein amino acids. The levels of transcripts encoding proteins involved in altering DNA conformation such as DNA topoisomerases, histones, and chromosome structural components were all significantly changed. Functional enrichment analysis also revealed processes involved in translation, ion transport, generation of second messengers, and phosphorylation. The physiological and molecular changes that underlie in vitro trophic transitions in Symbiodiniaceae can serve as an orthogonal platform to further understand the factors that impact the Symbiodiniaceae lifestyle.</t>
  </si>
  <si>
    <t>NOV 19</t>
  </si>
  <si>
    <t>10.3389/fphys.2020.574654</t>
  </si>
  <si>
    <t>Popovic, I; Bierne, N; Gaiti, F; Tanurdzic, M; Riginos, C</t>
  </si>
  <si>
    <t>Pre-introduction introgression contributes to parallel differentiation and contrasting hybridization outcomes between invasive and native marine mussels</t>
  </si>
  <si>
    <t>JOURNAL OF EVOLUTIONARY BIOLOGY</t>
  </si>
  <si>
    <t>Non-native species experience novel selection pressures in introduced environments and may interbreed with native lineages. Species introductions therefore provide opportunities to investigate repeated patterns of adaptation and introgression across replicated contact zones. Here, we investigate genetic parallelism between multiple introduced populations of the invasive marine mussel, Mytilus galloprovincialis, in the absence (South Africa and California) and presence of hybridization with a native congener (Mytilus planulatus in Batemans Bay and Sydney Harbour, Australia). Repeatability in post-introduction differentiation from native-range populations varied between genetically distinct Atlantic and Mediterranean lineages, with Atlantic-derived introductions displaying high differentiation (maxF(ST) &gt; 0.4) and parallelism at outlier loci. Identification of long noncoding RNA transcripts (lncRNA) additionally allowed us to clarify that parallel responses are largely limited to protein-coding loci, with lncRNAs likely evolving under evolutionary constraints. Comparisons of independent hybrid zones revealed differential introgression most strongly in Batemans Bay, with an excess of M. galloprovincialis ancestry and resistance to introgression at loci differentiating parental lineages (M. planulatus and Atlantic M. galloprovincialis). Additionally, contigs putatively introgressed with divergent alleles from a closely related species, Mytilus edulis, showed stronger introgression asymmetries compared with genome-wide trends and also diverged in parallel in both Atlantic-derived introductions. These results suggest that divergent demographic histories experienced by introduced lineages, including pre-introduction introgression, influence contemporary admixture dynamics. Our findings build on previous investigations reporting contributions of historical introgression to intrinsic reproductive architectures shared between marine lineages and illustrate that interspecific introgression history can shape differentiation between colonizing populations and their hybridization with native congeners.</t>
  </si>
  <si>
    <t>10.1111/jeb.13746</t>
  </si>
  <si>
    <t>Yu, ZB; Mu, CK; Song, WW; Li, RH; Chen, YE; Wang, CL</t>
  </si>
  <si>
    <t>Screening of genes related to ovarian development in the swimming crab, Portunus trituberculatus, by suppression subtractive hybridization</t>
  </si>
  <si>
    <t>The swimming crab, Portunus trituberculatus, is an important marine animal and is widely cultured in China. In the present study, suppression subtractive hybridization was applied to identify the differentially expressed genes in the ovaries of mature and immature P. trituberculatus. One hundred and seventy six expressed sequence tag (ESTs) were identified, of which 100 were down-regulated, and 76 up-regulated. BLAST analysis identified 51 unigenes, of which 27 were down-regulated, and 24 up-regulated. Quantitative real-time reverse transcriptase polymerase chain reaction results indicated that the SSH technique is valuable in screening genes related to ovarian development. Genes identified in this study encoded proteins corresponding to a wide range of functions and included immune response protein, transcription initiation factor, metabolic proteins, chromosome, histone h3, ovarian development-related protein, and vitellogenin. In addition, 64 metabolic pathways were annotated in differentially expressed ESTs by using the Kyoto Encyclopedia of Genes and Genomes pathway. Four annotated pathways (oxidative phosphorylation, carbon metabolism, fatty acid degradation, and protein digestion and absorption) appeared to be involved in ovarian development. In ontology analysis, 5.83% of the cellular process genes in reverse subtraction cDNA library are involved in reproduction, and 5.88% involved in developmental process. In up-regulated genes, myosin II-expressed polehole-like protein; histone h3; ovigerous-hair stripping substance; peritrophin 48; and ovarian development-related protein appeared to be involved in ovarian development. Identification of differentially expressed genes in the mature and immature ovary of the swimming crab provides new insights for further studies on the mechanism underlying ovarian development in this species.</t>
  </si>
  <si>
    <t>10.4238/2015.December.28.16</t>
  </si>
  <si>
    <t>Ehiguese, FO; Fernandez, MDC; Lara-Martín, PA; Martín-Díaz, ML; Araújo, CVM</t>
  </si>
  <si>
    <t>Avoidance behaviour of the shrimp Palaemon varians regarding a contaminant gradient of galaxolide and tonalide in seawater</t>
  </si>
  <si>
    <t>The musk fragrances galaxolide (HHCB) and tonalide (AHTN) are compounds of emerging concern that have been found in various environmental compartments. The present study addressed the ability of HHCB and AHTN to elicit the avoidance response in the estuarine shrimp Palaemon varians and to predict the population immediate decline (PID) of P. varians when exposed to HHCB and AHTN by integrating both avoidance (non-forced exposure) and lethality (forced exposure) responses. The avoidance response was tested in a non-forced multi-compartmented static system, in which the shrimps could move freely among the compartments with different concentrations. The shrimps (n = 3 shrimps per compartment/concentration; 18 shrimps per system) were exposed to a gradient (0, 0.005, 0.05, 0.5, 5 and 50 mu g/L) of both substances and their positions were checked at every 20 min for a 3 h period. The results from 24-h forced exposure showed no dose-response relationship and the highest percentage mortality was 17% for HHCB at 0.005 and 0.5 mu g/L. In the 3-h non-forced exposure to a gradient of HHCB and AHTN, significant concentration-dependent spatial avoidance was observed for both substances. The shrimps avoided the lowest concentration of HHCB and AHTN (0.005 mu g/L) by 15% and 16%. The avoidance increased significantly (p &lt;0.005) to a 61% and 57%, respectively, for the highest concentration (50 mu g/L). The population immediate decline was driven by the avoidance behaviour of the shrimps rather than mortality. These results indicated that the aversiveness of HHCB and AHTN might have serious consequences for habitat selection processes by organisms. (C) 2019 Elsevier Ltd. All rights reserved.</t>
  </si>
  <si>
    <t>10.1016/j.chemosphere.2019.05.196</t>
  </si>
  <si>
    <t>Gurboga, M; Kugu, G; Kamberaj, H; Mutlu, O</t>
  </si>
  <si>
    <t>Identification of benzamide inhibitors of histone deacetylase 1 from Babesia and Theileria species via high-throughput virtual screening and molecular dynamics simulations</t>
  </si>
  <si>
    <t>Theileria and Babesia species are eukaryotic protozoan parasites classified under the order Piroplasmida of the phylum Apicomplexa. Tick vectors transmit these microorganisms in tropical and subtropical regions to a wide range of animals, including ruminants, causing fatal and life-threatening diseases such as bovine babesiosis and theileriosis. Resistance to commercially available drugs requires the search for new drug candidates. Histone deacetylase (HDAC) has a potential to be utilized as a drug target; therefore, it may be considered as an effective alternative. Previous studies revealed that HDAC inhibitors, identified for human use, show promising anti-parasitic effects. We have herein focused on the class I HDAC enzyme, HDAC1, of the Babesia and Theileria species to discover potential benzamide inhibitors by following a streamlined workflow of computer-aided drug design methodology. Molecular docking and molecular dynamics simulations revealed that benzamide derivatives stably interacted with the HDAC1 active site in both parasites as hypothesized. Furthermore, specific residue insertions at the entry point of the active site cleft of parasitic HDAC1 could enable ways to design parasite-specific drugs without adversely affecting host enzymes.</t>
  </si>
  <si>
    <t>10.1007/s00436-021-07158-z</t>
  </si>
  <si>
    <t>Poupardin, R; Schöttner, K; Korbelová, J; Provazník, J; Dolezel, D; Pavlinic, D; Benes, V; Kostál, V</t>
  </si>
  <si>
    <t>Early transcriptional events linked to induction of diapause revealed by RNAseq in larvae of drosophilid fly, Chymomyza costata</t>
  </si>
  <si>
    <t>Background: Diapause is a developmental alternative to direct ontogeny in many invertebrates. Its primary adaptive meaning is to secure survival over unfavourable seasons in a state of developmental arrest usually accompanied by metabolic suppression and enhanced tolerance to environmental stressors. During photoperiodically triggered diapause of insects, the ontogeny is centrally turned off under hormonal control, the molecular details of this transition being poorly understood. Using RNAseq technology, we characterized transcription profiles associated with photoperiodic diapause induction in the larvae of the drosophilid fly Chymomyza costata with the goal of identifying candidate genes and processes linked to upstream regulatory events that eventually lead to a complex phenotypic change. Results: Short day photoperiod triggering diapause was associated to inhibition of 20-hydroxy ecdysone (20-HE) signalling during the photoperiod-sensitive stage of C. costata larval development. The mRNA levels of several key genes involved in 20-HE biosynthesis, perception, and signalling were significantly downregulated under short days. Hormonal change was translated into downregulation of a series of other transcripts with broad influence on gene expression, protein translation, alternative histone marking by methylation and alternative splicing. These changes probably resulted in blockade of direct development and deep restructuring of metabolic pathways indicated by differential expression of genes involved in cell cycle regulation, metabolism, detoxification, redox balance, protection against oxidative stress, cuticle formation and synthesis of larval storage proteins. This highly complex alteration of gene transcription was expressed already during first extended night, within the first four hours after the change of the photoperiodic signal from long days to short days. We validated our RNAseq differential gene expression results in an independent qRT-PCR experiment involving wild-type (photoperiodic) and NPD-mutant (non-photoperiodic) strains of C. costata. Conclusions: Our study revealed several strong candidate genes for follow-up functional studies. Candidate genes code for upstream regulators of a complex change of gene expression, which leads to phenotypic switch from direct ontogeny to larval diapause.</t>
  </si>
  <si>
    <t>10.1186/s12864-015-1907-4</t>
  </si>
  <si>
    <t>Shi, XZ; Li, XC; Wang, S; Zhao, XF; Wang, JX</t>
  </si>
  <si>
    <t>Transcriptome analysis of hemocytes and hepatopancreas in red swamp crayfish, Procambarus clarkii, challenged with white spot syndrome virus</t>
  </si>
  <si>
    <t>ISJ-INVERTEBRATE SURVIVAL JOURNAL</t>
  </si>
  <si>
    <t>Red swamp crayfish Procambarus clarkii is used for the innate immune defense of crustaceans due to its convenience for laboratory culture and study. To know more about the transcriptome of the crayfish, we constructed and sequenced a cDNA library from a mixture of hemocytes and hepatopancreas from white spot syndrome virus (WSSV)-infected crayfish. By random sequencing, we obtained 9115 high-quality expressed sequence tags with a mean length of 370 bp, representing 3033 unigenes. Most of the unigenes are first reports for the red swamp crayfish. Besides the metabolic genes, many genes that may be involved in the innate immune system of the crayfish are also obtained from the library, such as antimicrobial peptides, pattern recognition receptors, proteases and protease inhibitors, signal transduction proteins, apoptosis-, antioxidant-, and RNA interference-related proteins. We chose ten immune-related genes to analyze their expression pattern by quantitative real time polymerase chain reaction (qRT-PCR) from the hemocytes of normal and WSSV-challenged crayfish. Seven of them, including anti-lipopolysaccharide factor, astacidin, crustin 1, H3 histone family 3A, serine/threonine protein kinase, TGF beta-inducible nuclear protein, and tar RNA binding protein, were upregulated after WSSV injection, but the mRNA expression levels of crustin 2, a lectin, and a digestive cysteine protease decreased after WSSV infection. Our results showed that the transcriptome analysis provides a useful resource for identification of immune related genes and understanding the immune responses of the crayfish.</t>
  </si>
  <si>
    <t>Edmunds, RC; Hillersoy, G; Momigliano, P; van Herwerden, L</t>
  </si>
  <si>
    <t>Classic approach revitalizes genomics: Complete characterization of a candidate gene for thermal adaptation in two coral reef fishes</t>
  </si>
  <si>
    <t>Lactate dehydrogenase-B (ldh-b) encodes a metabolic enzyme (LDH-B) which plays an important role in maintaining aerobic performance and in thermal acclimation and/or adaptation of fish. As the first step in understanding the effect this enzyme has on the ability of tropical coral reef fishes to cope with thermal stress, we characterized both coding and non-coding regions of ldh-b in two congeneric perciformes, Plectropomus leopardus and Plectropomus laevis. Ldh-b was 4666 and 4539 bp in length in P. leopardus and P. laevis, respectively, with coding regions comprising 1005 bp in both species. We report a high level of sequence homology between the coding regions of ldh-b in these two species, with 98.1% identity of nucleotides corresponding to 100% amino acid identity between the deduced protein sequences. Comparison between non-coding (intron) regions of both species revealed the presence of several indels, despite the high level of homology observed (95.9% identity of intron nucleotides). Potential regulatory motifs and elements, including twenty-six simple sequence repeat motifs (mono-, di-, tri- and tetranucleotide) and twenty-three putative microRNA elements are identified within the introns of both species, further supporting recent demonstrations that such short motifs and elements exhibit widespread positioning throughout non-coding regions of the genome. This novel characterization of ldh-b in these two coral reef fishes allows for a wide range of future studies (e.g. analytical comparisons of ldh-b and LDH-B among different fish genera from different thermal environments and habitats). (C) 2009 Elsevier B.V. All rights reserved.</t>
  </si>
  <si>
    <t>SEP-DEC</t>
  </si>
  <si>
    <t>10.1016/j.margen.2009.11.001</t>
  </si>
  <si>
    <t>Liu, L; Zhao, TJ; Lin, K; Zou, Y; Yan, HY; Zhan, YY; Song, J; Chang, YQ</t>
  </si>
  <si>
    <t>Identification of a novel RhoA gene in the sea cucumber Apostichopus japonicus and its immune regulatory function via interacting with miR-2012-5p</t>
  </si>
  <si>
    <t>RhoA (Ras homolog A) protein is a representative member of the Rho GTPase family and is involved in various cellular processes. The function of RhoA in sea cucumbers is unclear. In this study, we hypothesized that RhoA may regulate the innate immune response of Apostichopus japonicus. Our data showed that 1) the complete sequence of RhoA from A. japonicus (named AjRhoA) was 968 bp, with a high level sequence conservation across the echinoderms and other phyla; 2) tissue expression analysis showed that AjRhoA transcripts and protein exhibited higher abundance in coelomocytes, whereas the relative expression of miR-2012-5p was lower in coelomocytes; 3) interactive binding sites and a negative regulatory targeting relationship between AjRhoA and miR-2012-5p were confirmed through a dual-luciferase reporter assay and functional validation in vivo; 4) the relative expression levels of AjRhoA transcripts and protein were upregulated in coelomocytes 4- and 72-hour post infection (hpi) with Vibrio splendidus, whereas miR-2012-5p was expressed in the opposite pattern; 5) both AjRhoA silencing and miR-2012-5p overexpression suppressed the phagocytic capacity of A. japonicus compared with the control at 4 and 72 hpi. Our observations suggest that AjRhoA can regulate the pathogen-induced immune response of A. japonicus through the AjRhoA-miR-2012-5p module during the early infection, while miR-2012-5p plays a direct immunomodulatory role as the infection progresses.</t>
  </si>
  <si>
    <t>10.1016/j.ijbiomac.2022.01.176</t>
  </si>
  <si>
    <t>Liu, YK; Fend, SV; Martinsson, S; Luo, X; Ohtaka, A; Erséus, C</t>
  </si>
  <si>
    <t>Multi-locus phylogenetic analysis of the genus Limnodrilus (Annelida: Clitellata: Naididae)</t>
  </si>
  <si>
    <t>Limnodrilus species are annelid worms distributed worldwide in various freshwater sediments. The systematics of Limnodrilus has chiefly been based on morphology, but the genus has not been subject to any closer phylogenetic studies over the past two decades. To reconstruct the evolutionary history of Limnodrilus, and to assess the monophyly of this genus and its systematic position within the subfamily Tubificinae (Annelida: Clitellata: Naididae), 45 Limnodrilus specimens, representing 19 species, and 35 other naidid species (representing 24 genera) were sampled. The data consisted of sequences of three mitochondrial genes (COI, 12S and 16S rDNA) and four nuclear markers (18S and 28S rDNA, Histone 3, and ITS). The phylogeny was estimated, using Maximum Likelihood and Bayesian analyses of concatenated data of seven DNA loci, as well as a multi-locus coalescent-based approach. All analyses strongly suggest that Limnodrilus is monophyletic, but only if the morphospecies L. rubripenis is removed from it. Limnodrilus rubripenis and (at least) Baltidrilus, Lophochaeta and some species attributed to Varichaetadrilus comprise the sister group to the Glade Limnodrilus sensu stricto, and the latter is further divided into three well-supported groups. One of them contains morphospecies characterized by short cuticular penis sheaths and enlarged chaetae in anterior segments (L udekemianus, L. silvani and L. grandisetosus). The second is a small group of species with moderately long penis sheaths, i.e., L. sulphurensis and L profundicola. The third, and largest group, includes not only the multitude of cryptic species in the L hoffmeisteri complex, but also other, morphologically distinct, species nested within this complex. All studied species in this large group have long penis sheaths, which are exceptionally long in L. claparedianus, L. maumeensis, and a form morphologically intermediate between L. claparedianus and L cervix. The identification and classification of these groups provide a framework for directed sampling in further phylogenetic studies, and for revisionary work on the L. hoffmeisteri complex and other unresolved Limnodrilus species. (C) 2017 Elsevier Inc. All rights reserved.</t>
  </si>
  <si>
    <t>10.1016/j.ympev.2017.04.019</t>
  </si>
  <si>
    <t>Ji, DN; Jin, SD; Jiang, Y; Xu, FY; Fan, SW; Zhao, YL; Liu, XQ; Sun, H; Cheng, WZ; Zhang, XY; Guan, XX; Zhang, BW; Du, ZM; Wang, Y; Wang, N; Zhang, R; Zhang, MY; Xu, CQ</t>
  </si>
  <si>
    <t>CircNSD1 promotes cardiac fibrosis through targeting the miR-429-3p/SULF1/Wnt/β-catenin signaling pathway</t>
  </si>
  <si>
    <t>ACTA PHARMACOLOGICA SINICA</t>
  </si>
  <si>
    <t>Cardiac fibrosis is a detrimental pathological process, which constitutes the key factor for adverse cardiac structural remodeling leading to heart failure and other critical conditions. Circular RNAs (circRNAs) have emerged as important regulators of various cardiovascular diseases. It is known that several circRNAs regulate gene expression and pathological processes by binding miRNAs. In this study we investigated whether a novel circRNA, named circNSD1, and miR-429-3p formed an axis that controls cardiac fibrosis. We established a mouse model of myocardial infarction (MI) for in vivo studies and a cellular model of cardiac fibrogenesis in primary cultured mouse cardiac fibroblasts treated with TGF-beta 1. We showed that miR-429-3p was markedly downregulated in the cardiac fibrosis models. Through gain- and loss-of-function studies we confirmed miR-429-3p as a negative regulator of cardiac fibrosis. In searching for the upstream regulator of miR-429-3p, we identified circNSD1 that we subsequently demonstrated as an endogenous sponge of miR-429-3p. In MI mice, knockdown of circNSD1 alleviated cardiac fibrosis. Moreover, silence of human circNSD1 suppressed the proliferation and collagen production in human cardiac fibroblasts in vitro. We revealed that circNSD1 directly bound miR-429-3p, thereby upregulating SULF1 expression and activating the Wnt/beta-catenin pathway. Collectively, circNSD1 may be a novel target for the treatment of cardiac fibrosis and associated cardiac disease.</t>
  </si>
  <si>
    <t>10.1038/s41401-024-01296-7</t>
  </si>
  <si>
    <t>Chen, JN; Hei, RX; Chen, C; Wu, X; Han, TT; Bian, HQ; Gu, JX; Lu, YJ; Zheng, QP</t>
  </si>
  <si>
    <t>CircCRIM1 suppresses osteosarcoma progression via sponging miR146a-5p and targeting NUMB</t>
  </si>
  <si>
    <t>AMERICAN JOURNAL OF CANCER RESEARCH</t>
  </si>
  <si>
    <t>CircCRIM1 (hsa_circ_0002346) is a circular RNA derived from gene CRIM1 (the cysteine rich transmembrane BMP regulator 1 circRNAs) by back-splicing. Recent studies have suggested the diverse function of CircCRIM1 in the tumorigenesis of multiple malignancies, including osteosarcoma (OS). Here, we investigated the role and mechanism of circCRIM1 during OS progression. Differentially expressed circRNAs (including circCRIM1) in OS and human osteoblast (hFOB1.19) cell lines were selected by searching the circRNA expression microarray dataset of GSE96964. The expression levels of circCRIM1 and its sponging miRNAs and target genes were examined by RT-qPCR. The effects of circCRIM1 on the proliferation, migration, and invasion of OS cells were investigated by in vitro gain of function experiments. The in vivo function of circCRIM1 on OS was evaluated by measuring the subcutaneous and in situ tumor growth in nude mice. In addition, dual-luciferase reporter assay and in situ hybridization (FISH) were performed to explore the underlying mechanisms of circCRIM1 and its sponging miRNAs and target genes in OS. CircCRIM1 is downregulated in human OS cell lines and predominantly presents in the cytoplasm as demonstrated by RT-qPCR and FISH assays. Overexpression of circCRIM1 suppressed the migration, invasion, proliferation of OS cells in vitro and OS tumor growth in vivo. Mechanistically, we identified miR146a-5p as a sponge miRNA of circCRIM1 through bioinformatic prediction and confirmed their interaction and colocalization via reporter gene assay and FISH analysis. This interaction leads to increase expression of the downstream target gene NUMB, which will cause inhibition of the Notch signal pathway. We further demonstrated that miR146a-5p overexpression could reverse the antitumor effect induced by circCRIM1 in OS cells. Our results support that circCRIM1 acts as a tumor suppressor in OS by sponging miR146a-5p and its downstream target NUMB.</t>
  </si>
  <si>
    <t>Grosshans, H; Johnson, T; Reinert, KL; Gerstein, M; Slack, FJ</t>
  </si>
  <si>
    <t>The temporal patterning MicroRNA let-7 regulates several transcription factors at the larval to adult transition in C-elegans</t>
  </si>
  <si>
    <t>DEVELOPMENTAL CELL</t>
  </si>
  <si>
    <t>The let-7 microRNA is phylogenetically conserved and temporally expressed in many animals. C. elegans let-7 controls terminal differentiation in a stem cell-like lineage in the hypodermis, while human let-7 has been implicated in lung cancer. To elucidate let-7s role in temporal control of nematode development, we used sequence analysis and reverse genetics to identify candidate let-7 target genes. We show that the nuclear hormone receptor daf-12 is a let-7 target in seam cells, while the forkhead transcription factor pha-4 is a target in the intestine. Additional likely targets are the zinc finger protein die-1 and the putative chromatin remodeling factor Iss-4. Together with the previous identification of the hunchback ortholog hbl-1 as a let-7 target in the ventral nerve cord, our findings show that let-7 acts in at least three tissues to regulate different transcription factors, raising the possibility of let-7 as a master temporal regulator.</t>
  </si>
  <si>
    <t>10.1016/j.devcel.2004.12.019</t>
  </si>
  <si>
    <t>Li, YC; Zhang, WC; Liu, J; Wang, WX; Li, H; Zhu, JL; Weng, SZ; Xiao, SH; Wu, TT</t>
  </si>
  <si>
    <t>Prepubertal bisphenol A exposure interferes with ovarian follicle development and its relevant gene expression</t>
  </si>
  <si>
    <t>REPRODUCTIVE TOXICOLOGY</t>
  </si>
  <si>
    <t>Bisphenol A (BPA) is recognized as one of several environmental estrogens. Pre-puberty is an important part of reproductive system development, and even a short-term exposure to BPA during this period may cause serious damage to the reproductive system. In this study, Pre-puberty female Wistar rats were exposed to BPA for one week. The effects of BPA on ovarian structure and function were assessed. The expression levels of follicle development-related genes were analyzed. Our study showed that BPA reduced rat ovarian weights and follicle numbers, and interferes with the constituent ratio of follicles. With increasing doses of BPA, the expression of factor in the germline alpha (FIGLA) and oocyte-specific histone H1 variant (H1FOO) genes decreased, and anti-mullerian hormone (AMH) genes expression increased, suggesting that BPA exposure during the pre-pubertal period may inhibit the development of ovaries, and follicle development-related genes may play certain roles in this process. (C) 2013 Elsevier Inc. All rights reserved.</t>
  </si>
  <si>
    <t>10.1016/j.reprotox.2013.09.002</t>
  </si>
  <si>
    <t>Lymbery, RA; Kennington, WJ; Evans, JP</t>
  </si>
  <si>
    <t>The thermal environment of sperm affects offspring success: a test of the anticipatory paternal effects hypothesis in the blue mussel</t>
  </si>
  <si>
    <t>BIOLOGY LETTERS</t>
  </si>
  <si>
    <t>There has been an explosion of recent evidence that environments experienced by fathers or their ejaculates can influence offspring phenotypes (paternal effects). However, little is known about whether such effects are adaptive, which would have far-reaching implications for the many species facing rapidly changing environments. For example, some arguments suggest paternal effects might be a source of cross-generational plasticity, preparing offspring to face similar conditions to their father (anticipatory hypothesis). Alternatively, ejaculate-mediated effects on offspring may be non-adaptive by-products of stress. Here, we conduct an experiment to distinguish between these predictions, exposing ejaculates of the externally fertilizing mussel Mytilus galloprovincialis to ambient (19 degrees C) and high (24 degrees C) temperatures, then rearing offspring groups in temperatures that match and mismatch those of sperm. We find that, overall, high temperature-treated sperm induced higher rates of normal offspring development and higher success in transitioning to second-stage larvae, which may represent adaptive epigenetic changes or selection on sperm haplotypes. However, the progeny of high temperature-treated sperm did not perform better than those of ambient temperature-treated sperm when rearing temperatures were high. Overall, these findings offer little support for the anticipatory hypothesis and suggest instead that beneficial paternal effects may be eroded when offspring develop under stressful conditions.</t>
  </si>
  <si>
    <t>10.1098/rsbl.2021.0213</t>
  </si>
  <si>
    <t>Regeneration Abilities among Extant Animals Depend on Their Evolutionary History and Life Cycles</t>
  </si>
  <si>
    <t>JOURNAL OF DEVELOPMENTAL BIOLOGY</t>
  </si>
  <si>
    <t>The present brief manuscript summarizes the main points supporting recently proposed hypotheses explaining the different distributions of regenerative capacity among invertebrates and vertebrates. The new hypotheses are based on the evolution of regeneration from marine animals to the terrestrial animals derived from them. These speculations suggest that animals that were initially capable of broad regeneration in the sea underwent epigenetic modifications during terrestrial adaptation that determined the loss of their regenerative abilities in sub-aerial conditions. These changes derived from the requirements of life on land that include variable dry and UV-exposed conditions. Terrestrial conditions do not allow for organ regeneration, especially in arthropods and amniotes. Nematodes, the other main metazoan group unable of regeneration, instead evolved eutely (a fixed number of body cells), a process which is incompatible with regeneration. All these changes involved gene loss, modification and new gene interactions within the genomes of terrestrial adapting animals that gave rise to sophisticated invertebrates and vertebrates adapted to living on land but with low cellular plasticity.</t>
  </si>
  <si>
    <t>10.3390/jdb12010008</t>
  </si>
  <si>
    <t>Bonzi, LC; Donelson, JM; Spinks, RK; Munday, PL; Ravasi, T; Schunter, C</t>
  </si>
  <si>
    <t>Matching maternal and paternal experiences underpin molecular thermal acclimation</t>
  </si>
  <si>
    <t>The environment experienced by one generation has the potential to affect the subsequent one through non-genetic inheritance of parental effects. Since both mothers and fathers can influence their offspring, questions arise regarding how the maternal, paternal and offspring experiences integrate into the resulting phenotype. We aimed to disentangle the maternal and paternal contributions to transgenerational thermal acclimation in a reef fish, Acanthochromis polyacanthus, by exposing two generations to elevated temperature (+1.5 degrees C) in a fully factorial design and analysing the F2 hepatic gene expression. Paternal and maternal effects showed not only common but also parent-specific components, with the father having the largest influence in shaping the offspring's transcriptomic profile. Fathers contributed to transcriptional transgenerational response to warming through transfer of epigenetically controlled stress-response mechanisms while mothers influenced increased gene expression associated with lipid metabolism regulation. However, the key to acclimation potential was matching thermal experiences of the parents. When both parents were exposed to the same condition, offspring showed increased expression of genes related to structural RNA production and transcriptional regulation, whereas environmental mismatch in parents resulted in maladaptive parental condition transfer, revealed by translation suppression and endoplasmic reticulum stress. Interestingly, the offspring's own environmental experience had the smallest influence on their hepatic transcription profiles. Taken together, our results show the complex nature of the interplay among paternal, maternal and offspring cue integration, and reveal that acclimation potential to ocean warming might depend not only on maternal and paternal contributions but importantly on congruent parental thermal experiences.</t>
  </si>
  <si>
    <t>10.1111/mec.17328</t>
  </si>
  <si>
    <t>Zou, SM; Li, Q; Kong, LF</t>
  </si>
  <si>
    <t>Additional gene data and increased sampling give new insights into the phylogenetic relationships of Neogastropoda, within the caenogastropod phylogenetic framework</t>
  </si>
  <si>
    <t>Neogastropoda, a highly diversified group of predatory marine snails, has often been contradicted in molecular phylogenetic studies. This is partly the consequence of limited neogastropod taxa or outgroups analyzed or insufficient gene sequences employed. This paper reports the most extensive molecular study of the group published to date with increased neogastropod taxa, multiple representatives of caenogastropod outgroups, and additional gene sequences. Data were collected from the entire 18S rRNA, histone H3, and three partial mitochondrial genes. Maximum parsimony, maximum likelihood and Bayesian analyses were conducted. In the caenogastropod phylogenetic framework, Hypsogastropoda was contradicted owing to the inclusion of Cerithioidea. Contrary to previous molecular studies, all the results recovered Neogastropoda as a monophyletic group, which confirms the monophyly of Neogastropoda and the validity of morphological synapomorphies that usually define Neogastropoda as monophyletic. Tonnoidea was shown to be paraphyletic with respect to Ficidae, and together this group formed a monophyletic clade as the sister group to Neogastropoda, which supported the high mesogastropod hypothesis of the origin of Neogastropoda. All neogastropod families were strongly supported except Buccinidae, Turridae and Cancellariidae. Our results shed light on the status of Neogastropoda, a controversial group, within Caenogastropoda. (C) 2011 Elsevier Inc. All rights reserved.</t>
  </si>
  <si>
    <t>10.1016/j.ympev.2011.07.014</t>
  </si>
  <si>
    <t>Grandjean, F; Tan, MH; Gan, HM; Lee, YP; Kawai, T; Distefano, RJ; Blaha, M; Roles, AJ; Austin, CM</t>
  </si>
  <si>
    <t>Rapid recovery of nuclear and mitochondrial genes by genome skimming from Northern Hemisphere freshwater crayfish</t>
  </si>
  <si>
    <t>Molecular phylogenetics has benefited tremendously from the advent of next-generation sequencing, enabling quick and cost-effective recovery of whole mitogenomes via an approach referred to as genome skimming'. Recently, genome skimming has been utilised to recover highly repetitive nuclear genes such as 18S and 28S ribosomal RNA genes that are useful for inferring deeper evolutionary relationships. To address some outstanding issues in the relationships among Northern Hemisphere freshwater crayfish (Astacoidea), we sequenced the partial genome of crayfish species from Asian, North American and European genera and report the successful recovery of whole mitogenome sequences in addition to three highly repetitive nuclear genes, namely histone H3, 18S and 28S ribosomal RNA. Consistent with some previous studies using short mtDNA and nuclear gene fragments, phylogenetic analyses based on the concatenation of recovered mitochondrial and/or nuclear sequences recovered the Asian cambarid lineage as basal to all astacids and North American cambarids, which conflicts with the current taxonomic classification based on morphological and reproduction-related characters. Lastly, we show that complete H3, 18S and 28S ribosomal RNA genes can also be consistently recovered from a diverse range of animal taxa, demonstrating the potential wide utility of genome skimming for nuclear markers.</t>
  </si>
  <si>
    <t>10.1111/zsc.12247</t>
  </si>
  <si>
    <t>Wang, QQ; Tang, J; Pan, LQ; Song, AM; Miao, JJ; Zheng, X; Li, ZY</t>
  </si>
  <si>
    <t>Study on epigenotoxicity, sex hormone synthesis, and DNA damage of benzo[a]pyrene in the testis of male Ruditapes philippinarum</t>
  </si>
  <si>
    <t>Research on the mechanisms of reproductive toxicity caused by persistent organic pollutants (POPs) in marine animals has received significant attention. One group of typical POPs, called polycyclic aromatic hydrocarbons (PAHs), has been found to cause various reproductive toxicities in aquatic organisms, including epigenotoxicity, reproductive endocrine disruption, DNA damage effects and other reproductive toxicity, thereby affecting gonadal development. Interestingly, male aquatic animals are more susceptible to the disturbance and toxicity of environmental pollutants. However, current studies primarily focus on vertebrates, leaving a large gap in our understanding of the reproductive toxicity and mechanisms of PAHs interference in marine invertebrates. In this study, male Ruditapes philippinarum was used as an experimental subject to investigate reproduction-related</t>
  </si>
  <si>
    <t>10.1016/j.scitotenv.2023.169340</t>
  </si>
  <si>
    <t>Birnstiel, ML</t>
  </si>
  <si>
    <t>The dawn of gene isolation</t>
  </si>
  <si>
    <t>Ever since it became clear through the work of Watson and Crick that the gene is a stretch of double stranded helical DNA and is understandable in chemical terms, biochemists have striven to get their hands on isolated genes. The isolation of the ribosomal genes of Xenopus laevis in 1966 provided a first instance where a purified DNA of known function could be investigated, long before the advent of gene cloning technologies. The second instance was the purification of the Lac operon from Escherichia coli. Later, but still before the gene cloning days the 5S RNA genes of X. laevis and the histone genes of the sea urchin Psammechinus miliaris were isolated by physico-chemical methods, but their isolation marked the end of an era. By 1975, gene cloning technology was well established and the isolation of genes quickly became an everyday occurrence. (C) 2002 Elsevier Science B.V. All rights reserved.</t>
  </si>
  <si>
    <t>10.1016/S0378-1119(02)00853-3</t>
  </si>
  <si>
    <t>Guo, QZ; Li, L; Bo, QM; Chen, L; Sun, L; Shi, HT</t>
  </si>
  <si>
    <t>Long noncoding RNA PITPNA-AS1 promotes cervical cancer progression through regulating the cell cycle and apoptosis by targeting the miR-876-5p/c-MET axis</t>
  </si>
  <si>
    <t>Cervical cancer is a common tumor type and a leading cause of tumor death among female in the world. However, the molecular mechanisms revealing the cervical cancer progression have not been fully investigated. Long noncoding RNA (LncRNA) PITPNA-AS1 is a newly found lncRNA, showing the promoting role in tumor growth. But its effects on cervical cancer development still remain unknown. In the study, we found that PITPNA-AS1 was markedly increased in human cervical cancer tissues and cell lines. PITPNA-AS1 over-expression elevated the proliferation of cervical cancer cells, whereas PITPNA-AS1 knockdown reduced the cell proliferation. Moreover, PITPNA-AS1 knockdown markedly accelerated the G0/G1 and reduced the G2/M phase transitions through decreasing the cyclin-dependent kinase (CDK)-2/4/6 and CyclinD1 expression levels. In addition, apoptosis was significantly induced by PITPNA-AS1 knockdown in cervical cancer cells. Importantly, PITPNA-AS1 was identified as the sponge of miR-876-5p, and a negative correlation was detected between PITPNA-AS1 and miR-876-5p in cervical cancer samples. Moreover, tyrosine-protein kinase MET (c-MET) was identified to be a down-streaming target gene of miR-876-5p in cervical cancer cells. PITPNA-AS1 meditated the effects of c-MET on the proliferation, apoptosis and cell cycle in cervical cancer cells by adsorbing miR-876-5p. In summary, targeting the PITPNA-AS1-associated signaling could be a therapeutic strategy for the treatment of cervical cancer.</t>
  </si>
  <si>
    <t>10.1016/j.biopha.2020.110072</t>
  </si>
  <si>
    <t>Brinkmann, BW; Fransen, CHJM</t>
  </si>
  <si>
    <t>Identification of a new stony coral host for the anemone shrimp Periclimenes rathbunae Schmitt, 1924 with notes on the host-use pattern</t>
  </si>
  <si>
    <t>Periclimenes rathbunae Schmitt, 1924 is a western Atlantic symbiotic shrimp species mainly associating with anemones. Adult shrimps of P. rathbunae are characterised by an orange-white spotted colour pattern. During fieldwork along the coast of Curacao (2013), morphologically similar, though generally smaller sized shrimps were collected from the stony coral Dendrogyra cylindrus Ehrenberg, 1834. These specimens were overall more translucent. This study elucidates the taxonomic status of the coral-associated specimens in relation to anemone-associated specimens of P. rathbunae and related anemone-associated species using one nuclear (histone H3, H3), a mitochondrial protein-coding (cytochrome oxidase subunit I, COI) and a mitochondrial ribosomal RNA (16S) gene. Molecular phylogenetic reconstructions clustered the coral-associated specimens with anemone-associated P. rathbunae within a distinct clade, revealing that the aberrant coral-associated shrimp specimens belong to P. rathbunae. It can be concluded that 1) the stony coral D. cylindrus is a host of P. rathbunae, constituting the first record of an association between a scleractinian coral and a palaemonid shrimp species in the Atlantic Ocean; 2) the colour pattern of P. rathbunae is a phenotypically plastic characteristic that varies with size and is depending on the host species; and 3) mean body size of P. rathbunae is smaller on D. cylindrus than on the anemone Stichodactyla helianthus. This raises interesting questions about patterns of host use for this species and warrants further in-depth field ecological study for this species.</t>
  </si>
  <si>
    <t>10.1163/18759866-08504004</t>
  </si>
  <si>
    <t>Lou, FR; Song, N; Han, ZQ; Gao, TX</t>
  </si>
  <si>
    <t>Single-molecule real-time (SMRT) sequencing facilitates Tachypleus tridentatus genome annotation</t>
  </si>
  <si>
    <t>Tachypleus tridentatus is a keystone species in marine ecosystems. Its hemolymph also provides the limulus amebocyte lysate (LAL) for detection of bacterial endotoxin in human medical service. Here we combined SMRT sequencing and Illumina RNA-seq to characterize the novel isoforms, novel genetic loci, fusion isoforms formation and transcriptome structure and further to unveil the transcriptome complexity of T. tridentatus. We identified 26,705 non-redundancy isoforms form 10,919 genetic loci, including 25,713 novel isoforms, 2403 novel genes and 170 fusion isoforms. In addition, 1578 novel genes and 23,172 novel isoforms were annotated in the NR, Pfam, KOG, COG, eggNOG, Swiss-Prot, KEGG and GO databases. Meanwhile, we have obtained 4671 gene family clustering based on genetic loci. Furthermore, there are 17,296, 4887, 1054, and 1435 APAs, AS events, lncRNAs, and TFs were identified in the T. tridentatus long-read transcriptome and the target genes of 1054 lncRNA sequences were also predicted. Overall, our work firstly provided the long-read transcriptome and these data are very necessary to improve the annotation information of T. tridentatus genome and optimize the boundaries of 12,342 original reference annotated genes. Furthermore, these information are a potential resource to study LAL secretion mechanisms in T. tridentatus. (C) 2020 Elsevier B.V. All rights reserved.</t>
  </si>
  <si>
    <t>10.1016/j.ijbiomac.2020.01.029</t>
  </si>
  <si>
    <t>Mutemi, KN; Simakov, O; Pan, L; Santangeli, L; Null, RW; Handberg-Thorsager, M; Vellutini, BC; Peterson, KJ; Fromm, B; Larsson, T; Savage, E; Lopez, MO; Hercog, R; Provaznik, J; Ordoñez-Rueda, D; Azevedo, N; Gazave, E; Vervoort, M; Tomancak, P; Tan, WH; Winkler, S; Benes, V; Hui, J; Helm, C; Özpolat, BD; Arendt, D</t>
  </si>
  <si>
    <t>A genome resource for the marine annelid Platynereis spp</t>
  </si>
  <si>
    <t>The marine annelid Platynereis dumerilii is a model organism used in many research areas including evolution and development, neurobiology, ecology and regeneration. Here we present the genomes of P. dumerilii (laboratory culture reference and a single individual assembly) and of the closely related P. massiliensis and P. megalops (single individual assembly) to facilitate comparative genomic approaches and help explore Platynereis biology. We used long-read sequencing technology and chromosomal-conformation capture along with extensive transcriptomic resources to obtain and annotate a draft genome assembly of similar to 1.47 Gbp for P. dumerilii, of which more than half represent repeat elements. We predict around 29,000 protein-coding genes, with relatively large intron sizes, over 38,000 non-coding genes, and 105 miRNA loci. We further explore the high genetic variation (similar to 3% heterozygosity) within the Platynereis species complex. Gene ontology reveals the most variable loci to be associated with pigmentation, development and immunity. The current work sets the stage for further development of Platynereis genomic resources.</t>
  </si>
  <si>
    <t>10.1186/s12864-025-11727-2</t>
  </si>
  <si>
    <t>Oluwabusola, ET; Katermeran, NP; Poh, WH; Ben Goh, TM; Tan, LT; Diyaolu, O; Tabudravu, J; Ebel, R; Rice, SA; Jaspars, M</t>
  </si>
  <si>
    <t>Inhibition of the Quorum Sensing System, Elastase Production and Biofilm Formation in Pseudomonas aeruginosa by Psammaplin A and Bisaprasin</t>
  </si>
  <si>
    <t>MOLECULES</t>
  </si>
  <si>
    <t>Natural products derived from marine sponges have exhibited bioactivity and, in some cases, serve as potent quorum sensing inhibitory agents that prevent biofilm formation and attenuate virulence factor expression by pathogenic microorganisms. In this study, the inhibitory activity of the psammaplin-type compounds, psammaplin A (1) and bisaprasin (2), isolated from the marine sponge, Aplysinella rhax, are evaluated in quorum sensing inhibitory assays based on the Pseudomonas aeruginosa PAO1 lasB-gfp(ASV) and rhlA-gfp(ASV) biosensor strains. The results indicate that psammaplin A (1) showed moderate inhibition on lasB-gfp expression, but significantly inhibited the QS-gene promoter, rhlA-gfp, with IC50 values at 14.02 mu M and 4.99 mu M, respectively. In contrast, bisaprasin (2) displayed significant florescence inhibition in both biosensors, PAO1 lasB-gfp and rhlA-gfp, with IC50 values at 3.53 mu M and 2.41 mu M, respectively. Preliminary analysis suggested the importance of the bromotyrosine and oxime functionalities for QSI activity in these molecules. In addition, psammaplin A and bisaprasin downregulated elastase expression as determined by the standard enzymatic elastase assay, although greater reduction in elastase production was observed with 1 at 50 mu M and 100 mu M. Furthermore, the study revealed that bisaprasin (2) reduced biofilm formation in P. aeruginosa.</t>
  </si>
  <si>
    <t>10.3390/molecules27051721</t>
  </si>
  <si>
    <t>Koneva, AY</t>
  </si>
  <si>
    <t>The double DNA content is detected in hemocytes of snail Lymnaea stagnalis from a population with high radiation load</t>
  </si>
  <si>
    <t>ZHURNAL OBSHCHEI BIOLOGII</t>
  </si>
  <si>
    <t>The research of hemocytes of laboratory cultivated pond snails Lymnaea stagnalis originating from two areas near Chernobyl with different radiation load has been carried out by means of comet assay. Significant interpopulation distinctions in parameters of DNA-comets have been revealed by means of the software analysis of hemocyte DNA-comet images: hemocytes of mollusks from radiationally unfavourable Perstok population have contained a twice DNA quantity in comparison with Pripyat population, and also have been statistically more resistant to the influence of strontium. Strontium reduces the amount of DNA in hemocytes, at that strontium dose of 0.5 MPC is already substantial (i.e., causes a negative impact) for snail Lymnaea stagnalis. According to a RAPD-analysis previously conducted, the snails of two populations are characterized by high genetic similarity, on the basis of which a hypothesis is suggested that the observed differences in the DNA content of hemocytes and resistance to strontium are inherited as prolonged adaptive modification (epigenetic change) in response to the intensive damaging impact of environment. Comet assay can be its indicator while carrying out the environmental monitoring.</t>
  </si>
  <si>
    <t>Bertrams, W; Griss, K; Han, M; Seidel, K; Hippenstiel, S; Suttorp, N; Finkernagel, F; Wilhelm, J; Vogelmeier, CF; Schmeck, B</t>
  </si>
  <si>
    <t>Transcriptional analysis identifies potential biomarkers and molecular regulators in acute malaria infection</t>
  </si>
  <si>
    <t>LIFE SCIENCES</t>
  </si>
  <si>
    <t>Aims: Malaria is a serious health threat in tropical countries. The causative parasite of Malaria tropica, the severe form, is the protozoan Plasmodium falciparum. In humans, it infects red blood cells, compromising blood flow and tissue perfusion. This study aims to identify potential biomarkers and RNA networks in leukocyte transcriptomes from patients suffering from Malaria tropica. Materials and methods: We identified differentially regulated mRNAs and microRNAs in peripheral blood leukocytes of healthy donors and Malaria patients. Genes whose expression changes were not attributable to changes in leukocyte composition were used for bioinformatics analysis and network construction. Using a previously published cohort of community-acquired pneumonia (CAP) patients, we established discriminating transcriptomic features versus Malaria. We aimed to establish differences between the patient groups by principal component (PCA) and receiving operator characteristic (ROC) analyses and in silico cell type deconvolution. Key findings: We found 870 genes that were significantly differentially expressed between healthy donors and Malaria patients. E2F1, BIRC5 and CCNB1 were identified to be primarily responsible for PCA separation of these two groups. We searched for biological function and found that cell cycle processes were strongly activated. By in silico cell type deconvolution, we attribute this to an expansion of gamma delta T cells. Additional discrimination between CAP and Malaria yielded 445 differentially expressed genes, among which immune proteasome transcripts PSMB8, PSMB9 and PSMB10 were significantly induced in Malaria. Significance: We identified transcripts from patient leukocytes that differentiate between healthy, Malaria and CAP, and indicate a biological context with potential pathophysiological relevance.</t>
  </si>
  <si>
    <t>10.1016/j.lfs.2021.119158</t>
  </si>
  <si>
    <t>Wilkinson, JL; Hooda, PS; Swinden, J; Barker, J; Barton, S</t>
  </si>
  <si>
    <t>Spatial (bio)accumulation of pharmaceuticals, illicit drugs, plasticisers, perfluorinated compounds and metabolites in river sediment, aquatic plants and benthic organisms</t>
  </si>
  <si>
    <t>Organic contaminants such as pharmaceuticals, personal care products (PPCPs) and other emerging contaminants (ECs) are known to persist in the aquatic environment and many are indicated as endocrine, epigenetic, or other toxicants. Typically, the study of PPCPs/ECs in the aquatic environment is limited to their occurrence dissolved in river water. In this study, accumulation and spatial distribution of thirteen PPCPs/ECs were assessed in aquatic sediment (n = 23), periphyton (biofilm, n = 8), plants Callitriche sp. (n = 8) and Potamogeton sp. (n = 7) as well as amphipod crustaceans (Gammarus pulex, n = 10) and aquatic snails (Bithynia tentaculata, n = 9). All samples (n = 65) were collected from the Hogsmill, Blackwater and Bourne Rivers in southern England. Targeted PPCPs/ECs included pharmaceuticals, plasticisers, perfluorinated compounds, illicit drugs and metabolites. Extraction from solid matrices occurred using ultrasonic-assisted extraction followed by an in-house validated method for solid-phase extraction and subsequent liquid-chromatography tandem mass-spectrometry. Field-derived bioconcentration-factors and biota-sediment accumulation-factors were determined for all studied biota. Residues of studied contaminants were found in all sediment and biota. Concentrations of contaminants were generally higher in biota than sediment. Evidence suggests that the studied aquatic plants may effectively degrade bisphenol-A into its main transformation product hydroxyacetophenone, potentially mediated by cytochrome p450 and internalisation of contaminants into the cellular vacuole. A positive association between both hydrophobicity and PFC chain length and contaminant accumulation was observed in this work. Only PFCs, plasticisers and HAP were classified as either 'bioaccumulative' or 'very bioaccumulative' using BCF criteria established by guidelines of four governments. Contaminants appeared to be differentially bioaccumulative in biota, indicating there may be a need for a species specific BCF/BSAF classification system. These data form a detailed accounting of PPCP/EC fate and distribution in the aquatic environment highlighting accumulation at lower trophic levels, a potential source for higher organisms. (C) 2017 Elsevier Ltd. All rights reserved.</t>
  </si>
  <si>
    <t>10.1016/j.envpol.2017.11.090</t>
  </si>
  <si>
    <t>Renau, MF; Salvador, X; Moles, J</t>
  </si>
  <si>
    <t>Molecular and morpho-anatomical assessment of the family Dorididae (Mollusca, Nudibranchia) in the Mediterranean and North-East Atlantic</t>
  </si>
  <si>
    <t>EUROPEAN JOURNAL OF TAXONOMY</t>
  </si>
  <si>
    <t>In the present study, a revision of the phylogeny and taxonomy of the family Dorididae is carried out focusing on the genus Doris Linnaeus, 1758. The type species D. verrucosa Linnaeus, 1758 and a blueish and yellow morphotype of D. ocelligera collected in different localities in the Mediterranean Sea and the North-East Atlantic were sequenced, as well as D. bertheloti and the elusive D. marmorata for the first time. The genetic markers include the cytochrome c oxidase subunit I, 16S rRNA, and histone 3. The phylogenetic results suggest that the genus Doris is paraphyletic, and D. ocelligera morphotypes separate into two species, as confirmed with species delimitation tests. To complement the phylogenetic evidence with morphoanatomical data, the dissection of two specimens of each morphotype is conducted. Significant differences in morphological traits such as body shape, colouration patterns, and mantle tubercles come to light, together with anatomical differences in the relative shape and size of the radular teeth and reproductive structures. Considering the modern and old descriptions of D. ocelligera, it is finally concluded that the blueish morphotype belongs to D. ocelligera. In contrast, the yellow morphotype responds to the actual synonym Aldisa berghi (Vayssi &amp; egrave;re, 1901), which is resurrected here as Doris berghi comb. rest. Considering the broad phylogeny of the family, some systematic notes at the genus level are here provided.</t>
  </si>
  <si>
    <t>10.5852/ejt.2024.943.2585</t>
  </si>
  <si>
    <t>Akand, SK; Rahman, A; Masood, M; Tabrez, S; Saleem, M; Ahmed, MZ; Akhter, Y; Haque, MM; Rub, A</t>
  </si>
  <si>
    <t>hsa-miR-330-5p regulates serine palmitoyltransferase long chain base subunit 1 and augments host protective immune response against Leishmania donovani infection</t>
  </si>
  <si>
    <t>ARCHIVES OF MICROBIOLOGY</t>
  </si>
  <si>
    <t>Leishmaniasis, caused by the protozoan parasites of the genus Leishmania, poses a significant global health challenge, particularly in the resource-limited regions where it causes high mortality. Regardless in the progress of treatment strategies, the emergence of drug resistance and limited efficacy requires the search of novel therapy and therapeutic targets. MicroRNAs, the crucial post-transcriptional regulators of gene expression, play critical roles in host-pathogen interactions. Here, we screened the miRNAs dysregulated during Leishmania donovani infection through literature search. hsa-miR-330-5p, one of the miRNAs which through human KEGG 2021 and Human Cyc 2016 analysis was found to be involved in multiple pathways including sphingolipid signaling pathway. Sphingolipids are important class of lipids involved in different cellular processes and therefore are the targets of many pathogens including Leishmania. hsa-miR-330-5p was found downregulated after 24 h of Leishmania donovani infection in THP-1 derived human macrophages. Target prediction of sphingolipid biosynthetic genes through in silico prediction tools showed 3/ UTR of serine palmitoyltransferase long chain base subunit 1 to be a target of hsa-miR-330-5p. The in silico target prediction of hsa-miR-330-5p was validated by cloning the 3/ UTR target sequence of gene, transfecting and performing luciferase assay in HEK 293 T cell line. Transfection of mimic of hsa-miR-330-5p reduced the luciferase activity which validated the in silico target prediction. Further, mimic of hsa-miR-330-5p inhibited the expression of the target gene, serine palmitoyltransferase long chain base subunit 1 and augmented the expression of pro-inflammatory cytokines in L. donovani infected THP-1 derived macrophages. Mimic of hsa-miR-330-5p also led to a significant reduction in the intracellular parasite burden in both THP-1 derived as well as primary human macrophages. This study has not only identified the sphingolipid biosynthesis regulatory miRNA but will also help in the development of novel and effective treatment strategy against leishmaniasis in future.</t>
  </si>
  <si>
    <t>10.1007/s00203-025-04325-z</t>
  </si>
  <si>
    <t>Liao, YS; De Grave, S; Ho, TW; Ip, BHY; Tsang, LM; Chan, TY; Chu, KH</t>
  </si>
  <si>
    <t>Molecular phylogeny of Pasiphaeidae (Crustacea, Decapoda, Caridea) reveals systematic incongruence of the current classification</t>
  </si>
  <si>
    <t>Caridean shrimps constitute one of the most diverse groups of decapod crustaceans, notwithstanding their poorly resolved infraordinal relationships. One of the systematically controversial families in Caridea is the predominantly pelagic Pasiphaeidae, comprises 101 species in seven genera. Pasiphaeidae species exhibit high morphological disparity, as well as ecological niche width, inhabiting shallow to very deep waters ( &gt; 4000 m). The present work presents the first molecular phylogeny of the family, based on a combined dataset of six mitochondrial and nuclear gene markers (12 S rDNA, 16 S rDNA, histone 3, sodium-potassium ATPase alpha-subunit, enolase and ATP synthase beta-subunit) from 33 species belonged to six genera of Pasiphaeidae with 19 species from 12 other caridean families as outgroup taxa. Maximum likelihood and Bayesian inference analyses conducted on the concatenated dataset of 2265 bp suggest the family Pasiphaeidae is not monophyletic, with Psathyrocaris more closely related to other carideans than to the other five pasiphaeid genera included in this analysis. Leptochela occupies a sister position to the remaining genera and is genetically quite distant from them. At the generic level, the analysis supports the monophyly of Pasiphaea, Leptochela and Psathyrocaris, while Eupasiphae is shown to be paraphyletic, closely related to Parapasiphae and Glyphus. The present molecular result strongly implies that certain morphological characters used in the present systematic delineation within Pasiphaeidae may not be synapomorphies and the classification within the family needs to be urgently revised.</t>
  </si>
  <si>
    <t>10.1016/j.ympev.2017.07.021</t>
  </si>
  <si>
    <t>Marzougui, Z; Le Hegarat, L; Hogeveen, K; Huet, S; Kharrat, R; Marrouchi, R; Fessard, V</t>
  </si>
  <si>
    <t>An Evaluation of the Cytotoxic and Genotoxic Effects of the Marine Toxin C17-SAMT in Human TK6 and HepaRG Cell Lines</t>
  </si>
  <si>
    <t>This study investigates the genotoxicity and cytotoxicity of C17-sphinganine analog mycotoxin (C17-SAMT) using in vitro assays. C17-SAMT was previously identified as the cause of unusual toxicity in cultured mussels from the Bizerte Lagoon in northern Tunisia. While a previous in vivo genotoxicity study was inconclusive, in vitro results demonstrated that C17-SAMT induced an increase in micronucleus formation in human lymphoblastoid TK6 cells at concentrations of 0.87 mu M and 1.74 mu M. In addition, multiparametric cytotoxicity assays were performed in the human hepatoma HepaRG cell line, which showed that C17-SAMT induced mitochondrial dysfunction, decreased cellular ATP levels, and altered the expression of various proteins, including superoxide dismutase SOD2, heme oxygenase HO-1, and NF-kappa B. These results suggest that C17-SAMT is mutagenic in vitro and can induce mitochondrial dysfunction in HepaRG cells. However, the exact mode of action of this toxin requires further investigation. Overall, this study highlights the potential toxicity of C17-SAMT and the need for further research to better understand its effects.</t>
  </si>
  <si>
    <t>APR 25</t>
  </si>
  <si>
    <t>10.3390/ijms24097805</t>
  </si>
  <si>
    <t>Moroz, LL; Kocot, KM; Citarella, MR; Dosung, S; Norekian, TP; Povolotskaya, IS; Grigorenko, AP; Dailey, C; Berezikov, E; Buckley, KM; Ptitsyn, A; Reshetov, D; Mukherjee, K; Moroz, TP; Bobkova, Y; Yu, FH; Kapitonov, VV; Jurka, J; Bobkov, YV; Swore, JJ; Girardo, DO; Fodor, A; Gusev, F; Sanford, R; Bruders, R; Kittler, E; Mills, CE; Rast, JP; Derelle, R; Solovyev, VV; Kondrashov, FA; Swalla, BJ; Sweedler, JV; Rogaev, EI; Halanych, KM; Kohn, AB</t>
  </si>
  <si>
    <t>The ctenophore genome and the evolutionary origins of neural systems</t>
  </si>
  <si>
    <t>The origins of neural systems remain unresolved. In contrast to other basal metazoans, ctenophores (comb jellies) have both complex nervous and mesoderm-derived muscular systems. These holoplanktonic predators also have sophisticated ciliated locomotion, behaviour and distinct development. Here we present the draft genome of Pleurobrachia bachei, Pacific sea gooseberry, together with ten other ctenophore transcriptomes, and show that they are remarkably distinct from other animal genomes in their content of neurogenic, immune and developmental genes. Our integrative analyses place Ctenophora as the earliest lineage within Metazoa. This hypothesis is supported by comparative analysis of multiple gene families, including the apparent absence of HOX genes, canonical microRNA machinery, and reduced immune complement in ctenophores. Although two distinct nervous systems are well recognized in ctenophores, many bilaterian neuron-specific genes and genes of 'classical' neurotransmitter pathways either are absent or, if present, are not expressed in neurons. Our metabolomic and physiological data are consistent with the hypothesis that ctenophore neural systems, and possibly muscle specification, evolved independently from those in other animals.</t>
  </si>
  <si>
    <t>JUN 5</t>
  </si>
  <si>
    <t>10.1038/nature13400</t>
  </si>
  <si>
    <t>Obado, SO; Glover, L; Deitsch, KW</t>
  </si>
  <si>
    <t>The nuclear envelope and gene organization in parasitic protozoa: Specializations associated with disease</t>
  </si>
  <si>
    <t>MOLECULAR AND BIOCHEMICAL PARASITOLOGY</t>
  </si>
  <si>
    <t>The parasitic protozoa Trypanosome brucei and Plasmodium falciparum are lethal human parasites that have developed elegant strategies of immune evasion by antigenic variation. Despite the vast evolutionary distance between the two taxa, both parasites employ strict monoallelic expression of their membrane proteins, variant surface glycoproteins in Trypanosomes and the var, rif and stevor genes in Plasmodium, in order to evade their host's immune system. Additionally, both telomeric location and epigenetic controls are prominent features of these membrane proteins. As such, telomeres, chromatin structure and nuclear organization all contribute to control of gene expression and immune evasion. Here, we discuss the importance of epigenetics and sub-nuclear context for the survival of these disease-causing parasites. (C) 2016 Elsevier B.V. All rights reserved.</t>
  </si>
  <si>
    <t>SEP-OCT</t>
  </si>
  <si>
    <t>10.1016/j.molbiopara.2016.07.008</t>
  </si>
  <si>
    <t>He, PA; Nie, ZM; Chen, JQ; Chen, J; Lv, ZB; Sheng, Q; Zhou, SP; Gao, XL; Kong, LY; Wu, XF; Jin, YF; Zhang, YZ</t>
  </si>
  <si>
    <t>Identification and characteristics of microRNAs from Bombyx mori</t>
  </si>
  <si>
    <t>Background: MicroRNAs (miRNAs) are small RNA molecules that regulate gene expression by targeting messenger RNAs (mRNAs) and causing mRNA cleavage or translation blockage. Of the 355 Arthropod miRNAs that have been identified, only 21 are B. mori miRNAs that were predicted computationally; of these, only let-7 has been confirmed by Northern blotting. Results: Combining a computational method based on sequence homology searches with experimental identification based on microarray assays and Northern blotting, we identified 46 miRNAs, an additional 21 plausible miRNAs, and a novel small RNA in B. mori. The latter, bmo-miR-100-like, was identified using the known miRNA aga-miR-100 as a probe; bmo-miR-100-like was detected by microarray assay and Northern blotting, but its precursor sequences did not fold into a hairpin structure. Among these identified miRNAs, we found 12 pairs of miRNAs and miRNA*s. Northern blotting revealed that some B. mori miRNA genes were expressed only during specific stages, indicating that B. mori miRNA genes (e.g., bmo-miR-277) have developmentally regulated patterns of expression. We identified two miRNA gene clusters in the B. mori genome. bmo-miR-2b, which is found in the gene cluster bmo-miR-2a-1/bmo-miR-2a-1*/bmo-miR-2a-2/bmo-miR-2b/bmo-miR-13a*/bmo-miR-13b, encodes a newly identified member of the mir-2 family. Moreover, we found that methylation can increase the sensitivity of a DNA probe used to detect a miRNA by Northern blotting. Functional analysis revealed that 11 miRNAs may regulate 13 B. mori orthologs of the 25 known Drosophila miRNA-targeted genes according to the functional conservation. We predicted the binding sites on the 1671 3'UTR of B. mori genes; 547 targeted genes, including 986 target sites, were predicted. Of these target sites, 338 had perfect base pairing to the seed region of 43 miRNAs. From the predicted genes, 61 genes, each of them with multiple predicted target sites, should be considered excellent candidates for future functional studies. Biological classification of predicted miRNA targets showed that binding, catalytic activity and physiological process were over-represented for the predicted genes. Conclusion: Combining computational predictions with microarray assays, we identified 46 B. mori miRNAs, 13 of which were miRNA*s. We identified a novel small RNA and 21 plausible B. mori miRNAs that could not be located in the available B. mori genome, but which could be detected by microarray. Thirteen and 547 target genes were predicted according to the functional conservation and binding sites, respectively. Identification of miRNAs in B. mori, particularly those that are developmentally regulated, provides a foundation for subsequent functional studies.</t>
  </si>
  <si>
    <t>MAY 28</t>
  </si>
  <si>
    <t>10.1186/1471-2164-9-248</t>
  </si>
  <si>
    <t>Chaban, EM; Schepetov, DM; Ekimova, IA; Nekhaev, IO; Chernyshev, A</t>
  </si>
  <si>
    <t>The first record of the family Parvaplustridae (Gastropoda, Heterobranchia) from hydrothermal vent fields of the Piip Volcano, Bering Sea with the description of a new species of the genus Parvaplustrum</t>
  </si>
  <si>
    <t>A new species, Parvaplustrum wareni sp. nov. (Parvaplustridae), collected in the area of the submarine Piip Volcano, the northwestern Bering Sea, at depths of 400-472 m, has been described on materials obtained during the research cruises #75 and #82 aboard the R/V Akademik M.A. Lavrentiev. This is the first record of the family in the Bering Sea. Parvaplustrum wareni sp. nov. is found around hydrothermal vents, where it forms aggregations with population densities of up to 6000-31 000 ind./m(2). Parvaplustrum wareni sp. nov. differs from the other species of the genus by its globose shell, jaw morphology, and by the absence of spiral sculpture on the body whorl. In addition to the morphology, molecular data on mitochondrial (cytochrome c oxidase subunit I and 16S rRNA) and nuclear (histone H3 and 285 rRNA) markers were used. We assume that P. wareni sp. nov. feeds on bacterial mats, scooping them up with its petaliform radular teeth. The presence of bacteria-like filaments on gill lamellae suggests the possibility of an epibiotic association which needs further study. In addition to the Bering Sea, the range of this new species covers also the Hydrate Ridge, off Oregon (northeastern Pacific), where specimens were previously identified as P. cadieni.</t>
  </si>
  <si>
    <t>10.1016/j.dsr2.2022.105135</t>
  </si>
  <si>
    <t>Kajihara, H; Kakui, K; Yamasaki, H; Hiruta, SF</t>
  </si>
  <si>
    <t>Tubulanus tamias sp nov (Nemertea: Palaeonemertea) with Two Different Types of Epidermal Eyes</t>
  </si>
  <si>
    <t>Based on specimens collected subtidally (similar to 10 m in depth) in Tomioka Bay, Japan, we describe the palaeonemertean Tubulanus tamias sp. nov., which differs from all its congeners in body coloration. In molecular phylogenetic analyses based on partial sequences of the nuclear 18S and 28S rRNA genes and histone H3, as well as the mitochondrial 16S rRNA and cytochrome c oxidase subunit I genes, among selected palaeonemerteans, T. tamias nested with part of the congeners in Tubulanus, while the genus as currently diagnosed appears to be non-monophyletic. Molecular cloning detected polymorphism in 28S rDNA sequences in a single individual of T. tamias, indicating incomplete concerted evolution of multiple copies. Tubulanus tamias is peculiar among tubulanids in having 9-10 pigment-cup eyes in the epidermis on either side of the head anterior to the cerebral sensory organs, and remarkably there are two types of eyes. The anterior 8-9 pairs of eyes, becoming larger from anterior to posterior, are completely embedded in the epidermis and proximally abutting the basement membrane; each pigment cup contains bundle of up to seven, rod-shaped structure that resemble a rhabdomeric photoreceptor cell. In contrast, the posterior-most pair of eyes, larger than most of the anterior ones, have an optical cavity filled with long cilia and opening to the exterior, thus appearing to have ciliary-type photoreceptor cells. The size and arrangement of the eyes indicate that the posterior-most pair of eyes are the remnant of the larval (or juvenile) eyes.</t>
  </si>
  <si>
    <t>10.2108/zs140250</t>
  </si>
  <si>
    <t>Beaulieu, L; Bondu, S; Doiron, K; Rioux, LE; Turgeon, SL</t>
  </si>
  <si>
    <t>Characterization of antibacterial activity from protein hydrolysates of the macroalga Saccharina longicruris and identification of peptides implied in bioactivity</t>
  </si>
  <si>
    <t>JOURNAL OF FUNCTIONAL FOODS</t>
  </si>
  <si>
    <t>The macroalga Saccharina longicruris proteins were extracted and hydrolysed with the enzyme trypsin in order to recover antibacterial peptides, which could be used in reducing food spoilage. The &gt;10 kDa protein hydrolysate fraction exhibited activity against the bacterium Staphylococcus aureus with a significant decrease of the maximum specific growth rate, mu(max), from concentrations of 0.31 mg/mL to 2.5 mg/mL. Protein precursors were identified in a subtraction (Fr1) enriched in antibacterial peptides using liquid chromatography tandem mass spectrometry (LC-MS/MS) with database searches. Identified peptides came from different precursors such as a protein similar to ubiquitin, histones, a hypothetical leucine rich repeat protein and a ribosomal protein. These proteins might be associated with the innate immune defences in S. longicruris. Peptidic sequences were chemically synthesized and their bioactivity confirmed, suggesting that activity probably results from synergies between peptides. This is the first time that antibacterial peptides originating from algal protein hydrolysates were isolated and characterized. (C) 2015 Elsevier Ltd. All rights reserved.</t>
  </si>
  <si>
    <t>10.1016/j.jff.2015.06.026</t>
  </si>
  <si>
    <t>Barbato, C; Pezzola, S; Caggiano, C; Antonelli, M; Frisone, P; Ciotti, MT; Ruberti, F</t>
  </si>
  <si>
    <t>A lentiviral sponge for miR-101 regulates RanBP9 expression and amyloid precursor protein metabolism in hippocampal neurons</t>
  </si>
  <si>
    <t>FRONTIERS IN CELLULAR NEUROSCIENCE</t>
  </si>
  <si>
    <t>Neurodegeneration associated with amyloid beta (A beta) peptide accumulation, synaptic loss, and memory impairment are pathophysiological features of Alzheimer's disease (AD). Numerous microRNAs regulate amyloid precursor protein (APP) expression and metabolism. We previously reported that miR-101 is a negative regulator of APP expression in cultured hippocampal neurons. In this study, a search for predicted APP metabolism-associated miR-101 targets led to the identification of a conserved miR-101 binding site within the 3' untranslated region (UTR) of the mRNA encoding Ran-binding protein 9 (RanBP9). RanBP9 increases APP processing by beta-amyloid converting enzyme 1 (BACE1), secretion of soluble APP beta (sAPP beta), and generation of A beta. MiR-101 significantly reduced reporter gene expression when co-transfected with a RanBP9 3'-UTR reporter construct, while site-directed mutagenesis of the predicted miR-101 target site eliminated the reporter response. To investigate the effect of stable inhibition of miR-101 both in vitro and in vivo, a microRNA sponge was developed to bind miR-101 and derepress its targets. Four tandem bulged miR-101 responsive elements (REs), located downstream of the enhanced green fluorescence protein (EGFP) open reading frame and driven by the synapsin promoter, were placed in a lentiviral vector to create the pLSyn-miR-101 sponge. Delivery of the sponge to primary hippocampal neurons significantly increased both APP and RanBP9 expression, as well as sAPP beta levels in the conditioned medium. Importantly, silencing of endogenous RanBP9 reduced sAPP beta levels in miR-101 sponge-containing hippocampal cultures, indicating that miR-101 inhibition may increase amyloidogenic processing of APP by RanBP9. Lastly, the impact of miR-101 on its targets was demonstrated in vivo by intrahippocampal injection of the pLSyn-miR-101 sponge into C57BL6 mice. This study thus provides the basis for studying the consequences of long-term miR-101 inhibition on the pathology of AD.</t>
  </si>
  <si>
    <t>FEB 13</t>
  </si>
  <si>
    <t>10.3389/fncel.2014.00037</t>
  </si>
  <si>
    <t>Latiolais, JM; Taylor, MS; Roy, K; Hellberg, ME</t>
  </si>
  <si>
    <t>A molecular phylogenetic analysis of strombid gastropod morphological diversity</t>
  </si>
  <si>
    <t>The shells of strombid gastropods show a wide variety of forms, ranging from small and fusiform to large and elaborately ornamented with a strongly flared outer lip. Here, we present the first species-level molecular phylogeny for strombids and use the resulting phylogenetic framework to explore relationships between species richness and morphological diversity. We use portions of one nuclear (325 bp of historic H3) and one mitochondrial (640 bp of cytochrome oxidase I, COI) gene to infer relationships within the two most species-rich genera in the Strombidae: Strombus and Lambis. We include 32 species of Strombus, representing 10 of 11 extant subgenera, and 3 of the 9 species of Lambis, representing 2 of 3 extant subgenera. Maximum likelihood and Bayesian analyses of COI and of H3 and COI combined suggest Lambis is nested within a paraphyletic Strombus. Eastern Pacific and western Atlantic species of Strombus form a relatively recent monophyletic radiation within an older, paraphyletic Indo-West Pacific grade. Morphological diversity of subclades scales positively with species richness but does not show evidence of strong phylogenetic constraints. (c) 2006 Elsevier Inc. All rights reserved.</t>
  </si>
  <si>
    <t>10.1016/j.ympev.2006.05.027</t>
  </si>
  <si>
    <t>Wu, L; Li, Y; Xu, XM; Zhu, X</t>
  </si>
  <si>
    <t>Circular RNA circ-PRKCI promotes cell proliferation and invasion by binding to microRNA-545 in gastric cancer</t>
  </si>
  <si>
    <t>EUROPEAN REVIEW FOR MEDICAL AND PHARMACOLOGICAL SCIENCES</t>
  </si>
  <si>
    <t>OBJECTIVE: The carcinogenic effects of circular RNA circ-PRKCI have been recognized in a variety of malignancies. However, the exact biological function of circ-PRKCI in gastric cancer has not been fully elucidated. Therefore, the aim of this study was to explore the expression of circ-PRKCI in gastric cancer (GC) and to investigate its potential regulation mechanism in the pathogenesis and progression of GC. PATIENTS AND METHODS: The expression of circ-PRKCI in 50 GC tissues and cell lines was detected by quantitative Real Time-Polymerase Chain Reaction (qRT-PCR). Statistical methods were used to analyze the relation between circ-PRKCI expression and overall survival rate of patients. The effect of circ-PRKCI on GC cell proliferation was examined by cell counting kit-8 (CCK-8) and cell colony formation assays. Meanwhile, the effect of circ-PRKCI on the invasion ability of GC cells was determined by transwell invasion assay. Flow cytometry was used to detect the apoptosis of GC cells. Bioinformatics was used to search for miRNAs that might have direct effects with circ-PRK-CI. In addition, the binding of circ-PRKCI to microRNA-545 was validated using Dual-Luciferase reporter gene assay. RESULTS: Circ-PRKCI was significantly highly expressed in GC tissues, as well as cell lines. High expression of circ-PRKCI was positively associated with a poor prognosis of GC patients. Overexpression of circ-PRKCI significantly promoted the proliferation and invasion of GC cells, whereas reduced the proportion of apoptotic GC cells. Subsequent Dual-Luciferase reporter gene assay revealed that circ-PRKCI could bind to microRNA-545 and inhibit its expression in GC cells. These results indicated that circ-PRKCI might promote the development of GC by adsorbing microRNA-545 in a sponge manner. CONCLUSIONS: Circ-PRKCI can be used as a potential prognostic indicator of GC, providing a new perspective for the potential bio-molecular mechanism in GC.</t>
  </si>
  <si>
    <t>10.26355/eurrev_201911_19435</t>
  </si>
  <si>
    <t>Sanders, MT; Merle, D; Laurin, M; Bonillo, C; Puillandre, N</t>
  </si>
  <si>
    <t>Raising names from the dead: A time-calibrated phylogeny of frog shells (Bursidae, Tonnoidea, Gastropoda) using mitogenomic data</t>
  </si>
  <si>
    <t>With 59 Recent species, Bursidae, known as frog shells, are a small but widely distributed group of tropical and subtropical gastropods that are most diverse in the Indo-West Pacific. The present study is aimed at reconstructing phylogenetic relationships of bursid gastropods based on extensive and representative taxon sampling. Five genetic markers (cytochrome c oxidase subunit I (cox1), 16 s and 12 s rRNA mitochondrial genes, 28 s rRNA and Histone H3 nuclear gene) were sequenced for over 30 species in every known genus but Crossata. Furthermore, we sequenced the complete mt-genome of 9 species (10 specimens) (Aspa marginata, Marsupina bufo, Korrigania quirihorai, Korrigania fijiensis, Tutufa rubeta, Bursa lamarckii, Lampasopsis rhodostoma (twice), Bufonaria perelegans and Bursa aff. tuberosissima). Our analysis recovered Bursidae as a monophyletic group, whereas the genus Bursa was found to be polyphyletic. The genera Talisman and Dulcerana are resurrected and the genera Alanbeuella gen. nov. and Korrigania gen. nov. are described. Dating analysis using 21 extinct taxa for node and simplified tip calibrations was performed, showing a diversification of the group in two phases. Diversification may be linked to tectonic events leading to biodiversity relocation from the western Tethys toward the Indo-Pacific.</t>
  </si>
  <si>
    <t>10.1016/j.ympev.2020.107040</t>
  </si>
  <si>
    <t>Arcanjo, C; Trémolet, G; Giusti-Petrucciani, N; Duflot, A; Forget-Leray, J; Boulangé-Lecomte, C</t>
  </si>
  <si>
    <t>Susceptibility of the Non-Targeted Crustacean Eurytemora affinis to the Endocrine Disruptor Tebufenozide: A Transcriptomic Approach</t>
  </si>
  <si>
    <t>Copepods are zooplanktonic crustaceans ubiquitously widespread in aquatic systems. Although they are not the target, copepods are exposed to a wide variety of pollutants such as insect growth regulators (IGRs). The aim of this study was to investigate the molecular response of a non-targeted organism, the copepod Eurytemora affinis, to an IGR. Adult males and females were exposed to two sub-lethal concentrations of tebufenozide (TEB). Our results indicate a sex-specific response with a higher sensitivity in males, potentially due to a differential activation of stress response pathways. In both sexes, exposure to TEB triggered similar pathways to those found in targeted species by modulating the transcription of early and late ecdysone responsive genes. Among them were genes involved in cuticle metabolism, muscle contraction, neurotransmission, and gametogenesis, whose mis-regulation could lead to moult, locomotor, and reproductive impairments. Furthermore, genes involved in epigenetic processes were found in both sexes, which highlights the potential impact of exposure to TEB on future generations. This work allows identification of (i) potential biomarkers of ecdysone agonists and (ii) further assessment of putative physiological responses to characterize the effects of TEB at higher biological levels. The present study reinforces the suitability of using E. affinis as an ecotoxicological model.</t>
  </si>
  <si>
    <t>10.3390/genes12101484</t>
  </si>
  <si>
    <t>Piel, D; Bruto, M; Labreuche, Y; Blanquart, F; Goudenège, D; Barcia-Cruz, R; Chenivesse, S; Le Panse, S; James, A; Dubert, J; Petton, B; Lieberman, E; Wegner, KM; Hussain, FA; Kauffman, KM; Polz, MF; Bikard, D; Gandon, S; Rocha, EPC; Le Roux, F</t>
  </si>
  <si>
    <t>Phage-host coevolution in natural populations</t>
  </si>
  <si>
    <t>NATURE MICROBIOLOGY</t>
  </si>
  <si>
    <t>Coevolution between bacteriophages (phages) and their bacterial hosts occurs through changes in resistance and counter-resistance mechanisms. To assess phage-host evolution in wild populations, we isolated 195 Vibrio crassostreae strains and 243 vibriophages during a 5-month time series from an oyster farm and combined these isolates with existing V. crassostreae and phage isolates. Cross-infection studies of 81,926 host-phage pairs delineated a modular network where phages are best at infecting co-occurring hosts, indicating local adaptation. Successful propagation of phage is restricted by the ability to adsorb to closely related bacteria and further constrained by strain-specific defence systems. These defences are highly diverse and predominantly located on mobile genetic elements, and multiple defences are active within a single genome. We further show that epigenetic and genomic modifications enable phage to adapt to bacterial defences and alter host range. Our findings reveal that the evolution of bacterial defences and phage counter-defences is underpinned by frequent genetic exchanges with, and between, mobile genetic elements. Analysis of a large set of marine vibrios and their phages identifies mechanisms of phage-host coevolution.</t>
  </si>
  <si>
    <t>10.1038/s41564-022-01157-1</t>
  </si>
  <si>
    <t>Munday, PL; Donelson, JM; Domingos, JA</t>
  </si>
  <si>
    <t>Potential for adaptation to climate change in a coral reef fish</t>
  </si>
  <si>
    <t>Predicting the impacts of climate change requires knowledge of the potential to adapt to rising temperatures, which is unknown for most species. Adaptive potential may be especially important in tropical species that have narrow thermal ranges and live close to their thermal optimum. We used the animal model to estimate heritability, genotype by environment interactions and nongenetic maternal components of phenotypic variation in fitness-related traits in the coral reef damselfish, Acanthochromis polyacanthus. Offspring of wild-caught breeding pairs were reared for two generations at current-day and two elevated temperature treatments (+1.5 and +3.0 degrees C) consistent with climate change projections. Length, weight, body condition and metabolic traits (resting and maximum metabolic rate and net aerobic scope) were measured at four stages of juvenile development. Additive genetic variation was low for length and weight at 0 and 15 days posthatching (dph), but increased significantly at 30 dph. By contrast, nongenetic maternal effects on length, weight and body condition were high at 0 and 15 dph and became weaker at 30 dph. Metabolic traits, including net aerobic scope, exhibited high heritability at 90 dph. Furthermore, significant genotype x environment interactions indicated potential for adaptation of maximum metabolic rate and net aerobic scope at higher temperatures. Net aerobic scope was negatively correlated with weight, indicating that any adaptation of metabolic traits at higher temperatures could be accompanied by a reduction in body size. Finally, estimated breeding values for metabolic traits in F2 offspring were significantly affected by the parental rearing environment. Breeding values at higher temperatures were highest for transgenerationally acclimated fish, suggesting a possible role for epigenetic mechanisms in adaptive responses of metabolic traits. These results indicate a high potential for adaptation of aerobic scope to higher temperatures, which could enable reef fish populations to maintain their performance as ocean temperatures rise.</t>
  </si>
  <si>
    <t>10.1111/gcb.13419</t>
  </si>
  <si>
    <t>Huang, JK; Wan, HF; Jiang, J; Huang, YC; Zou, PF; Zhang, ZP; Jia, XW; Wang, YL</t>
  </si>
  <si>
    <t>miR-34 negatively regulates the expression of Dmrt and related genes in the testis of mud crab Scylla paramamosain</t>
  </si>
  <si>
    <t>The mud crab (Scylla paramamosain) is a commercially significant marine decapod crustacean. Due to its obvious sexual dimorphism, the mechanism of sex differentiation and gonadal development has attracted significant research interest. The Dmrt (double-sex and mab-3 related transcription factor) genes are vital in animal gonadal development and sex differentiation. In the present study, miR-34 was predicted to target the 3 ' end of Dmrt-1, idmrt-2, Dmrt-3, Dsx and Dmrt-like genes by prediction software, and the interactions between miR-34 and these Dmrt genes were validated by in vivo and in vitro experiments. Dual luciferase assay results indicated that miR-34 mimics/inhibitors co-transfected with plasmid vectors with 3 ' end of Dmrt-1, idmrt-2, Dmrt-3, Dsx and Dmrt-like, respectively, led to a significant decrease/increase of fluorescence activity in HEK293T cells. In vivo experiments showed that injection of agomir-34 significantly inhibited Dmrt-1, idmrt-2, Dsx and Dmrt-like expression, while injection of antagomir-34 caused the opposite result. However, Dmrt-3 expression was not affected by injection of miR-34 reagents. Meanwhile, the expression of spermatogenesis and testicular development-related molecular marker genes (IAG, foxl2 and vasa) in mud crabs was significantly changed after injecting the miR-34 reagent in vivo. Furthermore, the result of immunoblotting proved that the expression level of Dmrt-like protein can be regulated by miR-34. These results imply that miR-34 is indirectly involved in sex differentiation and testicular development of S. paramamosain by regulating Dmrt-1, idmrt-2, Dsx and Dmrt-like genes.</t>
  </si>
  <si>
    <t>10.1016/j.cbpb.2024.111018</t>
  </si>
  <si>
    <t>Simoben, CV; Qaseem, A; Moumbock, AFA; Telukunta, KK; Gunther, S; Sippl, W; Ntie-Kang, F</t>
  </si>
  <si>
    <t>Pharmacoinformatic Investigation of Medicinal Plants from East Africa</t>
  </si>
  <si>
    <t>MOLECULAR INFORMATICS</t>
  </si>
  <si>
    <t>Medicinal plants have widely been used in the traditional treatment of ailments and have been proven effective. Their contribution still holds an important place in modern drug discovery due to their chemical, and biological diversities. However, the poor documentation of traditional medicine, in developing African countries for instance, can lead to the loss of knowledge related to such practices. In this study, we present the Eastern Africa Natural Products Database (EANPDB) containing the structural and bioactivity information of 1870 unique molecules isolated from about 300 source species from the Eastern African region. This represents the largest collection of natural products (NPs) from this geographical region, covering literature data of the period from 1962 to 2019. The computed physicochemical properties and toxicity profiles of each compound have been included. A comparative analysis of some physico-chemical properties like molecular weight, H-bond donor/acceptor, logP(o/w), etc. as well scaffold diversity analysis has been carried out with other published NP databases. EANPDB was combined with the previously published Northern African Natural Products Database (NANPDB), to form a merger African Natural Products Database (ANPDB), containing similar to 6500 unique molecules isolated from about 1000 source species (freely available at http://african-compounds.org). As a case study, latrunculins A and B isolated from the spongeNegombata magnifica(Podospongiidae) with previously reported antitumour activities, were identified via substructure searching as molecules to be explored as putative binders of histone deacetylases (HDACs).</t>
  </si>
  <si>
    <t>10.1002/minf.202000163</t>
  </si>
  <si>
    <t>Ek, P; Malm, J; Lilja, H; Carlsson, L; Ronquist, G</t>
  </si>
  <si>
    <t>Exogenous protein kinases A and C, but not endogenous prostasome-associated protein kinase, phosphorylate semenogelins I and II from human semen</t>
  </si>
  <si>
    <t>JOURNAL OF ANDROLOGY</t>
  </si>
  <si>
    <t>Semenogelins I and II are the quantitatively dominating proteins in human semen. They comprise the major part of the sperm-entrapping gel formed at ejaculation, which subsequently liquefies due to proteolysis of the gel-forming proteins by prostate-specific antigen (PSA). The mechanism behind gel formation and its physiological significance is not known. We have studied phosphorylation and dephosphorylation of human semenogelins. Both were phosphorylated by protein kinases A and C (PKA and PKC, respectively) at a rate about 5 times less than that of histone. For PKA, incorporated ( P)phosphate into semenogelin approached a maximum above 1 mol/mol. Corresponding values for phosphorylation of the semenogelins with PKC were greater than 10. There was no change in the sensitivity of phosphosemenogelins to proteolysis by PSA. Serine (PKA) and serine and threonine (PKC) were the phosphate-accepting amino acid residues, and all incorporated (P-32)phosphate could be removed from the semenogelins with human acid phosphatase. Nil or very little phosphate could be detected in purified semenogelins isolated from seminal plasma. In vivo, about half the protein kinase activity in seminal plasma was bound to prostasomes. PKA but not PKC purified from prostasomes could phosphorylate specific substrates, but they could phosphorylate either of the semenogelins.</t>
  </si>
  <si>
    <t>Xu, G; Zhang, HJ; Shi, YX; Yang, F</t>
  </si>
  <si>
    <t>Circular RNA circDOCK1 contributes to osteosarcoma progression by acting as a ceRNA for miR-936 to regulate LEF1</t>
  </si>
  <si>
    <t>JOURNAL OF BONE ONCOLOGY</t>
  </si>
  <si>
    <t>Background: Osteosarcoma (OS) is a serious bone malignancy that commonly occurred in humans. Recent research suggested that circular RNA (circRNA) Dedicator of cytokinesis 1 (circDOCK1, also called hsa_-circ_0020378) enrolled in the tumorigenesis of osteogenic sarcoma. This subject aimed to explore the precise role and mechanism of circDOCK1 on OS progression. Methods: CircDOCK1, microRNA-936 (miR-936), and Lymphoid enhancer binding factor 1 (LEF1) levels were detected using real-time quantitative polymerase chain reaction (RT-qPCR). Cell Counting Kit-8 (CCK-8), colony formation, 5-ethynyl-2'-deoxyuridine (EdU), transwell, wound healing, and tube formation assays were used to assess OS cell proliferation, migration, invasion, and angiogenesis. Western blot analysis of protein levels of proliferating cell nuclear antigen (PCNA), matrix metalloproteinase 2 (MMP2), MMP9, and LEF1. According to bioinformatics software (circular RNA Interactome and TargetScan) analysis, the binding between miR-936 and circDOCK1 or LEF1 was predicted, followed by verification by a dual-luciferase reporter and RNA Immuno-precipitation (RIP) assays. Results: Increased circDOCK1 and LEF1, and decreased miR-936 were found in OS tissues and cell lines. Furthermore, circDOCK1 silencing might suppress OS cell proliferation, migration, invasion, and angiogenesis in vitro. Bioinformatics analysis exhibited that circDOCK1 acted as a sponge for miR-936 and LEF1 was a down-stream target of miR-936. Moreover, circDOCK1 functions through modulation of the miR-936/LEF1 axis. Conclusion: CircDOCK1 knockdown might attenuate OS cell malignant biological behaviors by regulating the miR-936/GFRA1 axis, which may highlight the diagnostic and therapeutic potential of these molecules for OS treatment.</t>
  </si>
  <si>
    <t>10.1016/j.jbo.2022.100453</t>
  </si>
  <si>
    <t>Schulze, A; Cutler, EB; Giribet, G</t>
  </si>
  <si>
    <t>Reconstructing the phylogeny of the Sipuncula</t>
  </si>
  <si>
    <t>Sipunculans are marine spiralian worms with possible close affinities to the Mollusca or Annelida. Currently 147 species, 17 genera, 6 families, 4 orders and 2 classes are recognized. In this paper we review sipunculan morphology, anatomy, paleontological data and historical affiliations. We have conducted cladistic analyses for two data sets to elucidate the phylogenetic relationships among sipunculan species. We first analyzed the relationships among the 45 species of Phascolosomatidea with representatives of the Sipunculidea as outgroups, using 35 morphological characters. The resulting consensus tree has low resolution and branch support is low for most branches. The second analysis was based on DNA sequence data from two nuclear ribosomal genes (18S rRNA and 28S rRNA) and one nuclear protein-coding gene, histone H3. Outgroups were chosen among representative spiralians. In a third analysis, the molecular data were combined with the morphological data. Data were analyzed using parsimony as the optimality criterion and branch support evaluated with jackknifing and Bremer support values. Branch support for outgroup relationships is low but the monophyly of the Sipuncula is well supported. Within Sipuncula, the monophyly of the two major groups, Phascolosomatidea and Sipunculidea is not confirmed. Of the currently recognized families, only Themistidae appears monophyletic. The Aspidosiphonidae, Phascolosomatidae and Golfingiidae would be monophyletic with some adjustments in their definition. The Sipunculidae is clearly polyphyletic, with Sipunculus nudus as the sister group to the remaining Sipuncula, Siphonosoma cumanense the sister group to a clade containing Siphonosoma vasturn and the Phascolosomatidea, and Phascolopsis gouldi grouping within the Golfingliformes, as suggested previously by some authors. Of the genera with multiple representatives, only Phascolosoma and Themiste are monophyletic as currently defined. We are aiming to expand our current dataset with more species in our molecular database and more detailed morphological studies.</t>
  </si>
  <si>
    <t>MAR 1</t>
  </si>
  <si>
    <t>10.1007/s10750-004-4404-3</t>
  </si>
  <si>
    <t>Cavalier-Smith, T</t>
  </si>
  <si>
    <t>Origins of the machinery of recombination and sex</t>
  </si>
  <si>
    <t>Mutation plays the primary role in evolution that Weismann mistakenly attributed to sex. Homologous recombination, as in sex, is important for population genetics - shuffling of minor variants, but relatively insignificant for large-scale evolution. Major evolutionary innovations depend much more on illegitimate recombination, which makes novel genes by gene duplication and by gene chimaerisation essentially mutational forces. The machinery of recombination and sex evolved in two distinct bouts of quantum evolution separated by nearly 3 Gy of stasis; I discuss their nature and causes. The dominant selective force in the evolution of recombination and sex has been selection for replicational fidelity and viability; without the recombination machinery, accurate reproduction, stasis, resistance to radical deleterious evolutionary change and preservation of evolutionary innovations would be impossible. Recombination proteins betray in their phylogeny and domain structure a key role for gene duplication and chimaerisation in their own origin. They arose about 3.8 Gy ago to enable faithful replication and segregation of the first circular DNA genomes in precellular ancestors of Gram-negative eubacteria. Then they were recruited and modified by selfish genetic parasites (viruses; transposons) to help them spread from host to host. Bacteria differ fundamentally from eukaryotes in that gene transfer between cells, whether incidental to their absorptive feeding on DNA and virus infection or directly by plasmids, involves only genomic fragments. This was radically changed by the neomuran revolution about 850 million years ago when a posibacterium evolved into the thermophilic cenancestor of eukaryotes and archaebacteria (jointly called neomurans), radically modifying or substituting its DNA-handling enzymes (those responsible for transcription as well as for replication, repair and recombination) as a coadaptive consequence of the origin of core histones to stabilise its chromosome. Substitution of glycoprotein for peptidoglycan walls in the neomuran ancestor and the evolution of an endoskeleton and endomembrane system in eukaryotes alone required the origin of nuclei, mitosis and novel cell cycle controls and enabled them to evolve cell fusion and thereby the combination of whole genomes from different cells. Meiosis evolved because of resulting selection for periodic ploidy reduction, with incidental consequences for intrapopulation genetic exchange. Little modification was needed to recombination enzymes or to the ancient bacterial catalysts of homology search by spontaneous base pairing to mediate chromosome pairing. The key innovation was the origin of meiotic cohesins delaying centromere splitting to allow two successive divisions before reversion to vegetative growth and replication, necessarily yielding two-step meiosis. Also significant was the evolution of synaptonernal complexes to stabilise bivalents and of monopolins to orient sister centromeres to one spindle pole. The primary significance of sex was not to promote evolutionary change but to limit it by facilitating ploidy cycles to balance the conflicting selective forces acting on rapidly growing phagotrophic protozoa and starved dormant cysts subject to radiation and other damage.</t>
  </si>
  <si>
    <t>10.1038/sj.hdy.6800034</t>
  </si>
  <si>
    <t>Okano, D; Ishida, S; Ishiguro, S; Kobayashi, K</t>
  </si>
  <si>
    <t>Light and electron microscopic studies of the intestinal epithelium in Notoplana humilis (Platyhelminthes, Polycladida): the contribution of mesodermal/gastrodermal neoblasts to intestinal regeneration</t>
  </si>
  <si>
    <t>Some free-living flatworms in the phylum Platyhelminthes possess strong regenerative capability that depends on putative pluripotent stem cells known as neoblasts. These neoblasts are defined based on several criteria, including their proliferative capacity and the presence of cellular components known as chromatoid bodies. Polyclads, which are marine flatworms, have the potential to be a good model system for stem cell research, yet little information is available regarding neoblasts and regeneration. In this study, transmission electron microscopy and immunostaining analyses, using antibodies against phospho-histone H3 and BrdU, were used to identify two populations of neoblasts in the polyclad Notoplana humilis: mesodermal neoblasts (located in the mesenchymal space) and gastrodermal neoblasts (located within the intestine, where granular club cells and phagocytic cells are also located). Light and electron microscopic analyses also suggested that phagocytic cells and mesodermal/gastrodermal neoblasts, but not granular club cells, migrated into blastemas and remodeled the intestine during regeneration. Therefore, we suggest that, in polyclads, intestinal regeneration is accomplished by mechanisms underlying both morphallaxis (remodeling of pre-existing tissues) and epimorphosis (de novo tissue formation derived from mesodermal/gastrodermal neoblasts). Based on the assumption that gastrodermal neoblasts, which are derived from mesodermal neoblasts, are intestinal stem cells, we propose a model to study intestinal regeneration.</t>
  </si>
  <si>
    <t>10.1007/s00441-015-2221-9</t>
  </si>
  <si>
    <t>Argiros, H; Henson, L; Holguin, C; Foe, V; Shuster, CB</t>
  </si>
  <si>
    <t>Centralspindlin and chromosomal passenger complex behavior during normal and Rappaport furrow specification in echinoderm embryos</t>
  </si>
  <si>
    <t>CYTOSKELETON</t>
  </si>
  <si>
    <t>The chromosomal passenger (CPC) and Centralspindlin complexes are essential for organizing the anaphase central spindle and providing cues that position the cytokinetic furrow between daughter nuclei. However, echinoderm zygotes are also capable of forming Rappaport furrows between asters positioned back-to-back without intervening chromosomes. To understand how these complexes contribute to normal and Rappaport furrow formation, we studied the localization patterns of Survivin and mitotic-kinesin-like-protein1 (MKLP1), members respectively of the CPC and the Centralspindlin complex, and the effect of CPC inhibition on cleavage in mono- and binucleate echinoderm zygotes. In zygotes, Survivin initially localized to metaphase chromosomes, upon anaphase onset relocalized to the central spindle and then, together with MKLP1 spread towards the equatorial cortex in an Aurora-dependent manner. Inhibition of Aurora kinase activity resulted in disruption of central spindle organization and furrow regression, although astral microtubule elongation and furrow initiation were normal. In binucleate cells containing two parallel spindles MKLP1 and Survivin localized to the plane of the former metaphase plate, but were not observed in the secondary cleavage plane formed between unrelated spindle poles, except when chromosomes were abnormally present there. However, the secondary furrow was sensitive to Aurora inhibition, indicating that Aurora kinase may still contribute to furrow ingression without chromosomes nearby. Our results provide insights that reconcile classic micromanipulation studies with current molecular understanding of furrow specification in animal cells. (c) 2012 Wiley Periodicals, Inc</t>
  </si>
  <si>
    <t>10.1002/cm.21061</t>
  </si>
  <si>
    <t>Ancarola, ME; Marcilla, A; Herz, M; Macchiaroli, N; Pérez, M; Asurmendi, S; Brehm, K; Poncini, C; Rosenzvit, M; Cucher, M</t>
  </si>
  <si>
    <t>Cestode parasites release extracellular vesicles with microRNAs and immunodiagnostic protein cargo</t>
  </si>
  <si>
    <t>Intercellular communication is crucial in multiple aspects of cell biology. This interaction can be mediated by several mechanisms including extracellular vesicle (EV) transfer. EV secretion by parasites has been reported in protozoans, trematodes and nematodes. Here we report that this mechanism is present in three different species of cestodes, Taenia crassiceps, Mesocestoides cord and Echinococcus multilocularis. To confirm this we determined, in vitro, the presence of EVs in culture supernatants by transmission electron microscopy. Interestingly, while T. crassiceps and M. corti metacestodes secrete membranous structures into the culture media, similar vesicles were observed in the interface of the germinal and laminated layers of E. multilocularis metacestodes and were hardly detected in culture supernatants. We then determined the protein cargo in the EV-enriched secreted fractions of T. crassiceps and M. cord conditioned media by LC-MS/MS. Among the identified proteins, eukaryotic vesicle-enriched proteins were identified as expected, but also proteins used for cestode disease diagnosis, proteins related to neurotransmission, lipid binding proteins as well as host immunoglobulins and complement factors. Finally, we confirmed by capillary electrophoresis the presence of intravesicular RNA for both parasites and detected microRNAs by reverse transcription-PCR. This is the first report of EV secretion in cestode parasites and of an RNA secretion mechanism. These findings will provide valuable data not only for basic cestode biology but also for the rational search for new diagnostic targets. (C) 2017 Australian Society for Parasitology. Published by Elsevier Ltd. All rights reserved.</t>
  </si>
  <si>
    <t>10.1016/j.ijpara.2017.05.003</t>
  </si>
  <si>
    <t>Monaghan, MT; Balke, M; Pons, J; Vogler, AP</t>
  </si>
  <si>
    <t>Beyond barcodes: complex DNA taxonomy of a south pacific island radiation</t>
  </si>
  <si>
    <t>DNA barcodes can provide rapid species identification and aid species inventories in taxonomically unstudied groups. However, the approach may fail in recently diverged groups with complex gene histories, such as those typically found on oceanic islands. We produced a DNA-based inventory of taxonomically little known diving beetles (genus Copelatus) in the Fiji archipelago, where they are a dominant component of the aquatic invertebrate fauna. Sampling from 25 localities on five islands and analysis of sequences from one nuclear (328 bp histone 3) and three mitochondrial (492 bp rrnL, 786 bp cox1, 333 bp cob) gene regions revealed high haplotype diversity, mainly originated since the Pleistocene, and subdivided into three major phylogenetic lineages and 22 statistical parsimony networks. A traditional taxonomic study delineated 25 morphologically defined species that were largely incongruent with the DNA-based groups. Haplotype diversity and their spatial arrangement demonstrated a continuum of relatedness in Fijian Copelatus, with evidence for introgression at various hierarchical levels. The study illustrates the difficulties for formal classification in evolutionarily complex lineages, and the potentially misleading conclusions obtained from either DNA barcodes or morphological traits alone. However, the sequence profile of Fijian Copelatus provides an evolutionary framework for the group and a DNA-based reference system for the integration of ecological and other biodiversity data, independent of the Linnaean naming system.</t>
  </si>
  <si>
    <t>APR 7</t>
  </si>
  <si>
    <t>10.1098/rspb.2005.3391</t>
  </si>
  <si>
    <t>Moretti, NS; Cestari, I; Anupama, A; Stuart, K; Schenkman, S</t>
  </si>
  <si>
    <t>Comparative Proteomic Analysis of Lysine Acetylation in Trypanosomes</t>
  </si>
  <si>
    <t>JOURNAL OF PROTEOME RESEARCH</t>
  </si>
  <si>
    <t>Protein acetylation is a post-translational modification regulating diverse cellular processes. By using proteomic approaches, we identified N-terminal and epsilon-lysine acetylated proteins in Trypanosoma cruzi and Trypanosoma brucei, which are protozoan parasites that cause significant human and animal diseases. We detected 288 lysine acetylation sites in 210 proteins of procyclic form, an insect stage of T. brucei, and 380 acetylation sites in 285 proteins in the form of the parasite that replicates in mammalian bloodstream. In T. cruzi insect proliferative form we found 389 epsilon-lysine-acetylated sites in 235 proteins. Notably, we found distinct acetylation profiles according to the developmental stage and species, with only 44 common proteins between T. brucei stages and 18 in common between the two species. While K-ac proteins from T. cruzi are enriched in enzymes involved in oxidation/reduction balance, required for the parasite survival in the host, in T. brucei, most K-ac proteins are enriched in metabolic processes, essential for its adaptation in its hosts. We also identified in both parasites a quite variable N-terminal acetylation sites. Our results suggest that protein acetylation is involved in differential regulation of multiple cellular processes in Trypanosomes, contributing to our understanding of the essential mechanisms for parasite infection and survival.</t>
  </si>
  <si>
    <t>10.1021/acs.jproteome.7b00603</t>
  </si>
  <si>
    <t>Zhang, C</t>
  </si>
  <si>
    <t>Genome-wide in silico analysis for novel regulators of gametocyte development critical for transmission of Plasmodium falciparum</t>
  </si>
  <si>
    <t>TROPICAL BIOMEDICINE</t>
  </si>
  <si>
    <t>Malaria, caused by the unicellular Apicomplexan protozoa of the genus Plasmodium, is an infectious disease transmitted via female Anopheles mosquitoes. The sexual stage (gametocytes) of malaria parasites is the key to the transmission of parasites from vertebrate hosts to mosquitoes, representing critical bottleneck of the parasite life cycle. This study has established a systematic computational pipeline to achieve the genome-wide in silico analysis and find 708 novels potentially indispensable genes for gametocyte development, consisting of 644 protein coding genes, 56 ncRNA genes and 8 pseudogenes, with a total of 191 genes in the transmembrane, 29 protein coding genes to be exported proteins, and 58 genes in apicoplast regions. Furthermore, Gene Ontology analysis showed that the largest cluster was cellular processes with nucleus and cytosol highest, followed by molecular function with binding and oxidoreductase activities abundant. Meanwhile, when a text searched, using PlasmoDB, there were 300 genes with annotations of putative, and 196 genes with annotations of unknown function. These data would be helpful to provide potential targets for effective malaria transmission-blocking strategies.</t>
  </si>
  <si>
    <t>10.47665/tb.40.3.012</t>
  </si>
  <si>
    <t>Grishina, DY; Schepetov, DM; Antokhina, TI; Malaquias, MAE; Valdés, A; Ekimova, IA</t>
  </si>
  <si>
    <t>Panmixia and local endemism: a revision of the Eubranchus rupium species complex with a description of new species</t>
  </si>
  <si>
    <t>Species of the genus Eubranchus Forbes, 1838 (Mollusca: Gastropoda: Nudibranchia) are common faunistic elements of boreal benthic ecosystems, associated with hydroid communities. Recent studies have suggested that the widely distributed trans-Arctic E. rupium (M &amp; oslash;ller, 1842) constitutes a complex of at least three candidate species, but the detailed taxonomy of the complex remains unresolved. The purpose of the present paper is to conduct an integrative taxonomic study including molecular genetic methods (a phylogenetic analysis using COI, 16S rRNA and histone H3 with application of species delimitation methods) and morphological study (light and scanning electron microscopy) of E. rupium and closely related species. The specific aims of this study were to establish the species boundaries, morphological variability, and the phylogeographic structure within this group. The phylogeographic analysis included a TCS-based network analysis, an analysis of molecular variance (AMOVA), divergence time estimations, and ancestral area reconstructions. We demonstrate that specimens initially identified as E. rupium included three distinctive species: the nominal E. rupium with an amphiboreal range, the new species Eubranchus novik sp. nov. from the Sea of Japan, for which a taxonomic description is provided in this paper, and Eubranchus sp. from the northern Kuril Islands, which requires the collection and study of additional material for formal description. Our results confirm the amphiboreal distribution of E. rupium, as no geographic structure was found across Pacific, Arctic and Atlantic populations, and the results of the AMOVA analysis showed no differences between groups of samples from different geographic regions. The divergence of the 'Eubrancus rupium species complex' is estimated from the late Miocene or the Miocene-Pliocene boundary to the late Pliocene. It is hypothesised that the most probable ancestral region for the Eubranchus rupium species complex is the north-western Pacific, and the subsequent speciation likely occurred due to dispersal followed by allopatric speciation.</t>
  </si>
  <si>
    <t>10.1071/IS24032</t>
  </si>
  <si>
    <t>Matveevsky, S; Tropin, N; Kucheryavyy, A; Kolomiets, O</t>
  </si>
  <si>
    <t>The First Analysis of Synaptonemal Complexes in Jawless Vertebrates: Chromosome Synapsis and Transcription Reactivation at Meiotic Prophase I in the Lamprey Lampetra fluviatilis (Petromyzontiformes, Cyclostomata)</t>
  </si>
  <si>
    <t>LIFE-BASEL</t>
  </si>
  <si>
    <t>Transcription is known to be substage-specific in meiotic prophase I. If transcription is reactivated in the mid pachytene stage in mammals when synapsis is completed, then this process is observed in the zygotene stage in insects. The process of transcriptional reactivation has been studied in a small number of different taxa of invertebrates and vertebrates. Here, for the first time, we investigate synapsis and transcription in prophase I in the European river lamprey Lampetra fluviatilis (Petromyzontiformes, Cyclostomata), which is representative of jawless vertebrates that diverged from the main branch of vertebrates between 535 and 462 million years ago. We found that not all chromosomes complete synapsis in telomeric regions. Rounded structures were detected in chromatin and in some synaptonemal complexes, but their nature could not be determined conclusively. An analysis of RNA polymerase II distribution led to the conclusion that transcriptional reactivation in lamprey prophase I is not associated with the completion of chromosome synapsis. Monomethylated histone H3K4 is localized in meiotic chromatin throughout prophase I, and this pattern has not been previously detected in animals. Thus, the findings made it possible to identify synaptic and epigenetic patterns specific to this group and to expand knowledge about chromatin epigenetics in prophase I.</t>
  </si>
  <si>
    <t>10.3390/life13020501</t>
  </si>
  <si>
    <t>Zhai, ZZ; Jiang, P; Wang, DQ; Chen, T; Yin, JG; Zhu, G</t>
  </si>
  <si>
    <t>Type A asparagine synthetase in the zoonotic Cryptosporidium parvum (CpAsnA): Biochemical features and potential as a novel therapeutic target</t>
  </si>
  <si>
    <t>INTERNATIONAL JOURNAL FOR PARASITOLOGY-DRUGS AND DRUG RESISTANCE</t>
  </si>
  <si>
    <t>Cryptosporidium parvum is an intestinal protozoan parasite, the causative agent of the diarrheal cryptosporidiosis in humans and animals for which fully effective treatments are yet unavailable. The C. parvum genome encodes highly streamlined metabolic pathways, lacking enzymes to synthesize any amino acids de novo. However, it possesses a standalone type A asparagine synthetase (CpAsnA) that catalyzes the ammonia/ATP-dependent synthesis of asparagine from aspartate. Here, we expressed recombinant CpAsnA and characterized its enzyme functional parameters towards aspartate. We screened 5000 bioactive compounds using a thermal shift assay (TSA) and identified 31 hits showing high binding affinity to CpAsnA. Four of the 31 TSA hits exhibited lower micromolar activity against CpAsnA enzyme activity, including XD14, SB225002, histone acetyltransferase inhibitor II (HATi-II) and tolcapone. Among the four CpAsnA inhibitors, three displayed lower micromolar in vitro efficacy against the growth of C. parvum in vitro with satisfactory selectivity indices as primary antiparasitic hits. Our data suggest that CpAsnA merits further investigation as a potential drug target in the parasite.</t>
  </si>
  <si>
    <t>10.1016/j.ijpddr.2025.100601</t>
  </si>
  <si>
    <t>Martella, G; Gorokhova, E; Sousa, PFM; Tretyakova, NY; Sundelin, B; Motwani, HV</t>
  </si>
  <si>
    <t>DNA Adductomics for the Biological Effect Assessment of Contaminant Exposure in Marine Sediments</t>
  </si>
  <si>
    <t>Exposure to chemical pollution can induce genetic andepigeneticalterations, developmental changes, and reproductive disorders, leadingto population declines in polluted environments. These effects aretriggered by chemical modifications of DNA nucleobases (DNA adducts)and epigenetic dysregulation. However, linking DNA adducts to thepollution load in situ remains challenging, and thelack of evidence-based DNA adductome response to pollution hampersthe development and application of DNA adducts as biomarkers for environmentalhealth assessment. Here, we provide the first evidence for pollutioneffects on the DNA modifications in wild populations of Baltic sentinelspecies, the amphipod Monoporeia affinis. A workflow based on high-resolution mass spectrometry to screenand characterize genomic DNA modifications was developed, and itsapplicability was demonstrated by profiling DNA modifications in theamphipods collected in areas with varying pollution loads. Then, thecorrelations between adducts and the contaminants level (polycyclicaromatic hydrocarbons (PAHs), trace metals, and pollution indices)in the sediments at the collection sites were evaluated. A total of119 putative adducts were detected, and some (5-me-dC, N-6-me-dA, 8-oxo-dG, and dI) were structurally characterized. The DNAadductome profiles, including epigenetic modifications, differed betweenthe animals collected in areas with high and low contaminant levels.Furthermore, the correlations between the adducts and PAHs were similaracross the congeners, indicating possible additive effects. Also,high-mass adducts had significantly more positive correlations withPAHs than low-mass adducts. By contrast, correlations between theDNA adducts and trace metals were stronger and more variable thanfor PAHs, indicating metal-specific effects. These associations betweenDNA adducts and environmental contaminants provide a new venue forcharacterizing genome-wide exposure effects in wild populations andapply DNA modifications in the effect-based assessment of chemicalpollution. DNA adductome analysis identifiesexposure to environmentalcontaminants in a sentinel species in the Baltic Sea.</t>
  </si>
  <si>
    <t>10.1021/acs.est.3c00499</t>
  </si>
  <si>
    <t>Yang, ZH; Yang, XL; Du, JH; Wei, C; Liu, PP; Hu, JJ; Bao, ZM; Qu, Z</t>
  </si>
  <si>
    <t>Comparative Transcriptome Analysis of Hepatopancreas Reveals Sexual Dimorphic Response to Methyl Farnesoate Injection in Litopenaeus vannamei</t>
  </si>
  <si>
    <t>Sexually dimorphic traits such as growth and body size are often found in various crustaceans. Methyl farnesoate (MF), the main active form of sesquiterpenoid hormone in crustaceans, plays vital roles in the regulation of their molting and reproduction. However, understanding on the sex differences in their hormonal regulation is limited. Here, we carried out a comprehensive investigation on sexual dimorphic responses to MF in the hepatopancreas of the most dominant aquacultural crustacean-the white-leg shrimp (Litopenaeus vannamei). Through comparative transcriptomic analysis of the main MF target tissue (hepatopancreas) from both female and male L. vannamei, two sets of sex-specific and four sets of sex-dose-specific differentially expressed transcripts (DETs) were identified after different doses of MF injection. Functional analysis of DETs showed that the male-specific DETs were mainly related to sugar and lipid metabolism, of which multiple chitinases were significantly up-regulated. In contrast, the female-specific DETs were mainly related to miRNA processing and immune responses. Further co-expression network analysis revealed 8 sex-specific response modules and 55 key regulatory transcripts, of which several key transcripts of genes related to energy metabolism and immune responses were identified, such as arginine kinase, tropomyosin, elongation of very long chain fatty acids protein 6, thioredoxin reductase, cysteine dioxygenase, lysosomal acid lipase, estradiol 17-beta-dehydrogenase 8, and sodium/potassium-transporting ATPase subunit alpha. Altogether, our study demonstrates the sex differences in the hormonal regulatory networks of L. vannamei, providing new insights into the molecular basis of MF regulatory mechanisms and sex dimorphism in prawn aquaculture.</t>
  </si>
  <si>
    <t>10.3390/ijms25158152</t>
  </si>
  <si>
    <t>Moles, J; Wägele, H; Schrödl, M; Avila, C</t>
  </si>
  <si>
    <t>A new Antarctic heterobranch clade is sister to all other Cephalaspidea (Mollusca: Gastropoda)</t>
  </si>
  <si>
    <t>For a long time, Diaphanidae has been considered a basal family within Cephalaspidea, based on the presence of plesiomorphic morphological features within this taxon. Traditionally, the family contained the genera Bogasonia, Colobocephalus, Colpodaspis, Diaphana, Newnesia, Toledonia and Woodbridgea. Some phylogenetic analyses of several of these genera support the basal position of Diaphanidae within Cephalaspidea sensu stricto. However, the family is presently confirmed to be a polyphyletic taxon in which only the genus Diaphana is included. Several genera previously embraced within the family, such as the monotypic Newnesia, have never been previously analysed in molecular studies. Here, we provide an extensive morphological, anatomical and histological description of a new species of Newnesia from Antarctic deep waters (967-1227m depth) in the Drake Passage. We also discuss the similarities to the traditional Diaphanidae genera to try to shed light into this phylogenetic conundrum. We sequenced cytochrome c oxidase subunit I, 16S rRNA, 28S rRNA and histone H3 markers of Newnesia antarctica and Newnesia joani n. sp. We analysed a comprehensive dataset of sequenced genera to evaluate the placement of both Newnesia species within the cephalaspidean families. Maximum-likelihood and Bayesian phylograms support the monophyly of N.joani n. sp. and suggest cryptic speciation in N.antarctica specimens. Newnesia is recovered as the most basal offshoot of Cephalaspidea, suggesting the establishment of a new family restricted to Antarctic waters, named Newnesiidae n. fam., to hold both species. The possible Antarctic origin of Cephalaspidea is discussed.</t>
  </si>
  <si>
    <t>10.1111/zsc.12199</t>
  </si>
  <si>
    <t>Bayer, T; Aranda, M; Sunagawa, S; Yum, LK; DeSalvo, MK; Lindquist, E; Coffroth, MA; Voolstra, CR; Medina, M</t>
  </si>
  <si>
    <t>Symbiodinium Transcriptomes: Genome Insights into the Dinoflagellate Symbionts of Reef-Building Corals</t>
  </si>
  <si>
    <t>Dinoflagellates are unicellular algae that are ubiquitously abundant in aquatic environments. Species of the genus Symbiodinium form symbiotic relationships with reef-building corals and other marine invertebrates. Despite their ecologic importance, little is known about the genetics of dinoflagellates in general and Symbiodinium in particular. Here, we used 454 sequencing to generate transcriptome data from two Symbiodinium species from different clades (clade A and clade B). With more than 56,000 assembled sequences per species, these data represent the largest transcriptomic resource for dinoflagellates to date. Our results corroborate previous observations that dinoflagellates possess the complete nucleosome machinery. We found a complete set of core histones as well as several H3 variants and H2A.Z in one species. Furthermore, transcriptome analysis points toward a low number of transcription factors in Symbiodinium spp. that also differ in the distribution of DNA-binding domains relative to other eukaryotes. In particular the cold shock domain was predominant among transcription factors. Additionally, we found a high number of antioxidative genes in comparison to non-symbiotic but evolutionary related organisms. These findings might be of relevance in the context of the role that Symbiodinium spp. play as coral symbionts. Our data represent the most comprehensive dinoflagellate EST data set to date. This study provides a comprehensive resource to further analyze the genetic makeup, metabolic capacities, and gene repertoire of Symbiodinium and dinoflagellates. Overall, our findings indicate that Symbiodinium possesses some unique characteristics, in particular the transcriptional regulation in Symbiodinium may differ from the currently known mechanisms of eukaryotic gene regulation.</t>
  </si>
  <si>
    <t>10.1371/journal.pone.0035269</t>
  </si>
  <si>
    <t>Gan, ZB; Li, XZ; Chan, TY; Chu, KH; Kou, Q</t>
  </si>
  <si>
    <t>Phylogeny of Indo-West Pacific pontoniine shrimps (Crustacea: Decapoda: Caridea) based on multilocus analysis</t>
  </si>
  <si>
    <t>JOURNAL OF ZOOLOGICAL SYSTEMATICS AND EVOLUTIONARY RESEARCH</t>
  </si>
  <si>
    <t>The phylogenetic relationships and evolutionary processes within the subfamily Pontoniinae, a speciose group of shrimps with diverse lifestyles (free living, semi-symbiotic and symbiotic) inhabiting the coral reefs of tropical oceans, are an interesting and undeveloped subject of study. In this work, two mitochondrial ribosomal genes (12S rRNA and 16S rRNA) and two protein-coding nuclear genes (Histone 3 and the sodium-potassium ATPase -subunit) were employed to reconstruct the phylogenetic relationships of 42 genera and 101 species within Pontoniinae. Compared to previous studies, ten additional genera were shown to be monophyletic groups, and the genera Dactylonia and Periclimenaeus were shown to be paraphyletic. The shallow-water crinoid-associated pontoniines were divided into several groups which were mostly consistent with the morphological analysis. The studied bivalve-associated taxa exhibited ancestries that were traceable to different lineages, and two groups could be distinguished: Anchiopontonia + Conchodytes and Anchistus. The similar situation occurred in other echinoderm-associated pontoniines. These results suggest that pontoniines sharing the same hosts may have different evolutionary origins resulting from multiple intrusions of their hosts by morphologically plastic ancestral groups.</t>
  </si>
  <si>
    <t>10.1111/jzs.12108</t>
  </si>
  <si>
    <t>Glasby, CJ; Wei, NWV; Gibb, KS</t>
  </si>
  <si>
    <t>Cryptic species of Nereididae (Annelida : Polychaeta) on Australian coral reefs</t>
  </si>
  <si>
    <t>We investigate the presence of cryptic species among three highly variable nereidid polychaetes commonly found in Australian coral reefs - Nereis denhamensis Augener, 1913, Perinereis suluana (Horst, 1924) and Pseudonereis anomala Gravier, 1901 - based on morphological and molecular data (mitochondrial cytochrome c oxidase subunit I, COI, and nuclear histone H3). DNA extracted and sequenced from 70 specimens from northern Australia and the Philippines indicated the existence of eight species: three matched the types of existing species; four are newly described (Nereis heronensis, sp. nov., N. lizardensis, sp. nov., Perinereis pictilis, sp. nov. and Pseudonereis anomalopsis, sp. nov.) from NE Australia, and one species is described but not named due to lack of material. Nereis denhamensis, N. heronensis, sp. nov. and N. lizardensis, sp. nov. are distinguished from each other by proboscidial paragnath number and morphology of the metamorphosed female. Perinereis suluana can only be separated from P. pictilis, sp. nov. by colour pattern, while Pseudonereis anomala, P. anomalopsis, sp. nov. and P. sp. differ in colour pattern and the number and arrangement of paragnaths. Nereis (Lycoris) tydemani from Maluku, Indonesia, is newly synonymised with P. anomala. Divergence times estimated using COI indicated that speciation in all three groups occurred in the mid Miocene (20-17 +/- 7 mya), which corresponds to a period of restricted east-west dispersal as Australia collided with the Indo-Malay archipelago, followed by range expansion opportunities in NE Australia as a result of flourishing coral reefs responding to warming seas and rising sea levels.</t>
  </si>
  <si>
    <t>10.1071/IS12031</t>
  </si>
  <si>
    <t>Gularte, T; Sumida, PYG; Bergamo, G; Rouse, GW</t>
  </si>
  <si>
    <t>Description of a new Osedax (Annelida, Polychaeta, Siboglinidae) species colonizing cow bones in the South Atlantic Ocean</t>
  </si>
  <si>
    <t>A new species of Osedax is described here using molecular and morphological data. It was found at the depth of 550 m off the Brazilian coast through experimental deployment of cow bones. Osedax nataliae sp. nov. is the second Osedax species from the Southwest Atlantic Ocean and had been previously reported as Osedax 'BioSuOr-4'. Phylogenetic analysis of five concatenated genetic makers (28S rDNA, Histone H3, 18S rDNA, 16S rDNA, and cytochrome c oxidase I) placed Osedax nataliae sp. nov. within a well-supported Osedax Clade V, nested within a clade of Pacific Ocean Osedax though with poor support. The minimum interspecific COI distance between O. nataliae sp. nov. and another known Osedax was 13.92% (closest to O. 'sagami-3'). The maximum intraspecific COI diversity (uncorrected) within O. nataliae sp. nov. sampled here was 2.44% and population structure was visualized via haplotype network analysis. Morphologically, O. nataliae sp. nov. is characterized by its reddish orange crown of palps and a ventral yellowish collar on the anterior trunk where it meets the base of the crown. Osedax nataliae sp. nov. shares features with other Clade V species, notably pinnules inserted on the outer margin of palps. Additionally, the presence of dwarf males within the tube lumen of females was documented. Further sampling and research in the Southern Hemisphere are needed to understand the diversity and biogeography of Osedax across the world's oceans.</t>
  </si>
  <si>
    <t>10.3897/zookeys.1219.134005</t>
  </si>
  <si>
    <t>Park, JH; Lee, NK; Lim, HJ; Mazumder, S; Rethineswaran, VK; Kim, YJ; Jang, WB; Ji, ST; Kang, S; Kim, DY; Van, LTH; Giang, LTT; Kim, DH; Ha, JS; Yun, J; Kim, H; Han, J; Mishchenko, NP; Fedoreyev, SA; Vasileva, EA; Kwon, SM; Baek, SH</t>
  </si>
  <si>
    <t>Therapeutic Cell Protective Role of Histochrome under Oxidative Stress in Human Cardiac Progenitor Cells</t>
  </si>
  <si>
    <t>Cardiac progenitor cells (CPCs) are resident stem cells present in a small portion of ischemic hearts and function in repairing the damaged heart tissue. Intense oxidative stress impairs cell metabolism thereby decreasing cell viability. Protecting CPCs from undergoing cellular apoptosis during oxidative stress is crucial in optimizing CPC-based therapy. Histochrome (sodium salt of echinochrome A-a common sea urchin pigment) is an antioxidant drug that has been clinically used as a pharmacologic agent for ischemia/reperfusion injury in Russia. However, the mechanistic effect of histochrome on CPCs has never been reported. We investigated the protective effect of histochrome pretreatment on human CPCs (hCPCs) against hydrogen peroxide (H2O2)-induced oxidative stress. Annexin V/7-aminoactinomycin D (7-AAD) assay revealed that histochrome-treated CPCs showed significant protective effects against H2O2-induced cell death. The anti-apoptotic proteins B-cell lymphoma 2 (Bcl-2) and Bcl-xL were significantly upregulated, whereas the pro-apoptotic proteins BCL2-associated X (Bax), H2O2-induced cleaved caspase-3, and the DNA damage marker, phosphorylated histone (gamma H2A.X) foci, were significantly downregulated upon histochrome treatment of hCPCs in vitro. Further, prolonged incubation with histochrome alleviated the replicative cellular senescence of hCPCs. In conclusion, we report the protective effect of histochrome against oxidative stress and present the use of a potent and bio-safe cell priming agent as a potential therapeutic strategy in patient-derived hCPCs to treat heart disease.</t>
  </si>
  <si>
    <t>10.3390/md17060368</t>
  </si>
  <si>
    <t>Núñez-Acuña, G; Sáez-Vera, C; Valenzuela-Muñoz, V; Valenzuela-Miranda, D; Arriagada, G; Gallardo-Escárate, C</t>
  </si>
  <si>
    <t>Tackling the Molecular Drug Sensitivity in the Sea LouseCaligus rogercresseyiBased on mRNA and lncRNA Interactions</t>
  </si>
  <si>
    <t>Caligus rogercresseyi, commonly known as sea louse, is an ectoparasite copepod that impacts the salmon aquaculture in Chile, causing losses of hundreds of million dollars per year. This pathogen is mainly controlled by immersion baths with delousing drugs, which can lead to resistant traits selection in lice populations. Bioassays are commonly used to assess louse drug sensitivity, but the current procedures may mask relevant molecular responses. This study aimed to discover novel coding genes and non-coding RNAs that could evidence drug sensitivity at the genomic level. Sea lice samples from populations with contrasting sensitivity to delousing drugs were collected. Bioassays using azamethiphos, cypermethrin, and deltamethrin drugs were conducted to evaluate the sensitivity and to collect samples for RNA-sequencing. Transcriptome sequencing was conducted on samples exposed to each drug to evaluate the presence of coding and non-coding RNAs associated with the response of these compounds. The results revealed specific transcriptome patterns in lice exposed to azamethiphos, deltamethrin, and cypermethrin drugs. Enrichment analyses of Gene Ontology terms showed specific biological processes and molecular functions associated with each delousing drug analyzed. Furthermore, novel long non-coding RNAs (lncRNAs) were identified inC. rogercresseyiand tightly linked to differentially expressed coding genes. A significant correlation between gene transcription patterns and phenotypic effects was found in lice collected from different salmon farms with contrasting drug treatment efficacies. The significant correlation among gene transcription patterns with the historical background of drug sensitivity suggests novel molecular mechanisms of pharmacological resistance in lice populations.</t>
  </si>
  <si>
    <t>10.3390/genes11080857</t>
  </si>
  <si>
    <t>Dong, P; Li, RM; He, SZ; Zhang, QQ; Shang, JH; Jiang, YQ; Liu, XQ; Wang, F</t>
  </si>
  <si>
    <t>The compact integration of a cascaded HCR circuit for highly reliable cancer cell discrimination</t>
  </si>
  <si>
    <t>CHEMICAL SCIENCE</t>
  </si>
  <si>
    <t>The accurate identification of multiple biomarkers involved in disease plays a vital role in effectively distinguishing cancer cells from normal cells, facilitating reliable cancer diagnosis. Motivated by this knowledge, we have engineered a compact and clamped cascaded DNA circuit for specifically discriminating cancer cells from normal cells via the amplified multi-microRNA imaging strategy. The proposed DNA circuit combines the traditional cascaded DNA circuit with multiply localized responsive character through the elaboration of two super-hairpin reactants, thus concurrently streamlining the circuit components and realizing localization-intensified cascaded signal amplification. In parallel, the multiple microRNA-stimulated sequential activations of the compact circuit, combined with a handy logic operation, significantly elevated the cell-discriminating reliability. Applications of the present DNA circuit in vitro and in cellular imaging experiments were executed with expected results, therefore illustrating that our DNA circuit is useful for precise cell discrimination and further clinical diagnosis.</t>
  </si>
  <si>
    <t>FEB 22</t>
  </si>
  <si>
    <t>10.1039/d2sc05568f</t>
  </si>
  <si>
    <t>Arrigoni, R; Berumen, ML; Stolarski, J; Terraneo, TI; Benzoni, F</t>
  </si>
  <si>
    <t>Uncovering hidden coral diversity: a new cryptic lobophylliid scleractinian from the Indian Ocean</t>
  </si>
  <si>
    <t>Extant biodiversity can easily be underestimated owing to the presence of cryptic taxa, even among commonly observed species. Scleractinian corals are challenging to identify because of their ecophenotypic variation and morphological plasticity. In addition, molecular analyses have revealed the occurrence of cryptic speciation. Here, we describe a new cryptic lobophylliid genus and species Paraechinophyllia variabilis gen. nov., sp. nov., which is morphologically similar to Echinophyllia aspera and E. orpheensis. The new taxon occurs in Mayotte Island, Madagascar, the Gulf of Aden and the Red Sea. Six molecular markers (COI, 12S, ATP6-NAD4, NAD3-NAD5, histone H3 and ITS) and 46 morphological characters at three different levels (macromorphology, micromorphology and microstructure) were examined. The resulting molecular phylogenetic reconstruction showed that Paraechinophyllia gen. nov. represents a distinct group within the Lobophylliidae that diverged from the lineage leading to Echinophyllia and Oxypora in the Early Miocene, approximately 21.5 Ma. The morphological phylogenetic reconstruction clustered Paraechinophyllia gen. nov., Echinophyllia and Oxypora together in a single clade. A sole morphological character, calice relief, discriminated Paraechinophyllia gen. nov. from the latter two genera, suggesting that limited morphological variation has occurred over a long period. These results highlight the importance of cryptic taxa in reef corals, with implications for population genetics, ecological studies and conservation.</t>
  </si>
  <si>
    <t>10.1111/cla.12346</t>
  </si>
  <si>
    <t>Yu, YF; Nong, WY; So, WL; Xie, YC; Yip, HY; Haimovitz, J; Swale, T; Baker, DM; Bendena, WG; Chan, TF; Chui, APY; Lau, KF; Qian, PY; Qiu, JW; Thibodeau, B; Xu, F; Hui, JHL</t>
  </si>
  <si>
    <t>Genome of elegance coral Catalaphyllia jardinei (Euphylliidae)</t>
  </si>
  <si>
    <t>Coral reefs are under stress throughout the world. To better understand the molecular mechanisms underlying coral biology and their genomic evolution, here we sequenced the genome and transcriptomes of elegance coral Catalaphyllia jardinei (Euphylliidae). This monotypic genus stony coral is widespread but rare, being found across the Indo-West Pacific, from the northern Indian Ocean, Australia, Philippines, to the South China Sea. Due to its popularity among aquarium hobbyists, it is an overexploited species collected in large quantities from the wild for aquarium trade. The assembled genome is similar to 651.3 Mb in total length and of high physical contiguity with a scaffold N50 size of 28.9 Mb. The gene copy numbers of abiotic stress regulator (heat shock protein family genes) and neuropeptides (GLWamide, GRFamide, PRGamide and HIRamide) are similar to other sequenced anthozoans, and we have also identified the first set of sesquiterpenoid biosynthetic pathway genes in coral. Sequencing of small RNAs allows us to identify 35 microRNAs in C. jardinei and update the number of conserved microRNAs in cnidarians. This study established a foundation for further investigation into the roles of sesquiterpenoids and microRNAs in development of coral and understand their responses to climate change. Due to the easiness to culture C. jardinei in reef tanks and the established resources in this study, we propose this species be adopted as a new laboratory model in environmental and ecological experiments aiming to understand coral biology and responses to environmental stressors.</t>
  </si>
  <si>
    <t>10.3389/fmars.2022.991391</t>
  </si>
  <si>
    <t>Wang, J; Pu, LJ; Zhang, XJ; Liang, CC; Dong, DD; Guan, JT; Guo, HR</t>
  </si>
  <si>
    <t>Integrative analysis of transcriptomic profile reveals potential roles of miRNAs in regulating development of Marsupenaeus japonicas</t>
  </si>
  <si>
    <t>Regulation of microRNAs (miRNAs) on various biological processes has been a surprising and exciting field. Identification of miRNAs is the first step to comprehensively understand their functions. However, attempts on global identification and functional verification of miRNAs are very limited in penaeid shrimp Marsupenaeus japonicus, an economically important aquatic species. By performing an integrated analysis of transcriptomic profile from gastrula embryos of M. japonicus, 21 conserved miRNAs in M. japonicas (mja-miRNAs), belonging to 19 miRNA families, were identified and characterized. Of the 21 mja-miRNAs, 15 miRNAs were successfully verified to be predominantly expressed in gastrula stage, where they displayed dynamic expression patterns compared with those in naupliuin stage. Based on perfect or near-perfect match to target region, 120 target genes were predicted at transcriptome-wide level. Noteworthy, gene ontology (GO) classification and metabolic pathway annotation revealed eight targets that were actively involved in developmental processes. Of the predicted miRNA-mRNA pairs, six targets were then randomly selected and experimentally validated by dual luciferase reporter assay, where three pairs were proved with potential targeting activity. Overall, to search for conserved miRNAs potentially involved in early development of M. japonicus, we combined in silico and experimental methods, which can be applied in other organisms as well. Our data implied important roles of miRNAs in the early embryonic development and also suggested the presence of complex miRNA-mRNA functional networks in M. japonicus.</t>
  </si>
  <si>
    <t>10.1007/s00343-023-2403-3</t>
  </si>
  <si>
    <t>Seuss, B; Nützel, A; Scholz, H; Fryda, J</t>
  </si>
  <si>
    <t>The Paleozoic evolution of the gastropod larval shell: larval armor and tight coiling as a result of predation-driven heterochronic character displacement</t>
  </si>
  <si>
    <t>EVOLUTION &amp; DEVELOPMENT</t>
  </si>
  <si>
    <t>Early and middle Paleozoic gastropod protoconchs generally differ strongly from their corresponding adult morphologies, that is, most known protoconchs are smooth and openly coiled, whereas the majority of adult shells are ornamented and tightly coiled. In contrast, larval and adult shells of late Paleozoic gastropods with planktotrophic larval development (Caenogastropoda, Neritimorpha) commonly resemble each other in shape and principle ornamentation. This is surprising because habitat and mode of life of planktonic larvae and benthic adults differ strongly from each other. Generally, late Paleozoic to Recent protoconchs are tightly coiled. This modern type of larval shell resembles the adult shell morphology and was obviously predisplaced onto the larval stage during the middle Paleozoic. The oldest known planktonic-armored (strongly ornamented) larval shells are known from the late Paleozoic. However, smooth larval shells are also common among the studied late Paleozoic gastropods. The appearance of larval armor at the beginning of the late Paleozoic could reflect an increase of predation pressure in the plankton. Although there are counter examples in which larval and adult shell morphology differ strongly from each other, there is statistical evidence for a heterochronic predisplacement of adult characters onto the larval stage. Larval and adult shells are built in the same way, by accretionary secretion at the mantle edge. It is likely that the same underlying gene expression is responsible for that. If so, similarities of larval and adult shell may be explained by gene sharing, whereas differences may be due to different (planktic vs. benthic life) epigenetic patterns.</t>
  </si>
  <si>
    <t>MAR-APR</t>
  </si>
  <si>
    <t>10.1111/j.1525-142X.2012.00536.x</t>
  </si>
  <si>
    <t>Friis, G; Vizueta, J; Smith, EG; Nelson, DR; Khraiwesh, B; Qudeimat, E; Salehi-Ashtiani, K; Ortega, A; Marshell, A; Duarte, CM; Burt, JA</t>
  </si>
  <si>
    <t>A high-quality genome assembly and annotation of the gray mangrove, Avicennia marina</t>
  </si>
  <si>
    <t>G3-GENES GENOMES GENETICS</t>
  </si>
  <si>
    <t>The gray mangrove [Avicennia marina (Forsk.) Vierh.] is the most widely distributed mangrove species, ranging throughout the Indo-West Pacific. It presents remarkable levels of geographic variation both in phenotypic traits and habitat, often occupying extreme environments at the edges of its distribution. However, subspecific evolutionary relationships and adaptive mechanisms remain understudied, especially across populations of the West Indian Ocean. High-quality genomic resources accounting for such variability are also sparse. Here we report the first chromosome-level assembly of the genome of A. marina. We used a previously release draft assembly and proximity ligation libraries Chicago and Dovetail HiC for scaffolding, producing a 456,526,188-bp long genome. The largest 32 scaffolds (22.4-10.5Mb) accounted for 98% of the genome assembly, with the remaining 2% distributed among much shorter 3,759 scaffolds (62.4-1 kb). We annotated 45,032 protein-coding genes using tissue-specific RNA-seq data in combination with de novo gene prediction, from which 34,442 were associated to GO terms. Genome assembly and annotated set of genes yield a 96.7% and 95.1% completeness score, respectively, when compared with the eudicots BUSCO dataset. Furthermore, an F-ST survey based on resequencing data successfully identified a set of candidate genes potentially involved in local adaptation and revealed patterns of adaptive variability correlating with a temperature gradient in Arabian mangrove populations. Our A. marina genomic assembly provides a highly valuable resource for genome evolution analysis, as well as for identifying functional genes involved in adaptive processes and speciation.</t>
  </si>
  <si>
    <t>10.1093/g3journal/jkaa025</t>
  </si>
  <si>
    <t>Abato, J; Yoshida, R; Kajihara, H</t>
  </si>
  <si>
    <t>Histology-free description and phylogenetics of Tetrastemma parallelos sp. nov. (Nemertea: Eumonostilifera) from Japan</t>
  </si>
  <si>
    <t>JOURNAL OF NATURAL HISTORY</t>
  </si>
  <si>
    <t>We report a histology-free description of the eumonostiliferous hoplonemertean Tetrastemma parallelos sp. nov. based on a single specimen dredged from a depth between 11 and 18 m off Kouyatsu, Tateyama, Chiba, Japan. Dorsally, T. parallelos sp. nov. is characterised by the presence of two orange-pigmented parallel lines in addition to a reddish cephalic patch. Molecular phylogenetic analyses based on partial sequences of 16S, 18S, 28S rRNA, cytochrome c oxidase subunit I (COI), and histone H3 gene markers along with sequences of 20 Tetrastemma species available in public databases confirmed that our species belongs to a clade recently proposed as the Asian-Australian Pacific subclade of the genus.</t>
  </si>
  <si>
    <t>AUG 18</t>
  </si>
  <si>
    <t>10.1080/00222933.2022.2118642</t>
  </si>
  <si>
    <t>Aghaei, M; KhanAhmad, H; Aghaei, S; Nilforoushzadeh, MA; Mohaghegh, MA; Hejazi, SH</t>
  </si>
  <si>
    <t>The role of Bax in the apoptosis of Leishmania-infected macrophages</t>
  </si>
  <si>
    <t>MICROBIAL PATHOGENESIS</t>
  </si>
  <si>
    <t>Background: Leishmania is a protozoan parasite that nests in macrophages and is responsible for the Leishmaniasis disease. In spite of different defense pathways, last strategy of macrophage for killing parasite is apoptosis process. By permeableizing the mitochondrial outer membrane (MOM). As breaching MOM releases apoptogenic factors like cytochrome-c which activate caspases that result in the destruction of the cell. In this review, we summarized the appropriate manuscripts regarding the bax includes, its different types and the effect of bax on the apoptosis of Leishmania and parasite-infected macrophages. Methods: Information about the role of BAX in the apoptosis of parasite-infected macrophage of recent articles were surveyed by searching computerized bibliographic database PubMed and Google Scholar entering the keywords BAX and leishmaniasis. Results: The common studies revealed Leishmania use different survival strategies for inhibiting macrophage apoptosis. As Leishmania by preventing homooligomerization or upregulating the anti-apoptotic molecule Bcl-2 can prohibits proteins of host-cell apoptosis such as Bax that is required for mitochondrial permeabilisation during apoptosis. Conclusion: With regard to the supportive role of bax in apoptosis and the preventive role of Leishmania in its function, it seems that expression of bax gene in parasite by technologies like transgenic or down regulating of anti-apoptotic molecule Bcl-2 by miRNA could be prompted the apoptosis process of infected-macrophages and inhibited extensive spread of Leishmania and the resulting lesions.</t>
  </si>
  <si>
    <t>10.1016/j.micpath.2019.103892</t>
  </si>
  <si>
    <t>Yajima, M; Fairbrother, WG; Wessel, GM</t>
  </si>
  <si>
    <t>ISWI contributes to ArsI insulator function in development of the sea urchin</t>
  </si>
  <si>
    <t>Insulators are genomic elements that regulate transcriptional activity by forming chromatin boundaries. Various DNA insulators have been identified or are postulated in many organisms, and the paradigmatic CTCF-dependent insulators are perhaps the best understood and most widespread in function. The diversity of DNA insulators is, however, understudied, especially in the context of embryonic development, when many new gene territories undergo transitions in functionality. Here we report the functional analysis of the arylsulfatase insulator (ArsI) derived from the sea urchin, which has conserved insulator activity throughout the many metazoans tested, but for which the molecular mechanism of function is unknown. Using a rapid in vivo assay system and a high-throughput mega-shift assay, we identified a minimal region in ArsI that is responsible for its insulator function. We discovered a small set of proteins specifically bound to the minimal ArsI region, including ISWI, a known chromatin-remodeling protein. During embryogenesis, ISWI was found to interact with select ArsI sites throughout the genome, and when inactivated led to misregulation of select gene expression, loss of insulator activity and aberrant morphogenesis. These studies reveal a mechanistic basis for ArsI function in the gene regulatory network of early development.</t>
  </si>
  <si>
    <t>10.1242/dev.081828</t>
  </si>
  <si>
    <t>Olszewski, KL; Mather, MW; Morrisey, JM; Garcia, BA; Vaidya, AB; Rabinowitz, JD; Llinás, M</t>
  </si>
  <si>
    <t>RETRACTED: Branched tricarboxylic acid metabolism in Plasmodium falciparum (Retracted Article)</t>
  </si>
  <si>
    <t>A central hub of carbon metabolism is the tricarboxylic acid cycle 1, which serves to connect the processes of glycolysis, gluconeogenesis, respiration, amino acid synthesis and other biosynthetic pathways. The protozoan intracellular malaria parasites (Plasmodium spp.), however, have long been suspected of possessing a significantly streamlined carbon metabolic network in which tricarboxylic acid metabolism plays a minor role(2). Blood-stage Plasmodium parasites rely almost entirely on glucose fermentation for energy and consume minimal amounts of oxygen(3), yet the parasite genome encodes all of the enzymes necessary for a complete tricarboxylic acid cycle(4). Here, by tracing C-13-labelled compounds using mass spectrometry(5), we show that tricarboxylic acid metabolism in the human malaria parasite Plasmodium falciparum is largely disconnected from glycolysis and is organized along a fundamentally different architecture from the canonical textbook pathway. We find that this pathway is not cyclic, but rather is a branched structure in which the major carbon sources are the amino acids glutamate and glutamine. As a consequence of this branched architecture, several reactions must run in the reverse of the standard direction, thereby generating two-carbon units in the form of acetyl-coenzyme A. We further show that glutamine-derived acetyl-coenzyme A is used for histone acetylation, whereas glucose-derived acetyl-coenzyme A is used to acetylate amino sugars. Thus, the parasite has evolved two independent production mechanisms for acetyl-coenzyme A with different biological functions. These results significantly clarify our understanding of the Plasmodium metabolic network and highlight the ability of altered variants of central carbon metabolism to arise in response to unique environments.</t>
  </si>
  <si>
    <t>AUG 5</t>
  </si>
  <si>
    <t>10.1038/nature09301</t>
  </si>
  <si>
    <t>Arcà, B; Colantoni, A; Fiorillo, C; Severini, F; Benes, V; Di Luca, M; Calogero, RA; Lombardo, F</t>
  </si>
  <si>
    <t>MicroRNAs from saliva of anopheline mosquitoes mimic human endogenous miRNAs and may contribute to vector-host-pathogen interactions</t>
  </si>
  <si>
    <t>During blood feeding haematophagous arthropods inject into their hosts a cocktail of salivary proteins whose main role is to counteract host haemostasis, inflammation and immunity. However, animal body fluids are known to also carry miRNAs. To get insights into saliva and salivary gland miRNA repertoires of the African malaria vector Anopheles coluzzii we used small RNA-Seq and identified 214 miRNAs, including tissue-enriched, sex-biased and putative novel anopheline miRNAs. Noteworthy, miRNAs were asymmetrically distributed between saliva and salivary glands, suggesting that selected miRNAs may be preferentially directed toward mosquito saliva. The evolutionary conservation of a subset of saliva miRNAs in Anopheles and Aedes mosquitoes, and in the tick Ixodes ricinus, supports the idea of a non-random occurrence pointing to their possible physiological role in blood feeding by arthropods. Strikingly, eleven of the most abundant An. coluzzi saliva miRNAs mimicked human miRNAs. Prediction analysis and search for experimentally validated targets indicated that miRNAs from An. coluzzii saliva may act on host mRNAs involved in immune and inflammatory responses. Overall, this study raises the intriguing hypothesis that miRNAs injected into vertebrates with vector saliva may contribute to host manipulation with possible implication for vector-host interaction and pathogen transmission.</t>
  </si>
  <si>
    <t>FEB 27</t>
  </si>
  <si>
    <t>10.1038/s41598-019-39880-1</t>
  </si>
  <si>
    <t>Morishita, F; Horiguchi, T; Akuta, H; Ueki, T; Imamura, T</t>
  </si>
  <si>
    <t>Concomitant downregulation of neuropeptide genes in a marine snail with consecutive sexual maturation after a nuclear disaster in Japan</t>
  </si>
  <si>
    <t>FRONTIERS IN ENDOCRINOLOGY</t>
  </si>
  <si>
    <t>Consecutive sexual maturation (CSM), an abnormal reproductive phenomenon of a marine snail, Reishia clavigera, has occurred since 2017 in the vicinity of the Fukushima Daiichi Nuclear Power Plant after the nuclear disaster there. We hypothesized that alterations in animal physiology mediated through genetic/epigenetic changes could sensitively reflect environmental pollution. Understanding the mechanism of this rapid biological response should enable us to quantitatively evaluate long-lasting effects of the nuclear disaster. To determine the molecular basis for CSM, we conducted transcriptome profiling in the ganglia of normal and CSM snails. We assembled the short-read cDNA sequences obtained by Illumina sequencing, and succeeded in characterizing more than 60,000 gene models that include 88 kinds of neuropeptide precursors by BLAST search and experimental curation. GO-enrichment analysis of the differentially expressed genes demonstrated that severe downregulation of neuropeptide-related genes occurred concomitantly with CSM. In particular, significant decreases of the transcripts of 37 genes among 88 neuropeptide precursor genes, including those for myomodulin, PentaFVamide, maturation-associated peptide-5A and conopressin, were commonly observed in female and male CSM snails. By contrast, microseminoprotein precursor was the only exceptional case where the expression was increased in CSM snails. These results indicate that down-regulation of neuropeptide precursors is a remarkable feature of CSM. We also found that factors involved in epigenetic modification rather than transcription factors showed altered patterns of expression upon CSM. Comprehensive expression panels of snail neuropeptide precursors made in this study will be useful tools for environmental assessment as well as for studying marine reproductive biology.</t>
  </si>
  <si>
    <t>10.3389/fendo.2023.1129666</t>
  </si>
  <si>
    <t>Lin, YT; Qiu, JW</t>
  </si>
  <si>
    <t>Taxonomic Revision of Jingle Shells: Resurrecting and Reclassifying Species of Anomiidae (Bivalvia: Pectinida)</t>
  </si>
  <si>
    <t>The family Anomiidae exhibits taxonomic ambiguity due to high morphological plasticity and overlapping diagnostic traits. In this study, we resurrect two anomiid species, Heteranomia aculeata and Pododesmus glaucus, and reclassify Isonomia umbonata as Pododesmus umbonatus. Our genetic analyses reveal interspecific cox1 distances between H. aculeata and its former synonym H. squamula, P. glaucus and its synonym P. squama, and P. umbonatus relative to other Pododesmus species. Phylogenetic reconstructions based on five gene fragments (cox1, 16S rRNA, 18S rRNA, 28S rRNA, and histone H3) corroborate the distinction among these previously synonymized species and confirm the placement of P. umbonatus in Pododesmus. Our morphological examinations further delineate diagnostic differences in adductor muscle scars compared to their congeneric species, reinforcing the resurrection and reclassification of these species. Under this reclassification, all Anomiidae genera are monophyletic, with Pododesmus as the earliest-diverging lineage based on available data. However, Placunidae, which contains Placuna as the only genus, is recovered as sister to Anomia, rendering Anomiidae paraphyletic and indicating the need for a taxonomic revision of Placunidae. Additionally, we provide identification keys for the genera Heteranomia and Pododesmus. This study not only highlights the previously underestimated diversity of Anomiidae but also offers essential genetic resources and a refined taxonomic framework, advancing phylogenetic studies of Anomiidae and informing conservation strategies for morphologically complex marine taxa.</t>
  </si>
  <si>
    <t>OCT 23</t>
  </si>
  <si>
    <t>10.1002/ece3.72372</t>
  </si>
  <si>
    <t>Li, F; Tuo, L; Wang, QZ; Yu, L; Jiang, FJ; Lai, JX; Huang, SS; Qin, XL</t>
  </si>
  <si>
    <t>Parvularcula maris sp. nov., an algicidal bacterium isolated from seawater</t>
  </si>
  <si>
    <t>INTERNATIONAL JOURNAL OF SYSTEMATIC AND EVOLUTIONARY MICROBIOLOGY</t>
  </si>
  <si>
    <t>A taxonomic study was carried out on strain BGMRC 0090T, which was isolated from seawater. The isolate was a Gram-negative, aerobic, flagellated, rod-shaped bacterium with algicidal activity. Optimal growth was observed at 30 degrees C, pH 6.0 and with 2 % (w/v) NaCl. Phylogenetic analysis based on 16S rRNA gene sequences indicated that strain BGMRC 0090T belonged to the genus Parvularcula, with highest sequence similarity to Parvularcula lutaonensis CC-MMS-1T (98.4 %). Average nucleotide iden-tity, amino acid identity and digital DNA-DNA hybridization values between strain BGMRC 0090T and five strains of the genus Parvularcula with publicly available genomes were below 84.0, 69.2 and 21.4 %, respectively. The genome of strain BGMRC 0090T was 3.2 Mb with 64.8 mol% DNA G+C content and encoded 2905 predicted proteins, three rRNA, 42 tRNA and four ncRNA genes. Some algicidal biosynthesis-associated genes were detected in the genome. Strain BGMRC 0090T contained Q-10 as the major quinone. The predominant fatty acids were identified as summed feature 8 (C18 :1 omega 7c/omega 6c) and C16 : 0. Based on the polyphasic evidence presented in this paper, strain BGMRC 0090T is concluded to represent a novel species of the genus Parvularcula, for which the name Parvularcula maris sp. nov. is proposed. The type strain is BGMRC 0090T (= KCTC 92591T=MCCC 1K08100T).</t>
  </si>
  <si>
    <t>10.1099/ijsem.0.005825</t>
  </si>
  <si>
    <t>Davidson, PL; Byrne, M; Wray, GA</t>
  </si>
  <si>
    <t>Evolutionary Changes in the Chromatin Landscape Contribute to Reorganization of a Developmental Gene Network During Rapid Life History Evolution in Sea Urchins</t>
  </si>
  <si>
    <t>Chromatin configuration is highly dynamic during embryonic development in animals, exerting an important point of control in transcriptional regulation. Yet there exists remarkably little information about the role of evolutionary changes in chromatin configuration to the evolution of gene expression and organismal traits. Genome-wide assays of chromatin configuration, coupled with whole-genome alignments, can help address this gap in knowledge in several ways. In this study we present a comparative analysis of regulatory element sequences and accessibility throughout embryogenesis in three sea urchin species with divergent life histories: a lecithotroph Heliocidaris erythrogramma, a closely related planktotroph H. tuberculata, and a distantly related planktotroph Lytechinus variegatus. We identified distinct epigenetic and mutational signatures of evolutionary modifications to the function of putative cis-regulatory elements in H. erythrogramma that have accumulated nonuniformly throughout the genome, suggesting selection, rather than drift, underlies many modifications associated with the derived life history. Specifically, regulatory elements composing the sea urchin developmental gene regulatory network are enriched for signatures of positive selection and accessibility changes which may function to alter binding affinity and access of developmental transcription factors to these sites. Furthermore, regulatory element changes often correlate with divergent expression patterns of genes involved in cell type specification, morphogenesis, and development of other derived traits, suggesting these evolutionary modifications have been consequential for phenotypic evolution in H. erythrogramma. Collectively, our results demonstrate that selective pressures imposed by changes in developmental life history rapidly reshape the cis-regulatory landscape of core developmental genes to generate novel traits and embryonic programs.</t>
  </si>
  <si>
    <t>10.1093/molbev/msac172</t>
  </si>
  <si>
    <t>Li, YT; Zhou, P; Wang, ZX; Ren, YP; Zhu, X; Wang, J; Yan, HR; Hua, L; Gao, FL</t>
  </si>
  <si>
    <t>Sea Anemone-like Nanomachine Based on DNA Strand Displacement Composed of Three Boolean Logic Gates: Diversified Input for Intracellular Multitarget Detection</t>
  </si>
  <si>
    <t>ANALYTICAL CHEMISTRY</t>
  </si>
  <si>
    <t>Efficient and accurate acquisition of cellular biomolecular information is crucial for exploring cell fate, achieving early diagnosis, and the effective treatment of various diseases. However, current DNA biosensors are mostly limited to single-target detection, with few complex logic circuits for comprehensive analysis of three or more targets. Herein, we designed a sea anemone-like DNA nanomachine based on DNA strand displacement composed of three logic gates (YES-AND-YES) and delivered into the cells using gold nano bipyramid carriers. The AND gate activation depends on the trigger chain released by upstream DNA strand displacement reactions, while the output signal relies on the downstream DNAzyme structure. Under the influence of diverse inputs (including enzymes, miRNA, and metal ions), the interconnected logic gates simultaneously perform logical analysis on multiple targets, generating a unique output signal in the YES/NO format. This sensor can successfully distinguish healthy cells from tumor cells and can be further used for the diagnosis of different tumor cells, providing a promising platform for accurate cell-type identification.</t>
  </si>
  <si>
    <t>10.1021/acs.analchem.3c05059</t>
  </si>
  <si>
    <t>Hanson, D; Hirano, Y; Valdés, A</t>
  </si>
  <si>
    <t>Population genetics of Haminoea (Haloa) japonica Pilsbry, 1895, a widespread non-indigenous sea slug (Mollusca: Opisthobranchia) in North America and Europe</t>
  </si>
  <si>
    <t>BIOLOGICAL INVASIONS</t>
  </si>
  <si>
    <t>Haminoea japonica is an opisthobranch mollusk with a large non-indigenous range. This species is a vector for a parasite that causes the human skin disease cercarial dermatitis, and may have negative effects on populations of native species. Molecular evidence from the mitochondrial cytochrome c oxidase I gene and the histone 3 nuclear gene indicates that previously published morphology-based hypotheses on the spread of H. japonica out of Japan are correct. The most likely explanation for the current range of the species, which includes Japan, Korea, France, Spain, Italy, Canada and the USA is a recent, human-mediated dispersal from Japanese populations. The highest levels of nucleotide and haplotype diversity are found in Japan. Non-indigenous populations have low levels of genetic diversity (indicating bottlenecking). Haplotypes that were detected in the non-indigenous range of H. japonica have only been found in two localities in the native range; these two localities are in north-eastern Japan. In addition, the haplotype network structure and Spatial Analysis of Molecular Variance results confirm the origins of non-indigenous populations most likely trace to north-eastern Japan, which is where most Pacific oyster exports to North America also originated. Because there are no major shipping ports in north-eastern Japan, ballast water is less likely to be the mechanism of dispersal. The results of this study provide important data for the development of policies and regulations aimed to prevent further spread of this species in non-indigenous ranges.</t>
  </si>
  <si>
    <t>10.1007/s10530-012-0294-x</t>
  </si>
  <si>
    <t>Liu, Y; Liu, H; Jiao, YQ; Zhao, JH</t>
  </si>
  <si>
    <t>Evolution and uranium mineralization of the northern Ordos Basin revealed by detrital zircons of the Jurassic strata</t>
  </si>
  <si>
    <t>GEOLOGICAL SOCIETY OF AMERICA BULLETIN</t>
  </si>
  <si>
    <t>Stable sedimentary basins with complex evolutionary histories generally develop various epigenetic resources, such as sandstone-type uranium deposits. However, the genetic linkage between basin evolution and subsequent uranium mineralization remains unclear. Detrital zircon is a robust mineral, and its U-Pb ages and Lu-Hf isotopes are essential for tracing the evolution of sedimentary basins. The Ordos Basin is the largest intracontinental basin and uranium deposit region in the North China Craton. It consists of Cambrian to Ordovician marine deposits and Carboniferous to Jurassic terrestrial successions, and the origins of the terrigenous clastic sequences are dominantly influenced by the neighboring orogenic belts. This study presents new whole-rock elemental data, detrital zircon U-Pb ages, and Lu-Hf isotopes for the sandstones from the Jurassic Zhiluo Formation of the northern Ordos Basin. With data from the Paleozoic sedimentary rocks of the basin and the southern Central Asian Orogenic Belt, this study aimed to determine sediment provenances, the evolution of the northern Ordos Basin, and the potential implications for uranium mineralization. Detrital zircons from the Zhiluo Formation are generally rounded and preserve magmatic zoning structures. Their ages display 2100-1650 Ma, and 2750-2200 Ma, which are consistent with the tectono-thermal events of the Central Asian Orogenic Belt and the Yinshan Belt to the north, and the Alxa Block to the northwest. Both their detrital zircon ages and epsilon Hf(t) values are similar to those of the underlying sedimentary rocks. In addition, the formation has recycled carbonaceous debris, diverse clastic fragments, and Triassic fossils, and its sandstones show low index of compositional variability values (0.79-0.97) and high SiO2/Al2O3 (5.33-7.25) and Th/Sc (0.71-1.97) ratios. These lines of evidence suggest that the detritus of the Zhiluo Formation was partially derived from the underlying sedimentary strata. It should be noted that the Paleozoic to Mesozoic strata of the northern Ordos Basin also have detrital zircon age patterns and epsilon Hf(t) values similar to those of the southern Central Asian Orogenic Belt, and the secular evolution of the Ordos Basin is therefore considered to have been controlled by subduction of the PaleoAsian Ocean and collision between the Central Asian Orogenic Belt and the North China Craton, as well as the post-collisional crustal extension that ensued. The carbonaceous debris in the Zhiluo Formation provided a reductive environment for the subsequent crystallization of reducing minerals and uranium mineralization.</t>
  </si>
  <si>
    <t>JAN-FEB</t>
  </si>
  <si>
    <t>10.1130/B37488.1</t>
  </si>
  <si>
    <t>Donohoo, SA; Gosliner, TM</t>
  </si>
  <si>
    <t>Variability in the white spot: a new genus and species of Discodorididae (Nudibranchia) from the central and western Pacific Ocean</t>
  </si>
  <si>
    <t>In this paper, a new genus in the nudibranch family Discodorididae, Avaldesia n. gen., is established for Avaldesia albomacula (Chan &amp; Gosliner, 2007) and Avaldesia tahala (Chan &amp; Gosliner, 2007), originally assigned to the genus Thordisa Bergh, 1877, and a new species, Avaldesia tamatoa n. sp., described here from the central Pacific. To establish species relationships within Avaldesia, as well as the placement of Avaldesia within Discodorididae, we utilized four molecular markers (cytochrome c oxidase subunit I, 16S rRNA, histone H3 and 28S rRNA) in our Bayesian inference and maximum likelihood analyses. Four species delimitation methods were complemented by morphological dissections and scanning electron microscopy. Our results reveal a clear separation between Avaldesia and Thordisa and suggest that Avaldesia is more closely related to the genera Hoplodoris Bergh, 1880 and Asteronotus Ehrenberg, 1831. The most characteristic features of Avaldesia include a radula with increasing denticulation towards the fimbriate outermost laterals and a reproductive system with a lobate vestibular gland, occasional hollow vestibular spine and a penis armed with one or more penial spines. All species of Avaldesia are found in shallow water (5-10 m depth) on rocky reefs, sandy sediments and algal fields with distributions across the Indo-Pacific.</t>
  </si>
  <si>
    <t>10.1093/mollus/eyad027</t>
  </si>
  <si>
    <t>Kaler, VL; Bulko, OP; Reshetnikov, VN; Galkovskaya, GA</t>
  </si>
  <si>
    <t>Changes in the morphostructure of Scenedesmus acutus and culture growth rate induced by the exudate of primary consumer Daphnia magna</t>
  </si>
  <si>
    <t>RUSSIAN JOURNAL OF PLANT PHYSIOLOGY</t>
  </si>
  <si>
    <t>It is shown that growth of the Scenedesmus acutus Meyen, culture is epigenetically modified by components released from the lake zooplankton species Daphnia magna, an algavorous primary consumer. Multicellular colonies of Scenedesmus were effectively formed in the deficient mineral medium, even in the absence of a substance released by the grazer (consumer-released factor). When an enriched mineral medium was used for culturing, the consumer-released factor had little effect on the formation of coenobia. The partial effects of nutrient components and doses of the consumer-released factor, as well as interactions of these variables, were assessed with regard to morphometric and growth parameters of the Scenedesmus culture. The age-dependent dynamics of the response surface for these parameters was revealed and explained as being due to the depletion of a certain nutrient during culturing. The interaction of this nutrient with a consumer-released factor is supposed to be crucial for the induction of changes in the growth rate and morphometric characteristics of the algal culture.</t>
  </si>
  <si>
    <t>Gahan, JM; Kouzel, IU; Jansen, KO; Burkhardt, P; Rentzsch, F</t>
  </si>
  <si>
    <t>Histone demethylase Lsd1 is required for the differentiation of neural cells in Nematostella vectensis</t>
  </si>
  <si>
    <t>The evolutionary point where chromatin modifier function integrated into regulation of specific cell types is unclear. In the cnidarian Nematostella vectensis, the authors here show that lysine specific demethylase Lsd1 is developmentally regulated and required for normal development including cnidocyte differentiation. Chromatin regulation is a key process in development but its contribution to the evolution of animals is largely unexplored. Chromatin is regulated by a diverse set of proteins, which themselves are tightly regulated in a cell/tissue-specific manner. Using the cnidarian Nematostella vectensis as a basal metazoan model, we explore the function of one such chromatin regulator, Lysine specific demethylase 1 (Lsd1). We generated an endogenously tagged allele and show that NvLsd1 expression is developmentally regulated and higher in differentiated neural cells than their progenitors. We further show, using a CRISPR/Cas9 generated mutant that loss of NvLsd1 leads to developmental abnormalities. This includes the almost complete loss of differentiated cnidocytes, cnidarian-specific neural cells, as a result of a cell-autonomous requirement for NvLsd1. Together this suggests that the integration of chromatin modifying proteins into developmental regulation predates the split of the cnidarian and bilaterian lineages and constitutes an ancient feature of animal development.</t>
  </si>
  <si>
    <t>10.1038/s41467-022-28107-z</t>
  </si>
  <si>
    <t>Molecular phylogeography of Tumidotheres maculatus (Say, 1818) and Zaops ostreus (Say, 1817) (Crustacea: Decapoda: Pinnotheridae) in the western Atlantic, with description of a new species and synonymy of Epulotheres Manning, 1993</t>
  </si>
  <si>
    <t>MARINE BIOLOGY RESEARCH</t>
  </si>
  <si>
    <t>The commensal crab genus Tumidotheres is reportedly represented along the western Atlantic coast by Tumidotheres maculatus, with populations distributed from temperate to tropical waters in North and South America. Western Atlantic populations of the related genus Zaops have been alternatively separated into the northern species Zaops ostreus and southern Zaops geddesi. We hypothesized that populations of T. maculatus comprised more than one species, much as currently accepted in Zaops. Molecular markers (COI, 16S-NADH1 complex, 12S, and histone 3) were used to infer relationships between sampled populations of Tumidotheres and Zaops. We found that most populations of Tumidotheres belonged to a single species, but that specimens from the western Caribbean Sea represented an undescribed congener, herewith described and named. Remarkably, all sequenced populations of Zaops were inseparable, leading us to question the validity of Z. geddesi as the southern counterpart of Z. ostreus. Though sequence analyses failed, we provisionally reassign Epulotheres angelae to the genus Zaops on the basis of morphological characters. Since Epulotheres is a monotypic genus, this synonymizes the genus with Zaops.</t>
  </si>
  <si>
    <t>NOV 26</t>
  </si>
  <si>
    <t>10.1080/17451000.2019.1693597</t>
  </si>
  <si>
    <t>Meyer-Wachsmuth, I; Jondelius, U</t>
  </si>
  <si>
    <t>Interrelationships of Nemertodermatida</t>
  </si>
  <si>
    <t>Nemertodermatida is a small taxon of microscopic marine worms, which were originally classified within Platyhelminthes. Today they are hypothesized to be either an early bilaterian lineage or the sister group to Ambulacraria within Deuterostomia. These two hypotheses indicate widely diverging evolutionary histories in this largely neglected group. Here, we analyse the phylogeny of Nemertodermatida using nucleotide sequences from the ribosomal LSU and SSU genes and the protein coding Histone 3 gene. All currently known species except Ascoparia neglecta and Ascoparia secunda were included in the study in addition to several yet undescribed species. Ascopariidae and Nemertodermatidae are retrieved as separate clades, although not in all analyses as sister groups. Non-monophyly of Nemertodermatida was rejected by the Approximately Unbiased test. Nemertodermatid nucleotide sequences deposited in Genbank before 2013 were validated against our dataset; some of them are shown to be chimeric implying falsification of prior hypotheses about nemertodermatid phylogeny: other sequences should be assigned new names. We also show that the genus Nemertoderma needs revision.</t>
  </si>
  <si>
    <t>10.1007/s13127-015-0240-8</t>
  </si>
  <si>
    <t>Jurado-Rivera, JA; Alvarez, G; Caro, JA; Juan, C; Pons, J; Jaume, D</t>
  </si>
  <si>
    <t>Molecular systematics of Haploginglymus, a genus of subterranean amphipods endemic to the Iberian Peninsula (Amphipoda: Niphargidae)</t>
  </si>
  <si>
    <t>The molecular systematics of the subterranean amphipod genus Haploginglymus is addressed through the phylogenetic analysis of three DNA gene fragments (nuclear ribosomal 28S and protein- coding Histone 3, plus mitochondrial Cytochrome c Oxidase subunit I). We take advantage of the description of a new species from southern Spain (Haploginglymus geos sp. nov.) to assess the singularity of this genus endemic to the Iberian Peninsula and the inclusion of the morphologically aberrant H. morenoi within Haploginglymus. Our results corroborate the monophyly of the family Niphargidae but shows Niphargus to be paraphyletic as it currently stands, with Haploginglymus appearing nested within it. A strongly supported sister-group relationship between niphargids and the (thalassoid) pseudoniphargids is recovered as well, but we propose the Niphargidae should continue to be considered as a primary limnic group for biogeographic purposes despite its presumed marine derivation. Our findings are in agreement with previous studies that suggest the family Niphargidae originated in the late Cretaceous in the NE Atlantic, from where it eventually expanded across continental Europe.</t>
  </si>
  <si>
    <t>Le Mouël, A; Butler, A; Caron, F; Meyer, E</t>
  </si>
  <si>
    <t>Developmentally regulated chromosome fragmentation linked to imprecise elimination of repeated sequences in Paramecia</t>
  </si>
  <si>
    <t>The chromosomes of ciliates are fragmented at reproducible sites during the development of the polyploid somatic macronucleus, but the mechanisms involved appear to be quite diverse in different species. In Paramecium aurelia, the process is imprecise and results in de novo telomere addition at locally heterogeneous positions. To search for possible determinants of chromosome fragmentation, we have studied an similar to21-kb fragmentation region from the germ line genome of P. primaurelia. The mapping and sequencing of alternative macronuclear versions of the region show that two distinct multicopy elements, a minisatellite and a degenerate transposon copy, are eliminated by an imprecise mechanism leading either to chromosome fragmentation and the formation of new telomeres or to the rejoining of flanking sequences. Heterogeneous internal deletions occur between short direct repeats containing TA dinucleotides. The complex rearrangement patterns produced vary slightly among genetically identical cell lines, show non-Mendelian inheritance during sexual reproduction, and can be experimentally modified by transformation of the maternal macronucleus with homologous sequences. These results suggest that chromosome fragmentation in Paramecium is the consequence of imprecise DNA elimination events that are distinct from the precise excision of single-copy internal eliminated sequences and that target multicopy germ line sequences by homology-dependent epigenetic mechanisms.</t>
  </si>
  <si>
    <t>10.1128/EC.2.5.1076-1090.2003</t>
  </si>
  <si>
    <t>Araujo, AK; Pola, M; Malaquias, MAE; Vitale, F; Cervera, JL</t>
  </si>
  <si>
    <t>Integrative taxonomy reveals that not all European reddish runcinids are the same: the case of the Runcina ferruginea Kress, 1977 (Gastropoda, Heterobranchia, Runcinida) species-complex, with the description of a new genus</t>
  </si>
  <si>
    <t>Owing to the small size and cryptic morphology, runcinids are among the most difficult marine heterobranchs to study and consequently one of the groups about which little is known. Only recently were molecular tools and phylogenetics first employed to study the systematics. The charismatic European reddish-brown species Runcina ferruginea Kress, 1977, first described from Plymouth, UK, is a paradigm of the challenges facing the taxonomy of these slugs. Due to similarities between R. ferruginea and the Croatian species R. zavodniki described by Thompson, 1980, the latter has been considered as a junior synonym. However, molecular phylogenetics revealed the occurrence of a complex of four species masked under the name R. ferruginea. Through an integrative approach, combining multi-locus (COI, 16S rRNA and histone H3) molecular phylogenetics and morpho-anatomical characters (shape and colouration of body, radula, gizzard plates and reproductive systems) based on specimens from south-western UK, and the central and western Mediterranean Sea (Spain, France, Italy and Croatia), we redescribe R. ferruginea proper and confirm R. zavodniki as a valid species. Also, two new species are described, one belonging to the genus Runcina (R. lupiaensis sp. nov.) and the other to the new genus Pseudoruncina gen. nov. (Pseudoruncina marinae gen. et sp. nov.). Our study exposes the occurrence of cryptic diversity among runcinids and stresses the need for additional work to understand the diversity of this group of minute molluscs.</t>
  </si>
  <si>
    <t>10.1071/IS22014</t>
  </si>
  <si>
    <t>Poole, CB; Gu, WF; Kumar, S; Jin, JM; Davis, PJ; Bauche, D; McReynolds, LA</t>
  </si>
  <si>
    <t>Diversity and Expression of MicroRNAs in the Filarial Parasite, Brugia malayi</t>
  </si>
  <si>
    <t>Human filarial parasites infect an estimated 120 million people in 80 countries worldwide causing blindness and the gross disfigurement of limbs and genitals. An understanding of RNA-mediated regulatory pathways in these parasites may open new avenues for treatment. Toward this goal, small RNAs from Brugia malayi adult females, males and microfilariae were cloned for deep-sequencing. From similar to 30 million sequencing reads, 145 miRNAs were identified in the B. malayi genome. Some microRNAs were validated using the p19 RNA binding protein and qPCR. B. malayi miRNAs segregate into 99 families each defined by a unique seed sequence. Sixty-one of the miRNA families are highly conserved with homologues in arthropods, vertebrates and helminths. Of those miRNAs not highly conserved, homologues of 20 B. malayi miRNA families were found in vertebrates. Nine B. malayi miRNA families appear to be filarial-specific as orthologues were not found in other organisms. The miR-2 family is the largest in B. malayi with 11 members. Analysis of the sequences shows that six members result from a recent expansion of the family. Library comparisons found that 1/3 of the B. malayi miRNAs are differentially expressed. For example, miR-71 is 5-7X more highly expressed in microfilariae than adults. Studies suggest that in C. elegans, miR-71 may enhance longevity by targeting the DAF-2 pathway. Characterization of B. malayi miRNAs and their targets will enhance our understanding of their regulatory pathways in filariads and aid in the search for novel therapeutics.</t>
  </si>
  <si>
    <t>10.1371/journal.pone.0096498</t>
  </si>
  <si>
    <t>Radashevsky, VI; Pankova, VV</t>
  </si>
  <si>
    <t>Review of Arctic and Pacific Marenzelleria (Annelida: Spionidae), with new records and comments on Spio gorbunovi Averincev, 1990</t>
  </si>
  <si>
    <t>AFRICAN ZOOLOGY</t>
  </si>
  <si>
    <t>Here we summarise and map available records of the spionid polychaetes Marenzelleria spp. from the Arctic and Pacific Oceans based on morphology and analysis of sequences of five gene fragments (COI, 16S, 18S, 28S and Histone 3). We define for the first time the complex of M. arctia species, including M. arctia-1 from the Baltic, Barents and White Seas, and M. arctia-2 from the Kara Sea east to the Bering Strait. The relationships of these groups to M. arctia (Chamberlin, 1920) from the type locality of this species in the Beaufort Sea remain unclear. We report a new record of M. neglecta Sikorski and Bick, 2004 from Oregon, USA, and consider the presence of this species in the Canadian Arctic and USA Pacific due to introductions for which routes and vectors remain unclear. We also report M. wireni Augener, 1913 for the first time from Arctic Canada (Nunavut). Molecular analysis showed a genetic similarity of the Canadian specimens with worms identified as M. wireni from the Greenland and Laptev Seas. We expect that a future phylogenetic analysis of the relationships of the Asian population, which is currently referred to M. arctia and has never been studied genetically, will shed light on the origin and evolution of the entire genus. Study of the type specimens of Spio gorbunovi Averincev, 1990, described from the Laptev Sea, revealed that this species is a junior synonym of M. arctia, rather than M. wireni as proposed by previous authors.</t>
  </si>
  <si>
    <t>MAR 27</t>
  </si>
  <si>
    <t>10.1080/15627020.2024.2426456</t>
  </si>
  <si>
    <t>Xia, XL; Jiang, ZQ; Liu, W; Li, YL; Zheng, X; Tang, L</t>
  </si>
  <si>
    <t>MiR-1258/MEX3A Axis Inhibits the Proliferation of Thyroid Cancer Cells and EMT by Inhibiting the AKT Pathway</t>
  </si>
  <si>
    <t>Objective: Thyroid cancer (TC) is a malignant tumor. The incidence of this disease has increased progressively yearly, seriously threatening the lives safety of Chinese residents. The aim of this study was using the Cancer Genome Atlas (TCGA) database, combined with the means of bioinformatics, to screen the candidate gene targets that affect the occurrence, prognosis and survival of TC, and verify the influence of candidate genes on the phenotype of TC through experiments, so as to supply a basis for the search for new TC treatment targets.Methods: Differential micro-ribonucleic acids (miRNAs) and messenger-ribonucleic acids (mRNAs) associated with TC were obtained from the TCGA database and analyzed using bioinformatics. The target gene of microRNA (miR)-1258 was verified, through a double luciferase assay. The proliferation, migration and invasion capability of TC cells were detected through 5ethynyl-2'-deoxyuridine (EDU) staining and the Transwell experiment. The expressions of miR-1258, Mex-3 RNA binding family member A (MEX3A), protein kinase B (AKT), Vimentin, E-Cadherin and Snail in TC cells and animal models were tested through quantitative polymerase chain reaction (qPCR) and Western blot. In animal models, hematoxylin-eosin (HE) staining was applied to observe the pathological conditions of tumor tissues, and TdT-mediated dUTP nick end labeling (TUNEL) was used to detect apoptosis.Results: This project proved that MEX3A was the target gene of miRNA and miR-1258 could inhibit its expression. Overexpression of miR-1258 could significantly decrease the propagation, migration and invasion ability of TC cells, inhibit tumor growth in TC animal models and improve the pathological conditions of tumor tissues. After miR-1258 and MEX3A were overexpressed simultaneously, the proliferation, migration and invasion of TC cells were weaker than the overexpression of MEX3A alone (p &lt; 0.05). MiR-1258 increased E-Cadherin and reduced Vimentin, Snail and AKT's phosphorylation form (p-AKT) expression through targeted inhibition of MEX3A.Conclusions: MiR-1258 suppressed the AKT pathway through targeted inhibition of MEX3A, thereby inhibiting the proliferation and epithelial-mesenchymal transition (EMT) of TC cells.</t>
  </si>
  <si>
    <t>10.23812/j.biol.regul.homeost.agents.20233706.289</t>
  </si>
  <si>
    <t>Huang, YX; Xiao, D; Huang, SH; Zhuang, JX; Zheng, XQ; Chang, YB; Yin, D</t>
  </si>
  <si>
    <t>Circular RNA YAP1 attenuates osteoporosis through up-regulation of YAP1 and activation of Wnt/β-catenin pathway</t>
  </si>
  <si>
    <t>Background: Osteoporosis is a systemic bone disease resulting from decreased bone mass and bone microstructure degeneration. Yes-associated protein 1 (YAP1) belongs to YAP family and plays a significant part in controlling bone quality. Aim of the study: Present study aimed to study the function and up-stream mechanism of YAP1 in the differentiation of BMSCs (bone marrow stromal cells) and MC3T3-E1. Methods: ALP staining, alizarin red staining and western blot analysis of osteogenic biomarkers determined osteogenic differentiation in BMSCs and MC3T3-E1. Mechanistic assays including luciferase reporter assay, RIP assay and RNA pull down assay disclosed the interplays between RNAs. Results: YAP1 promoted osteogenic differentiation of BMSCs and MC3T3-E1. Circ_0024097 originated from YAP1 sponged miR-376b-3p to elevate YAP1 expression in BMSCs and MC3T3-E1. Further, YAP1 mediated circ_0024097- promoted effects on osteogenic differentiation. Moreover, circ_0024097 activated Wnt/beta-catenin pathway to facilitate osteogenic differentiation. Conclusion: It was firstly uncovered in present study that circ_0024097 attenuated osteoporosis through promoting osteogenic differentiation via miR-376b-3p/YAP1 axis and Wnt/beta-catenin pathway.</t>
  </si>
  <si>
    <t>10.1016/j.biopha.2020.110365</t>
  </si>
  <si>
    <t>Souza-Carvalho, EA; Magalhaes, C; Carvalho, FL; Mantelatto, FL</t>
  </si>
  <si>
    <t>Systematics of Neotropical freshwater crabs Trichodactylinae based on multi-genes and morphological data: new tribe and new combinations</t>
  </si>
  <si>
    <t>ARTHROPOD SYSTEMATICS &amp; PHYLOGENY</t>
  </si>
  <si>
    <t>The generic system of the Neotropical crabs of the subfamily Trichodactylinae H. Milne Edwards, 1853 has remained quite stable over the last 30 years, but the recognition or not of the genus Mikrotrichodactylus Pretzmann, 1968 has been a matter of debate: erected as a subgenus, it was treated with generic status in Rodriguez' classificatory system but some subsequent works considered it a junior synonym of Trichodactylus Latreille, 1828. Based on this scenario, an integrative analysis based on molecular (using two mitochondrial, 16S rRNA and COI, and one nuclear, Histone 3, genes) and morphological (using diagnostic characters traditionally used on the identification of the family) data was performed in order to clarify the phylogenetic position of the genera within Trichodactylinae. The inferred phylogeny recovered three great lineages within Trichodactylinae with high support values in both Bayesian Inference and Maximum Likelihood phylogenetic analyses, corroborated the non-monophyletic status of Trichodactylus, and confirmed the full generic status of Mikrotrichodactylus. A taxonomic rearrangement of Trichodactylinae is proposed but the positioning of Trichodactylus quinquedentatus Rathbun, 1893 remains doubtful and was treated herein as a taxon inquirendum et incertae sedis. This taxon seems to be closer related to Rodriguezia Bott, 1969, and Avotrichodactylus Pretzmann, 1968; however, more data are needed before additional taxonomic adjustments concerning its positioning within the subfamily is proposed. In the current proposal, Trichodactylus is composed by four species, Mikrotrichodactylus by six species, Avotrichodactylus and Rodriguezia by three each, in addition to Trichodactylus quinquedentatus.</t>
  </si>
  <si>
    <t>JUL 18</t>
  </si>
  <si>
    <t>10.3897/asp.83.e153079</t>
  </si>
  <si>
    <t>Shinomiya, C; Kobayashi, G; Seike, K; Yamashita, M; Yamamori, L; Sugiyama, T; Kawamura, M; Nishikawa, K; Goto, R</t>
  </si>
  <si>
    <t>Molecular and Morphological Assessment of Juvenile and Adult Forms in the Giant Worm Eunice cf. aphroditois (Annelida: Eunicidae) and Its Phylogenetic Position in the Family</t>
  </si>
  <si>
    <t>Eunice aphroditois (Pallas, 1788) is a large polychaete worm (up to 3 m in length) and the type species of the genus. In Japan, a similar but potentially different species, Eunice cf. aphroditois, is distributed mainly in the rocky shores of the temperate and warm Pacific coasts. Juveniles and adults were suggested to be distinguished by their body color. The juvenile form was previously regarded as distinct species, Eunice flavopicta Izuka, 1912 and Eunice ovalifera Fauvel, 1936, although they are now considered synonymous with E. aphroditois. In this study, we revisited the validity of the present taxonomy based on morphological observations including SEM and microCT, and three molecular markers (cytochrome c oxidase subunit I [COI], 16S rRNA, and histone H3 genes) and investigated the phylogenetic position of E. cf. aphroditois in the family Eunicidae using the combined dataset of three genes (COI + 16S rRNA + 18S rRNA). The adult and juvenile forms were different in body size, color, the distribution of the branchiae and subacicular hooks, and maxillae shape, but not in other characteristics. One individual showed an intermediate body color between the two forms. The adult and juvenile forms shared major haplotypes and the maximum K2P genetic distance of COI was 1.7%, which can be considered within intraspecific variation. In the phylogenetic tree based on the combined gene dataset, E. cf. aphroditois was closely related to Eunice roussaei Quatrefages, 1866 and Eunice cf. violaceomaculata Ehlers, 1887, which are large species from the Mediterranean Sea and the Caribbean Sea, respectively.</t>
  </si>
  <si>
    <t>10.2108/zs220075</t>
  </si>
  <si>
    <t>Berry, E; Hardt, JL; Clardy, J; Lurain, JR; Kim, JJ</t>
  </si>
  <si>
    <t>Induction of apoptosis in endometrial cancer cells by psammaplysene A involves FOXO1</t>
  </si>
  <si>
    <t>Objective. Endometrial cancer is the most common type of gynecologic cancer in the United States. In this study, we propose that a marine sponge compound, psammaplysene A (PsA) induces apoptosis in endometrial cancer cells through forced nuclear expression of FOXO1. Methods. Ishikawa and ECC1 cells were treated with varying doses of PsA. FOXO1 protein localization was observed using immunofluorescent staining of cells. The effects of PsA on cell viability and proliferation were assessed using a cell viability assay and a BrdU incorporation assay respectively. Cell cycle analysis was performed using flow cytometry. To assess the role of FOXO1 in PsA-induced apoptosis, FOXO1 was silenced in ECC1 cells using siRNA technique, and overexpressed in Ishikawa cells using an adenovirus containing FOXO1 cDNAs. Western blots were used to measure levels of FOXO1 and cleaved PARP proteins. Results. Treatment of both ECC1 and Ishikawa cells with PsA caused an increase in nuclear FOXO1 protein, a dramatic decrease in cell viability of approximately 5-fold (p&lt;0.05) and minimal effect on proliferation. Furthermore, treatment of cells with PsA doubled the percentage of cells in the G2/M phase (p&lt;0.05). PsA induced apoptosis in endometrial cancer cells. When FOXO1 was silenced in ECC1 cells and treated with PsA, the incidence of apoptosis decreased. In addition, overexpression of FOXO1 with PsA treatment increased apoptosis. Conclusions. Increasing nuclear FOXO1 function is important for the induction of apoptosis of endometrial cancer cells by PsA. (C) 2008 Elsevier Inc. All rights reserved.</t>
  </si>
  <si>
    <t>10.1016/j.ygyno.2008.10.017</t>
  </si>
  <si>
    <t>Gu, XY; Qiao, X; Yu, SM; Song, XR; Wang, LL; Song, LS</t>
  </si>
  <si>
    <t>Histone lysine-specific demethylase 1 regulates the proliferation of hemocytes in the oyster Crassostrea gigas</t>
  </si>
  <si>
    <t>BackgroundLysine-specific demethylase 1 (LSD1) is an essential epigenetic regulator of hematopoietic differentiation, which can specifically mono-methylate H3K4 (H3K4me1) and di-methylate H3K4 (H3K4me2) as a transcriptional corepressor. Previous reports have been suggested that it participated in hematopoiesis and embryonic development process. Here, a conserved LSD1 (CgLSD1) with a SWIRM domain and an amino oxidase (AO) domain was identified from the Pacific oyster Crassostrea gigas. MethodsWe conducted a comprehensive analysis by various means to verify the function of CgLSD1 in hematopoietic process, including quantitative real-time PCR (qRT-PCR) analysis, western blot analysis, immunofluorescence assay, RNA interference (RNAi) and flow cytometry. ResultsThe qRT-PCR analysis revealed that the transcripts of CgLSD1 were widely expressed in oyster tissues with the highest level in the mantle. And the transcripts of CgLSD1 were ubiquitously expressed during larval development with the highest expression level at the early D-veliger larvae stage. In hemocytes after Vibrio splendidus stimulation, the transcripts of CgLSD1 were significantly downregulated at 3, 6, 24, and 48 h with the lowest level at 3 h compared to that in the Seawater group (SW group). Immunocytochemical analysis showed that CgLSD1 was mainly distributed in the nucleus of hemocytes. After the CgLSD1 was knocked down by RNAi, the H3K4me1 and H3K4me2 methylation level significantly increased in hemocyte protein. Besides, the percentage of hemocytes with EdU-positive signals in the total circulating hemocytes significantly increased after V. splendidus stimulation. After RNAi of CgLSD1, the expression of potential granulocyte markers CgSOX11 and CgAATase as well as oyster cytokine-like factor CgAstakine were increased significantly in mRNA level, while the transcripts of potential agranulocyte marker CgCD9 was decreased significantly after V. splendidus stimulation. ConclusionThe above results demonstrated that CgLSD1 was a conserved member of lysine demethylate enzymes that regulate hemocyte proliferation during the hematopoietic process.</t>
  </si>
  <si>
    <t>10.3389/fimmu.2022.1088149</t>
  </si>
  <si>
    <t>Kitson, JJN; Warren, BH; Thébaud, C; Strasberg, D; Emerson, BC</t>
  </si>
  <si>
    <t>Community assembly and diversification in a species-rich radiation of island weevils (Coleoptera: Cratopini)</t>
  </si>
  <si>
    <t>Aim: To test a prediction derived from island biogeographical theory that insitu speciation should make an increasingly important contribution to community assembly as islands age. This prediction is tested on estimated biogeographical histories from Mauritius (approximately 9 Myr) and Reunion (approximately 5 Myr). We additionally investigate the evolutionary dynamics of insect flight loss, as the loss of flight in island lineages can influence patterns of diversification. Location: Mascarene Islands; Southwest Indian Ocean. Taxon: Weevils. Methods: Up to five individuals of each taxonomically described species sampled within each sampling site were sequenced for the mitochondrial gene Cytochrome Oxidase II to delimit operational taxonomic units (OTUs). OTUs were further sequenced for the nuclear genes Arginine Kinase, Histone 3 and ribosomal 28s, to reconstruct the phylogenetic history of the group. Timings of colonization and insitu speciation events were estimated with BEAST2. Results: Our results support the hypothesis that present-day species richness on the older island of Mauritius is largely the result of insitu speciation, with few colonization events, of which all but the most basal are recent. In contrast, Reunion presents a more uniform temporal spectrum of colonization times. Flight loss has evolved convergently at least five times, and speciation events associated with flight loss are significantly younger than speciation events that have not resulted in flight loss. Main conclusions: Patterns of community assembly on the islands of Mauritius and Reunion fit a model where the addition of new species and species turnover is increasingly dominated by insitu speciation as an island community matures. Repeated flight loss indicates selection for flightlessness, with the young age of flightless lineages suggesting higher extinction rates over longer evolutionary time-scales and little influence on present-day species richness.</t>
  </si>
  <si>
    <t>10.1111/jbi.13393</t>
  </si>
  <si>
    <t>de Vanssay, A; Touzeau, A; Arnaiz, O; Frapporti, A; Phipps, J; Duharcourt, S</t>
  </si>
  <si>
    <t>The Paramecium histone chaperone Spt16-1 is required for Pgm endonuclease function in programmed genome rearrangements</t>
  </si>
  <si>
    <t>In Paramecium tetraurelia, a large proportion of the germline genome is reproducibly removed from the somatic genome after sexual events via a process involving small (s)RNA-directed heterochromatin formation and DNA excision and repair. How germline limited DNA sequences are specifically recognized in the context of chromatin remains elusive. Here, we use a reverse genetics approach to identify factors involved in programmed genome rearrangements. We have identified a P. tetraurelia homolog of the highly conserved histone chaperone Spt16 subunit of the FACT complex, Spt16-1, and show its expression is developmentally regulated. A functional GFP-Spt16-1 fusion protein localized exclusively in the nuclei where genome rearrangements take place. Gene silencing of Spt16-1 showed it is required for the elimination of all germline-limited sequences, for the survival of sexual progeny, and for the accumulation of internal eliminated sequence (ies)RNAs, an sRNA population produced when elimination occurs. Normal accumulation of 25 nt scanRNAs and deposition of silent histone marks H3K9me3 and H3K27me3 indicated that Spt16-1 does not regulate the scanRNA-directed heterochromatin pathway involved in the early steps of DNA elimination. We further show that Spt16-1 is required for the correct nuclear localization of the PiggyMac (Pgm) endonuclease, which generates the DNA double-strand breaks required for DNA elimination. Thus, Spt16-1 is essential for Pgm function during programmed genome rearrangements. We propose a model in which Spt16-1 mediates interactions between the excision machinery and chromatin, facilitating endonuclease access to DNA cleavage sites during genome rearrangements. Author summary The genome is generally similar in all the cells of an organism. However, in the ciliate Paramecium tetraurelia, massive and reproducible programmed DNA elimination leads to a highly streamlined somatic genome. In eukaryotes, DNA is packaged into nucleosomes, which ensure genome integrity but act as a barrier to enzymes acting on DNA. How the endonuclease PiggyMac gains access to the genome to initiate DNA elimination remains elusive. Here, we identified four P. tetraurelia genes encoding homologs of the conserved histone chaperone Spt16, which can modulate acesss to DNA by promoting nucleosome assembly and disassembly. We demonstrated that the most divergent gene, SPT16-1, has a highly specialized expression pattern, similar to that of PiggyMac, and a specific role in programmed DNA elimination. We show that the Spt16-1 protein, like PiggyMac, is exclusively localized in the differentiating somatic nucleus, and is also required for the dramatic elimination of germline-limited sequences. We further show that Spt16-1 directs the correct nuclear localization of the PiggyMac endonuclease. Thus, Spt16-1 is essential for PiggyMac function during programmed DNA elimination. We propose that Spt16-1 mediates the interaction between PiggyMac and chromatin or DNA, facilitating endonuclease access to DNA cleavage sites.</t>
  </si>
  <si>
    <t>10.1371/journal.pgen.1008949</t>
  </si>
  <si>
    <t>Gassen, A; Brechtefeld, D; Schandry, N; Arteaga-Salas, JM; Israel, L; Imhof, A; Janzen, CJ</t>
  </si>
  <si>
    <t>DOT1A-dependent H3K76 methylation is required for replication regulation in Trypanosoma brucei</t>
  </si>
  <si>
    <t>Cell-cycle progression requires careful regulation to ensure accurate propagation of genetic material to the daughter cells. Although many cell-cycle regulators are evolutionarily conserved in the protozoan parasite Trypanosoma brucei, novel regulatory mechanisms seem to have evolved. Here, we analyse the function of the histone methyltransferase DOT1A during cell-cycle progression. Over-expression of DOT1A generates a population of cells with aneuploid nuclei as well as enucleated cells. Detailed analysis shows that DOT1A over-expression causes continuous replication of the nuclear DNA. In contrast, depletion of DOT1A by RNAi abolishes replication but does not prevent karyokinesis. As histone H3K76 methylation has never been associated with replication control in eukaryotes before, we have discovered a novel function of DOT1 enzymes, which might not be unique to trypanosomes.</t>
  </si>
  <si>
    <t>10.1093/nar/gks801</t>
  </si>
  <si>
    <t>Goos, C; Dejung, M; Janzen, CJ; Butter, F; Kramer, S</t>
  </si>
  <si>
    <t>The nuclear proteome of Trypanosoma brucei</t>
  </si>
  <si>
    <t>Trypanosoma brucei is a protozoan flagellate that is transmitted by tsetse flies into the mammalian bloodstream. The parasite has a huge impact on human health both directly by causing African sleeping sickness and indirectly, by infecting domestic cattle. The biology of trypanosomes involves some highly unusual, nuclear-localised processes. These include polycistronic transcription without classical promoters initiated from regions defined by histone variants, trans-splicing of all transcripts to the exon of a spliced leader RNA, transcription of some very abundant proteins by RNA polymerase I and antigenic variation, a switch in expression of the cell surface protein variants that allows the parasite to resist the immune system of its mammalian host. Here, we provide the nuclear proteome of procyclic Trypanosoma brucei, the stage that resides within the tsetse fly midgut. We have performed quantitative label-free mass spectrometry to score 764 significantly nuclear enriched proteins in comparison to whole cell lysates. A comparison with proteomes of several experimentally characterised nuclear and non-nuclear structures and pathways confirmed the high quality of the dataset: the proteome contains about 80% of all nuclear proteins and less than 2% false positives. Using motif enrichment, we found the amino acid sequence KRxR present in a large number of nuclear proteins. KRxR is a sub-motif of a classical eukaryotic monopartite nuclear localisation signal and could be responsible for nuclear localization of proteins in Kinetoplastida species. As a proof of principle, we have confirmed the nuclear localisation of six proteins with previously unknown localisation by expressing eYFP fusion proteins. While proteome data of several T. brucei organelles have been published, our nuclear proteome closes an important gap in knowledge to study trypanosome biology, in particular nuclearrelated processes.</t>
  </si>
  <si>
    <t>10.1371/journal.pone.0181884</t>
  </si>
  <si>
    <t>Lavrov, A; Ekimova, I; Schepetov, D; Koinova, A; Ereskovsky, A</t>
  </si>
  <si>
    <t>The complex case of the calcareous sponge Leucosolenia complicata (Porifera: Calcarea): hidden diversity in Boreal and Arctic regions with description of a new species</t>
  </si>
  <si>
    <t>In this study, we present the first integrative revision of the Boreal and Arctic calcareous sponges of the genus Leucosolenia with a specific focus on its biodiversity in the White Sea. The material for this work included a combination of newly collected specimens from different regions of the North-East Atlantic and the White Sea and historical museum collections. An integrative analysis was implemented based on vast morphological data (light microscopy, scanning and transmission electron microscopy), microbiome observations, ecological data, accompanied by molecular phylogenetic and species' delimitation analyses based on three nuclear markers (28S rRNA, 18S rRNA, and histone 3). We demonstrate that Leucosolenia complicata, previously reported from Arctic waters, is restricted to the North-East Atlantic, while in the Arctic, Leucosolenia diversity is represented by at least four species: Leucosolenia corallorrhiza, Leucosolenia variabilis, and two new species, one of which is described herein under the name Leucosolenia creepae sp. nov.. The molecular phylogeny analysis supports the species identity of these species. In addition to conventional morphological characters, new informative fine morphological characters (skeleton and oscular crown organization; cytological structure, including morphotypes of symbiotic bacteria) were found, providing a baseline for further revision of this group in other regions.</t>
  </si>
  <si>
    <t>10.1093/zoolinnean/zlad104</t>
  </si>
  <si>
    <t>Ahmed, RB; Gajda, L; Utevsky, S; Kvist, S; Swiatek, P</t>
  </si>
  <si>
    <t>Placobdella nabeulensis sp. nov. (Hirudinea: Glossiphoniidae), a new glossiphoniiform leech from Palearctic North Africa</t>
  </si>
  <si>
    <t>BackgroundHerein, we describe a new species of turtle blood-feeding leech, Placobdella nabeulensis sp. nov. from Palearctic North Africa (Tunisia and Algeria). The new species is described based on detailed morphological analyses using light and scanning electron microscopes.ResultsApart from the detailed morphology of the atrium, morphological features alone do not sufficiently separate the species from congeners due to the absence of distinct diagnostic characters. Therefore, we turned to molecular data to better distinguish this new species from other members of the genus and establish a basis for its genetic separation. Four DNA fragments were successfully amplified, including mitochondrial COI and 12S rDNA, as well as nuclear 28S rDNA and histone H3. We then provided the molecular descriptor of the taxon, based on redundant diagnostic nucleotide combinations in DNA sequence alignment within the Folmer region. Results of the phylogenetic analysis and species delimitation methods (ABGD, ASAP, and bPTP) based on the COI locus support the species rank of the Tunisian-Algerian Placobdella.ConclusionsThe new species is most closely related to the European species Placobdella costata (Fr. Muller, 1846) and the present study indicates that Placobdella nabeulensis sp. nov. has likely been confused with the European counterpart in several previous studies. This article is registered at www.zoobank.org under urn:lsid:zoobank.org:pub:4A4B9C1D-2556-430F-8E4B-0CE99F2012F5.</t>
  </si>
  <si>
    <t>10.1007/s11033-023-08594-z</t>
  </si>
  <si>
    <t>No, AR; Okada, K; Kogure, K; Park, KS</t>
  </si>
  <si>
    <t>Rapid detection of Vibrio parahaemolyticus by PCR targeted to the histone-like nucleoid structure (H-NS) gene and its genetic characterization</t>
  </si>
  <si>
    <t>LETTERS IN APPLIED MICROBIOLOGY</t>
  </si>
  <si>
    <t>Aims: The aim of this study was to explore a new PCR target gene for Vibrio parahaemolyticus, based on the histone-like nucleoid structure (H-NS) gene. Methods and Results: Primers for the H-NS gene were designed for specificity to V. parahaemolyticus and incorporated into a PCR assay. The PCR assay was able to specifically detect all of the 82 V. parahaemolyticus strains tested, but did not result in amplification in the 47 other Vibrio spp. and nonVibrio spp. strains. The detection limit of the PCR assay was 0.14 pg purified genomic DNA and 1.8 x 10(5) CFU g(-1) spiked oyster samples from V. parahaemolyticus RIMD2210633. Furthermore, a multiplex PCR assay targeting the hns, tdh and trh genes was successfully developed to detect virulent V. parahaemolyticus strains. Conclusions: The H-NS-based PCR assay developed in this study was sensitive and specific, with great potential for field detection of V. parahaemolyticus in seawater or seafood samples. Significance and Impact of the Study: The H-NS gene was validated as a new specific marker gene in PCR assays for accurate detection and identification of V. parahaemolyticus, which has the potential to be applied in diagnostics and taxonomic studies.</t>
  </si>
  <si>
    <t>10.1111/j.1472-765X.2011.03072.x</t>
  </si>
  <si>
    <t>Martín-Hervás, MR; Carmona, L; Jensen, KR; Licchelli, C; Vitale, F; Cervera, JL</t>
  </si>
  <si>
    <t>Description of a new pseudocryptic species of Elysia Risso, 1818 (Heterobranchia, Sacoglossa) in the Mediterranean Sea</t>
  </si>
  <si>
    <t>BULLETIN OF MARINE SCIENCE</t>
  </si>
  <si>
    <t>A new sacoglossan species of the genus Elysia Risso, 1818 from southern Italy is described based on its external morphology, color pattern, radular teeth, and reproductive system. Specimens of this new species were previously attributed to Elysia viridis (Montagu, 1804) because of morphological similarity, but maximum-likelihood and Bayesian analyses based on four genes (mitochondrial cytochrome c oxidase subunit I, 16S rRNA, nuclear 285 rRNA, Histone 3), including 28 additional species of Elysia from the Atlantic, showed that they are distinct. In addition, to determine the identity of these specimens, different species delimitation analyses [Automatic Barcode Gap Discovery (ABGD), General Mixed Yule Coalescent (GMYC), Bayesian Poisson Tree Processes, (bPTP)] were carried out. The molecular results support the validity of this new species of Elysia from the Mediterranean Sea, named Elysia rubeni sp. nov. This new species is characterized by a bright light greenish surface color due to the abundance of kleptoplasts. It can be distinguished by its bright blue specks and minute sparkling yellow dots scattered along the body, as well as its smooth and greyish rhinophores.</t>
  </si>
  <si>
    <t>10.5343/bms.2018.0087</t>
  </si>
  <si>
    <t>Tavares, J; Ouaissi, A; Lin, PKT; Loureiro, I; Kaur, S; Roy, N; Cordeiro-Da-Silva, A</t>
  </si>
  <si>
    <t>Bisnaphthalimidopropyl Derivatives as Inhibitors of Leishmania SIR2 Related Protein 1</t>
  </si>
  <si>
    <t>CHEMMEDCHEM</t>
  </si>
  <si>
    <t>The NAD(+)-dependent deacetylases, namely sirtuins, are involved in the regulation of a variety of biological processes such as gene silencing, DNA repair, longevity, metabolism, apoptosis, and development. An enzyme from the parasite Leishmania infantum that belongs to this family, LiSIR2RP1, is a NAD(+)-dependent tubulin deacetylase and an ADP-ribosyltransferase. This enzyme's involvement in L. infantum virulence and survival underscores its potential as a drug target. Our search for selective inhibitors of LiSIR2RP1 has led, for the first time, to the identification of the antiparasitic and anticancer bisnaphthalimidopropyl (BNIP) alkyl di- and triamines (IC50 values in the single-digit micromolar range for the most potent compounds). Structure-activity studies were conducted with 12 BNIP derivatives that differ in the length of the central alkyl chain, which links the two naphthalimidopropyl moieties. The most active and selective compound is the BNIP diaminononane (BNIPDanon), with IC50 values of 5.7 and 97.4 mu M against the parasite and human forms (SIRTI) of the enzyme, respectively. Furthermore, this compound is an NAD(+)-competitive inhibitor that interacts differently with the parasite and human enzymes, as determined by docking analysis, which might explain its selectivity toward the parasitic enzyme.</t>
  </si>
  <si>
    <t>10.1002/cmdc.200900367</t>
  </si>
  <si>
    <t>Goldberg, S; Visochek, L; Giladi, E; Gozes, I; Cohen-Armon, M</t>
  </si>
  <si>
    <t>PolyADP-ribosylation is required for long-term memory formation in mammals</t>
  </si>
  <si>
    <t>JOURNAL OF NEUROCHEMISTRY</t>
  </si>
  <si>
    <t>PolyADP-ribosylation is a post-translational modification of nuclear proteins, catalyzed by polyADP-ribose polymerases (PARPs). In the nucleus, polyADP-ribosylation catalyzed by PARP-1 alters protein-protein and protein-DNA interactions, and is implicated in chromatin remodeling, DNA transcription, and repair. Previous results linked the activation of PARP-1 with long-term memory formation during learning in the marine mollusk Aplysia ( Science 2004, 304:1820-1822). Furthermore, PARP-1 was highly activated in mammalian cerebral neurons treated with neurotrophins and neurotrophic peptides promoting neurite outgrowth and synaptic plasticity. Here, we examine the possibility that PARP-1 activation is required for memory formation during learning in mammals. Mice were tested in two learning paradigms, object recognition and fear conditioning. PolyADP-ribosylation of PARP-1 and histone H1 were detected in their cerebral cortex and hippocampus immediately after their training session. Moreover, in both behavioral paradigms, suppression of PARP activity in the CNS during learning impaired their long-term memory formation, without damaging their short-term memory. These findings implicate PARP-1 activation in molecular processes underlying long-term memory formation during learning.</t>
  </si>
  <si>
    <t>10.1111/j.1471-4159.2009.06296.x</t>
  </si>
  <si>
    <t>Masud, T; Soong, C; Xu, H; Biele, J; Bjornson, S; McKinney, S; Aparicio, S</t>
  </si>
  <si>
    <t>Ubiquitin-mediated DNA damage response is synthetic lethal with G-quadruplex stabilizer CX-5461</t>
  </si>
  <si>
    <t>CX-5461 is a G-quadruplex (G4) ligand currently in trials with initial indications of clinical activity in cancers with defects in homologous recombination repair. To identify more genetic defects that could sensitize tumors to CX-5461, we tested synthetic lethality for 480 DNA repair and genome maintenance genes to CX-5461, pyridostatin (PDS), a structurally unrelated G4-specific stabilizer, and BMH-21, which binds GC-rich DNA but not G4 structures. We identified multiple members of HRD, Fanconi Anemia pathways, and POLQ, a polymerase with a helicase domain important for G4 structure resolution. Significant synthetic lethality was observed with UBE2N and RNF168, key members of the DNA damage response associated ubiquitin signaling pathway. Loss-of-function of RNF168 and UBE2N resulted in significantly lower cell survival in the presence of CX-5461 and PDS but not BMH-21. RNF168 recruitment and histone ubiquitination increased with CX-5461 treatment, and nuclear ubiquitination response frequently co-localized with G4 structures. Pharmacological inhibition of UBE2N acted synergistically with CX-5461. In conclusion, we have uncovered novel genetic vulnerabilities to CX-5461 with potential significance for patient selection in future clinical trials.</t>
  </si>
  <si>
    <t>10.1038/s41598-021-88988-w</t>
  </si>
  <si>
    <t>Zheng, L; Liang, H; Zhang, QL; Shen, ZC; Sun, YX; Zhao, XY; Gong, JJ; Hou, ZY; Jiang, KW; Wang, Q; Jin, Y; Yin, YX</t>
  </si>
  <si>
    <t>circPTEN1, a circular RNA generated from PTEN, suppresses cancer progression through inhibition of TGF-β/Smad signaling</t>
  </si>
  <si>
    <t>MOLECULAR CANCER</t>
  </si>
  <si>
    <t>Background: PTEN is one of the most frequently mutated genes in human cancer. Although the roles of canonical PTEN protein and PTEN isoforms have been extensively explored, the current understanding of PTEN family members cannot fully illustrate the diversity of their roles in biological processes and tumor development. Notably, the function of noncoding RNAs arising from PTEN has been less elucidated. Methods: We searched circBase and circl nteractome to analyze the potential of PTEN for generating circRNAs. Then, Sanger sequencing, RNase R and Actinomycin D assays were used to verify the ring structure of circPTEN1. In situ hybridization and qRT-PCR were used to determine the level of circPTEN1 in peritumor and tumor tissues of colorectal cancer (CRC). Furthermore, functional experiments, including Transwell assay, 3D multicellular tumor spheroid invasion assay and metastasis models, were performed using circPTEN1 knockdown and overexpression cell lines in vitro and in vivo to investigate the effects of circPTEN1 on tumor metastasis in CRC. Mechanistically, luciferase reporter assay, fluorescence in situ hybridization, electrophoretic mobility shift assay, RNA immunoprecipitation, RNA pulldown and mass spectrometry were executed. Results: We identified a circular RNA generated from the PTEN gene, designated circPTEN1, that is frequently downregulated in colorectal cancer, and decreased expression of circPTEN1 predicts poor survival. Low expression of circPTEN1 promotes metastasis in PDX models in vivo and accelerates cancer cell invasion in vitro, whereas overexpression of circPTEN1 reveals opposite roles. Mechanically, we found that circPTEN1 is capable of binding the MH2 domain of Smad4 to disrupt its physical interaction with Smad2/3, which reduces the formation and subsequent nucleus translocation of Smad complexes and consequently suppresses the expression of its downstream genes associated with epithelial-mesenchymal transition upon TGF-beta stimulation. Furthermore, we found that eIF4A3 suppresses the cyclization of circPTEN1 by directly binding to the circPTEN1 flanking region. Conclusions: Our study uncovered a novel PTEN gene-generated circRNA with a tumor suppression function, and further revealed the mechanism of circPTEN1 in CRC metastasis mediated by TGF-beta. The identification of circPTEN1 provides a new direction for PTEN investigation, and elucidation of circPTEN1/TGF-beta/Smad signaling may pave the way for the development of a potential therapeutic strategy for the suppression of cancer progression.</t>
  </si>
  <si>
    <t>FEB 8</t>
  </si>
  <si>
    <t>10.1186/s12943-022-01495-y</t>
  </si>
  <si>
    <t>Belli, SI; Monnerat, S; Schaff, C; Masina, S; Noll, T; Myler, PJ; Stuart, K; Fasel, N</t>
  </si>
  <si>
    <t>Sense and antisense transcripts in the histone H1 (HIS-1) locus of Leishmania major</t>
  </si>
  <si>
    <t>Histone H I in the parasitic protozoan Leishmania is a developmentally regulated protein encoded by two genes, HIS-1.1 and HIS-1.2. These genes are separated by similar to20 kb of sequence and are located on the same DNA strand of chromosome 27. When Northern blots of parasite RNA were probed with HIS-1 strand-specific riboprobes, we detected sense and antisense transcripts that were polyadenylated and developmentally regulated. When the HIS-1.2 coding region was replaced with the coding region of the neomycin phosphotransferase gene, antisense transcription of this gene was unaffected, indicating that the regulatory elements controlling antisense transcription were located outside of the HIS-1.2 gene, and that transcription in Leishmania can occur from both DNA strands even in the presence of transcription of a selectable marker in the complementary strand. A search for other antisense transcripts within the HIS-1 locus identified an additional transcript (SC-1) within the intervening HIS-I sequence, downstream of adenine and thymine-rich sequences. These results show that gene expression in Leishmania is not only regulated polycistronically from the sense strand of genomic DNA, but that the complementary strand of DNA also contains sequences that could drive expression of open reading frames from the antisense strand of DNA. These findings suggest that the parasite has evolved in such a way as to maximise the transcription of its genome, a mechanism that might be important for it to maintain virulence. (C) 2003 Australian Society for Parasitology Inc. Published by Elsevier Science Ltd. All rights reserved.</t>
  </si>
  <si>
    <t>10.1016/S0020-7519(03)00126-7</t>
  </si>
  <si>
    <t>Kochman, A; Matyszkiewicz, J; Wasilewski, M</t>
  </si>
  <si>
    <t>Siliceous rocks from the southern part of the Krakow-Czestochowa Upland (Southern Poland) as potential raw materials in the manufacture of stone tools - A characterization and possibilities of identification</t>
  </si>
  <si>
    <t>JOURNAL OF ARCHAEOLOGICAL SCIENCE-REPORTS</t>
  </si>
  <si>
    <t>The Upper Jurassic sediments from the Krakow-Czstochowa Upland developed as carbonates, mostly limestones, which represent the microbial-sponge megafacies that were typical of the northern margin of the Tethys Ocean. Outcrops of these rocks are scattered along an extended belt ranging from Portugal to the Caucasus Mts. One of the common features of the bedded limestones belonging to this megafacies is the local occurrence of chert concretions. The siliceous rocks embedded within the Upper Jurassic sequences from the southern part of the Krakow-Czestochowa Upland originated from a broad spectrum of limestone silicification processes and are represented by chert concretions, bedded cherts and epigenetic siliceous rocks. These rocks served as raw materials in the production of stone tools from the Middle Palaeolithic onwards. These tools have been studied extensively by archaeologists. This paper presents the identification of the above mentioned types of siliceous rocks used in the manufacture of tools based upon (i) microscopic observations of thin sections which reveal the primary microfacies of limestones subjected to silicification, and (ii) X-ray diffraction analyses, including the determination of the crystallinity index of SiO2. Unfortunately, the available research methods do not permit the identification of the varieties of chert concretions to an extent that would permit them to be even roughly connected with particular outcrops or, at least, with particular regions of the occurrence of siliceous raw materials on a Pan-European scale. Macroscopic criteria have recently been adopted in archaeological classifications aimed at determining the origin of stone tools and drawing conclusions as to the source outcrops or regions. However, regrettably, these have proven groundless from the geological point of view.</t>
  </si>
  <si>
    <t>10.1016/j.jasrep.2020.102195</t>
  </si>
  <si>
    <t>Liu, CY; Hu, ZJ; Wang, X; Geng, YL; Ma, CP; Wang, ZH; Li, RG; Shi, C</t>
  </si>
  <si>
    <t>Rapid Detection of the Bursaphelenchus Xylophilus by Denaturation Bubble-mediated Strand Exchange Amplification</t>
  </si>
  <si>
    <t>ANALYTICAL SCIENCES</t>
  </si>
  <si>
    <t>Bursaphelenchus xylophilus (B. xylophilus) is one of the most important causal agents of infectious diseases in forest pathology. Obviously, the rapid detection of B. xylophilus is an urgent need for its prevention and cure. We have developed a detection method of B. xylophilus by strand exchange amplification (SEA). This method could detect 10(5) copies of genomic DNA of B. xylophilus, and it was sufficiently sensitive to detect a single nematode as short as 40 min. Moreover, because the amplification result could be visualized by the naked eyes, the only equipment required throughout the process was a simple isothermal block. Therefore, our method would be a potential for developing on-site detection of B. xylophilus to prevent and control its spread.</t>
  </si>
  <si>
    <t>10.2116/analsci.18P461</t>
  </si>
  <si>
    <t>Eyileten, C; Wicik, Z; Keshwani, D; Aziz, F; Aberer, F; Pferschy, PN; Tripolt, NJ; Sourij, C; Prietl, B; Prüller, F; von Lewinski, D; De Rosa, S; Siller-Matula, JM; Postula, M; Sourij, H</t>
  </si>
  <si>
    <t>Alteration of circulating platelet-related and diabetes-related microRNAs in individuals with type 2 diabetes mellitus: a stepwise hypoglycaemic clamp study</t>
  </si>
  <si>
    <t>CARDIOVASCULAR DIABETOLOGY</t>
  </si>
  <si>
    <t>Background In patients with type 2 diabetes mellitus (T2DM) an association between severe hypoglycaemic episodes and the risk of cardiovascular (CV) morbidity and mortality has been previously established. Methods We aimed to investigate the influence of hypoglycaemia on several diabetes-related and platelet-related miRNAs selected based on bioinformatic analysis and literature search, including hsa-miR-16, hsa-miR-34a, hsa-miR-129-2, hsa-miR-15a, hsa-miR-15b, hsa-miR-106a, miR-223, miR-126. Selected miRNAs were validated by qRT-PCR in 14 patients with T2DM on metformin monotherapy, without established CV disease and antiplatelet therapy during a stepwise hypoglycaemic clamp experiment and a follow-up 7 days after the clamp event. In order to identify which pathways and phenotypes are associated with validated miRNAs we performed target prediction on genes expressed with high confidence in platelets. Results Circulating levels of miR-106a-5p, miR-15b, miR-15a, miR-16-5p, miR-223 and miR-126 were increased after euglycaemic clamp followed by hypoglycaemic clamp, each with its distinctive time trend. On the contrary, miR-129-2-3p, miR-92a-3p and miR-34a-3p remained unchanged. MiR-16-5p was negatively correlated with interleukin (IL)-6, intercellular adhesion molecule (ICAM) and vascular cell adhesion molecule (VCAM) (p = 0.002, p &lt; 0.001, p = 0.016, respectively), whereas miR-126 was positively correlated with VCAM (p &lt; 0.001). There were negative correlations between miR-16-5p, miR-126 and coagulation factors, including factor VIII and von Willebrand factor (vWF). Among all studied miRNAs, miR-126, miR-129-2-3p and miR-15b showed correlation with platelet function. Bioinformatic analysis of platelet-related targets of analyzed miRNAs showed strong enrichment of IL-2 signaling. We also observed significant enrichment of pathways and diseases related to cancer, CV diseases, hyperglycemia, and neurological diseases. Conclusions Hypoglycaemia can significantly influence the expression of platelet-enriched miRNAs, with a time trend paralleling the time course of platelet activation. This suggests miRNAs could be exploited as biomarkers for platelet activation in response to hypoglycaemia, as they are probably released by platelets upon activation by hypoglycaemic episodes. Should they hold their promise in clinical endpoint studies, platelet-derived miRNAs might become helpful markers of CV risk in subjects with diabetes. Trial registration The study was registered at clinical trials.gov; Impact of Hypoglycaemia in Patients With DIAbetes Mellitus Type 2 on PLATElet Activation (Diaplate), trial number: NCT03460899</t>
  </si>
  <si>
    <t>10.1186/s12933-022-01517-5</t>
  </si>
  <si>
    <t>Xiao, L; Yin, Y; Sun, W; Zhang, FL; Li, ZY</t>
  </si>
  <si>
    <t>Enhanced production of (+)-terrein by Aspergillus terreus strain PF26 with epigenetic modifier suberoylanilide hydroxamic acid</t>
  </si>
  <si>
    <t>PROCESS BIOCHEMISTRY</t>
  </si>
  <si>
    <t>New strategies for improving the fermentation yield of (+)-terrein which is a fungal metabolite with multiple bioactivities are very urgent. In this study, the effect of suberoylanilide hydroxamic acid, one kind of epigenetic modifier, on the biosynthesis of (+)-terrein by Aspergillus terreus strain PF26 isolated from the marine sponge Phakellia fusca was investigated. It was found that suberoylanilide hydroxamic acid exhibited a positive impact on (+)-terrein production, resulting from promoting the biosynthesis of 6-hydroxymellein, the precursor of (+)-terrein. Through optimization of feeding concentration and time of suberoylanilide hydroxamic acid, 5.58 g/L (+)-terrein could be obtained in shake flask cultivation, 29.5% higher than the control. Correspondingly, the fermentation of A. terreus strain PF26 in 7.5-L stirred bioreactor with feeding suberoylanilide hydroxamic acid (900 mu M, day 4) yielded 9.07 g/L (+)-terrein, 77.1% higher than the control. These results showed that the epigenetic modifier-suberoylanilide hydroxamic acid could be utilized to enhance the production of (+)-terrein, which laid the foundation of massive production of (+)-terrein by fermentation. (C) 2013 Elsevier Ltd. All rights reserved.</t>
  </si>
  <si>
    <t>10.1016/j.procbio.2013.08.007</t>
  </si>
  <si>
    <t>Radashevsky, VI; Al-Kandari, M; Malyar, VV; Pankova, VV</t>
  </si>
  <si>
    <t>Pseudopolydora (Annelida: Spionidae) from the Arabian Gulf, Kuwait</t>
  </si>
  <si>
    <t>Seven species of Pseudopolydora are described and illustrated from the Arabian Gulf, Kuwait: P achaeta Radashevsky &amp; Hsieh, 2000, P. antennata (Claparede, 1868), P arabica Radashevsky &amp; Al-Kandari, 2020, P. auha sp. nov., P. kuwaiti sp. nov., P. melanopalpa sp. nov., and P multispinosa sp. nov. The morphology of the developed planktonic larvae is described for P antennata and P. kuwaiti sp. nov. Adults of all species live in tubes in soft sediments, while adults ofP. kuwaiti sp. nov. also bore in shells of gastropods and dead corals encrusted by coralline algae. Pseudopolydora antennata and P. arabica form dense settlements up to 50 000 individuals per 1 m(2), while other species are comparatively rare. The phylogenetic relationships between the examined species and other Pseudopolydora (18 species in total) were assessed in an analysis of sequence data of four gene fragments: mitochondrial 16S rDNA, nuclear 18S rDNA and 28S rDNA, and Histone 3 (2473 bp in total). Three species complexes are distinguished involving P. antennata, P. diopatra Hsieh, 1992 and P. paucibranchiata (Okuda, 1937). Sets of adult morphological features shared by species of each complex and an identification key to Pseudopolydora species from the Arabian Gulf arc provided.</t>
  </si>
  <si>
    <t>10.5852/ejt.2021.773.1519</t>
  </si>
  <si>
    <t>Terraneo, TI; Benzoni, F; Arrigoni, R; Baird, AH; Mariappan, KG; Forsman, ZH; Wooster, MK; Bouwmeester, J; Marshell, A; Berumen, ML</t>
  </si>
  <si>
    <t>Phylogenomics of Porites from the Arabian Peninsula</t>
  </si>
  <si>
    <t>The advent of high throughput sequencing technologies provides an opportunity to resolve phylogenetic relationships among closely related species. By incorporating hundreds to thousands of unlinked loci and single nucleotide polymorphisms (SNPs), phylogenomic analyses have a far greater potential to resolve species boundaries than approaches that rely on only a few markers. Scleractinian taxa have proved challenging to identify using traditional morphological approaches and many groups lack an adequate set of molecular markers to investigate their phylogenies. Here, we examine the potential of Restriction-site Associated DNA sequencing (RADseq) to investigate phylogenetic relationships and species limits within the scleractinian coral genus Porites. A total of 126 colonies were collected from 16 localities in the seas surrounding the Arabian Peninsula and ascribed to 12 nominal and two unknown species based on their morphology. Reference mapping was used to retrieve and compare nearly complete mitochondrial genomes, ribosomal DNA, and histone loci. De novo assembly and reference mapping to the P. lobata coral transcriptome were compared and used to obtain thousands of genome-wide loci and SNPs. A suite of species discovery methods (phylogenetic, ordination, and clustering analyses) and species delimitation approaches (coalescent-based, species tree, and Bayesian Factor delimitation) suggested the presence of eight molecular lineages, one of which included six morphospecies. Our phylogenomic approach provided a fully supported phylogeny of Porites from the Arabian Peninsula, suggesting the power of RADseq data to solve the species delineation problem in this speciose coral genus.</t>
  </si>
  <si>
    <t>10.1016/j.ympev.2021.107173</t>
  </si>
  <si>
    <t>Guo, FL; McClain, M; Zhao, X; Yi, KX; Parmely, T; Unruh, J; Slaughter, B; Kruglyak, L; Guo, LH; Alvarado, AS</t>
  </si>
  <si>
    <t>Planarian Ovary Dissection for Ultrastructural Analysis and Antibody Staining</t>
  </si>
  <si>
    <t>Accessibility to germ cells allows the study of germ cell development, meiosis, and recombination. The sexual biotype of the freshwater planarian, Schmidtea mediterranea, is a powerful invertebrate model to study the epigenetic specification of germ cells. Unlike the large number of testis and male germ cells, planarian oocytes are relatively difficult to locate and examine, as there are only two ovaries, each with 5-20 oocytes. Deeper localization within the planarian body and lack of protective epithelial tissues also make it challenging to dissect planarian ovaries directly. This protocol uses a brief fixation step to facilitate the localization and dissection of planarian ovaries for downstream analysis to overcome these difficulties. The dissected ovary is compatible for ultrastructural examination by transmission electron microscopy (TEM) and antibody immunostaining. The dissection technique outlined in this protocol also allows for gene perturbation experiments, in which the ovaries are examined under different RNA interference (RNAi) conditions. Direct access to the intact germ cells in the ovary achieved by this protocol will greatly improve the imaging depth and quality and allow cellular and subcellular interrogation of oocyte biology.</t>
  </si>
  <si>
    <t>10.3791/62713</t>
  </si>
  <si>
    <t>Brown, NP; Forsman, ZH; Tisthammer, KT; Richmond, RH</t>
  </si>
  <si>
    <t>A resilient brooding coral in the broadcast spawning Porites lobata species complex: a new endemic, introduced species, mutant, or new adaptive potential?</t>
  </si>
  <si>
    <t>With increasing exposure to local and global stressors associated with a rapidly changing climate, corals adapted to thrive within stressful environments are of particular interest to researchers and managers. A bleaching resilient Porites coral with an unusual appearance was discovered dominating shallow waters (1-2 m) within Honolulu Harbor, Hawai'i, a heavily sedimented and polluted habitat with high levels of anthropogenic influence. Continuous monitoring of this 'Harbor Porites' revealed prolific year-round brooding and release of planula larvae, with no clear seasonal pattern. Furthermore, recruitment and rapid growth were observed in seawater tanks followed by fusing of various sized colonies, indicating brooding of clonal larvae. Genetic markers placed this coral with high similarity (histone and ITS sequences are 99.9% and 99.4% similar, respectively) to corals in the P. lobata species complex which are gonochoric broadcast spawning corals. Fixed differences were observed, and F-ST values were high and significant, which could either be explained by reproductive isolation or from clonal sampling over a limited area (this coral has not yet been found in other locations). Observations of skeletal microstructure also showed similarity to corals in the P. lobata complex, although with a higher proportion of corallites with excavated columella resulting in a cavity similar in size to the brooded larvae. These observations suggest that bleaching resilience and reproductive mode may be more plastic than previously assumed for Porites corals. Additional work is needed to determine if these corals represent a very recent endemic species, an introduced coral, the result of reproductive disruption from pollution (e.g., endocrine disruption), or extreme phenotypic variation within the P. lobata complex. Prolific growth and production of larvae, combined with observations of resilience to anthropogenic impacts such as bleaching, sedimentation, and pollution, make this coral a good candidate model for the study of adaptation and acclimatization to climate change and other anthropogenic stressors.</t>
  </si>
  <si>
    <t>10.1007/s00338-020-01922-w</t>
  </si>
  <si>
    <t>Hatakeyama, D; Sunada, H; Totani, Y; Watanabe, T; Felletár, I; Fitchett, A; Eravci, M; Anagnostopoulou, A; Miki, R; Okada, A; Abe, N; Kuzuhara, T; Kemenes, I; Ito, E; Kemenes, G</t>
  </si>
  <si>
    <t>Molecular and functional characterization of an evolutionarily conserved CREB-binding protein in the Lymnaea CNS</t>
  </si>
  <si>
    <t>FASEB JOURNAL</t>
  </si>
  <si>
    <t>In eukaryotes, CREB-binding protein (CBP), a coactivator of CREB, functions both as a platform for recruiting other components of the transcriptional machinery and as a histone acetyltransferase (HAT) that alters chromatin structure. We previously showed that the transcriptional activity of cAMP-responsive element binding protein (CREB) plays a crucial role in neuronal plasticity in the pond snail Lymnaea stagnalis. However, there is no information on the molecular structure and HAT activity of CBP in the Lymnaea central nervous system (CNS), hindering an investigation of its postulated role in long-term memory (LTM). Here, we characterize the Lymnaea CBP (LymCBP) gene and identify a conserved domain of LymCBP as a functional HAT. Like CBPs of other species, LymCBP possesses functional domains, such as the KIX domain, which is essential for interaction with CREB and was shown to regulate LTM. In-situ hybridization showed that the staining patterns of LymCBP mRNA in CNS are very similar to those of Lymnaea CREB1. A particularly strong LymCBP mRNA signal was observed in the cerebral giant cell (CGC), an identified extrinsic modulatory interneuron of the feeding circuit, the key to both appetitive and aversive LTM for taste. Biochemical experiments using the recombinant protein of the LymCBP HAT domain showed that its enzymatic activity was blocked by classical HAT inhibitors. Preincubation of the CNS with such inhibitors blocked cAMP-induced synaptic facilitation between the CGC and an identified follower motoneuron of the feeding system. Taken together, our findings suggest a role for the HAT activity of LymCBP in synaptic plasticity in the feeding circuitry.</t>
  </si>
  <si>
    <t>10.1096/fj.202101225RR</t>
  </si>
  <si>
    <t>Jiang, LY; Teng, BR; Zhang, MY; Chen, SW; Zhang, D; Zhai, LF; Lin, JF; Lei, H</t>
  </si>
  <si>
    <t>Pestalotiopols E-J, Six New Polyketide Derivatives from a Marine Derived Fungus Pestalotiopsis sp. SWMU-WZ04-1</t>
  </si>
  <si>
    <t>Chemical epigenetic cultivation of the sponge-derived fungus Pestalotiopsis sp. SWMU-WZ04-1 contributed to the identification of twelve polyketide derivatives, including six new pestalotiopols E-J (1-6) and six known analogues (7-12). Their gross structures were deduced from 1D/2D NMR and HRESIMS spectroscopic data, and their absolute configurations were further established by circular dichroism (CD) Cotton effects and the modified Mosher's method. In the bioassay, the cytotoxic and antibacterial activities of all compounds were evaluated. Chlorinated benzophenone derivatives 7 and 8 exhibited inhibitory effects on Staphylococcus aureus and Bacillus subtilis, with MIC values varying from 3.0 to 50 mu g/mL. In addition, these two compounds were cytotoxic to four types of human cancer cells, with IC50 values of 16.2 similar to 83.6 mu M. The result showed that compound 7 had the probability of being developed into a lead drug with antibacterial ability.</t>
  </si>
  <si>
    <t>10.3390/md22010015</t>
  </si>
  <si>
    <t>Huang, C; Leng, DL; Sun, SX; Zhang, XD</t>
  </si>
  <si>
    <t>Re-analysis of the coral Acropora digitifera transcriptome reveals a complex lncRNAs-mRNAs interaction network implicated in Symbiodinium infection</t>
  </si>
  <si>
    <t>BackgroundBeing critically important to the ecosystem, the stability of coral reefs is directly related to the marine and surrounding terrestrial environments. However, coral reefs are now undergoing massive and accelerating devastation due to bleaching. The fact that the breakdown of symbiosis between coral and the dinoflagellate, zooxanthellae, has been well elucidated as the main cause of bleaching, implying the establishment of symbiosis with zooxanthellae plays a crucial role in maintaining coral survival. However, the relevant molecular and cellular mechanisms have not been well studied yet. In this study, based on the deep RNA-sequencing data derived from Mohamed, A. R. et al., an integrated transcriptome analysis was performed to deeply investigate global transcriptome changes of the coral Acropora digitifera in response to infection by dinoflagellate of the genus Symbiodinium.ResultsThe results revealed that compared to RefTranscriptome_v1.0 (A. digitifera transcriptome assembly v1.0), numerous novel transcripts and isoforms were identified, the Symbiodinium-infected coral larvae at 4h generated the highest proportion of specific isoforms. Alternative splicing analysis showed that intron retention predominated in all alternative transcripts among six statuses. Additionally, 8117 lncRNAs were predicted via a stringent stepwise filtering pipeline. A complex lncRNAs-mRNAs network including 815 lncRNAs and 6395 mRNAs were established, in which 21 lncRNAs were differentially expressed at 4h post infection. Functional clustering analysis for those differentially lncRNAs-coexpressed mRNAs demonstrated that several biological processes and pathways related to protein kinase activity, metabolic pathways, mitochondrion, ribosome, etc. were enriched.ConclusionsOur study not only refined A. digitifera transcriptome via identification of novel transcripts and isoforms, but also predicted a high-confidence dataset of lncRNAs. Functional study based on the construction of lncRNAs-mRNAs co-expression network has disclosed a complex lncRNA-mediated regulation in response to Symbiodinium infection exhibited in A. digitifera. Once validated, these lncRNAs could be good potential targets for treatment and prevention of bleaching in coral.</t>
  </si>
  <si>
    <t>JAN 16</t>
  </si>
  <si>
    <t>10.1186/s12864-019-5429-3</t>
  </si>
  <si>
    <t>Jia, QX; Ye, LL; Xu, SW; Xiao, H; Xu, SD; Shi, ZY; Li, JS; Chen, ZQ</t>
  </si>
  <si>
    <t>Circular RNA 0007255 regulates the progression of breast cancer through miR-335-5p/SIX2 axis</t>
  </si>
  <si>
    <t>THORACIC CANCER</t>
  </si>
  <si>
    <t>Background Breast cancer (BC) is a common cancer in women worldwide. Emerging evidence has indicated that circular RNA hsa-circ_0007255 (circ_0007255) is a prognostic mediator in BC progression. However, the functional role of circ_0007255 needs to be determined. Methods The expression of circ_0007255, microRNA (miR)-335-5p, and SIX Homeobox 2 (SIX2) was evaluated using quantitative real-time polymerase chain reaction (qRT-PCR) or western blot assay. Actinomycin D and RNase R treatment was performed to analyze the stability of circ_0007255. Additionally, Seahorse extracellular flux, colony formation and transwell analyses were carried out to detect oxygen consumption ratio (OCR), colony formation and cell mobility, respectively. The interaction between miR-335-5p and circ_0007255 or SIX2 was confirmed via dual-luciferase reporter assay. A xenograft tumor model was established to explore the role of circ_0007255 in vivo. Results Circ_0007255 and SIX2 were overexpressed, but miR-335-5p was diminished in BC tissues and cells. Circ_0007255 absence inhibited oxygen consumption, colony formation, cell migration and invasion, and these effects were particularly abrogated via miR-335-5p upregulation in BC cells. Moreover, SIX2 deficiency eliminated the promotion effects of miR-335-5p inhibitor on oxygen consumption, colony formation, and cell mobility in BC cells. Importantly, circ_0007255 inhibited tumor growth in vivo. Mechanically, circ_0007255 was a sponge of miR-335-5p to regulate SIX2 expression in BC progression. Conclusion Circ_0007255 functioned as a novel oncogene in the progression of BC by regulating miR-335-5p/SIX2 axis, and might be a promising biomarker for BC treatment. Key points Significant findings of the study: Levels of circ_0007255 and SIX2 were upregulated, but miR-335-5p was diminished in BC tissues and cells. Circ_0007255 was an oncogene in BC development and exerted its function via miR-335-5p/SIX2 axis in BC. Tumor growth was reduced by circ_0007255 absence. What this study adds: Circ_0007255 functioned as a novel oncogene in the progression of BC by regulating miR-335-5p/SIX2 axis, and might be a promising biomarker for BC treatment.</t>
  </si>
  <si>
    <t>10.1111/1759-7714.13306</t>
  </si>
  <si>
    <t>Pai, JT; Chen, XH; Leu, YL; Weng, MS</t>
  </si>
  <si>
    <t>Propolin G-Suppressed Epithelial-to-Mesenchymal Transition in Triple-Negative Breast Cancer Cells via Glycogen Synthase Kinase 3β-Mediated Snail and HDAC6-Regulated Vimentin Degradation</t>
  </si>
  <si>
    <t>Triple-negative breast cancer (TNBC) is a highly aggressive breast cancer with a poor prognosis. The incidence and mortality rate of TNBC are frequently found in younger women. Due to the absence of a good therapeutic strategy, effective remedies for inhibiting TNBC have been developed for improving the cure rate. Epithelial-to-mesenchymal transition (EMT) is a critical mechanism to regulate cancer cell motility and invasion. Furthermore, ectopic expression of EMT molecules correlates with the metastasis and poor prognosis of TNBC. Targeting EMT might be a strategy for the therapy and prevention of TNBC. Propolin G, an active c-prenylflavanone in Taiwanese propolis, has been shown to possess anti-cancer activity in many cancers. However, the anti-metastasis activity of propolin G on TNBC is still unclear. The present study showed that the migration and invasion activities of TNBC cells was suppressed by propolin G. Down-regulated expression of Snail and vimentin and up-regulated expression of E-cadherin were dose- and time-dependently observed in propolin G-treated MDA-MB-231 cells. Propolin G inhibited Snail and vimentin expressions via the signaling pathways associated with post-translational modification. The activation of glycogen synthase kinase 3 beta (GSK-3 beta) by propolin G resulted in increasing GSK-3 beta interaction with Snail. Consequently, the nuclear localization and stability of Snail was disrupted resulting in promoting the degradation. Propolin G-inhibited Snail expression and the activities of migration and invasion were reversed by GSK-3 beta inhibitor pretreatment. Meanwhile, the outcomes also revealed that histone deacetylase 6 (HDAC6) activity was dose-dependently suppressed by propolin G. Correspondently, the amounts of acetyl-alpha-tubulin, a down-stream substrate of HDAC6, were increased. Dissociation of HDAC6/Hsp90 with vimentin leading to increased vimentin acetylation and degradation was perceived in the cells with the addition of propolin G. Moreover, up-regulated expression of acetyl-alpha-tubulin by propolin G was attenuated by HDAC6 overexpression. On the contrary, down-regulated expression of vimentin, cell migration and invasion by propolin G were overturned by HDAC6 overexpression. Conclusively, restraint cell migration and invasion of TNBC by propolin G were activated by the expression of GSK-3 beta-suppressed Snail and the interruption of HDAC6-mediated vimentin protein stability. Aiming at EMT, propolin G might be a potential candidate for TNBC therapy.</t>
  </si>
  <si>
    <t>10.3390/ijms23031672</t>
  </si>
  <si>
    <t>Tosuji, H; Bastrop, R; Götting, M; Park, T; Hong, JS; Sato, M</t>
  </si>
  <si>
    <t>Worldwide molecular phylogeny of common estuarine polychaetes of the genus Hediste (Annelida: Nereididae), with special reference to interspecific common haplotypes found in southern Japan</t>
  </si>
  <si>
    <t>The nucleotide sequences of two mitochondrial genes (16S rDNA and COI) were compared among all species of Hediste, including five nominal and two cryptic species (H. atoka and H. diversicolor both consisting of two cryptic species, H. diadroma, H. japonica, and H. limnicola), as well as a newly found undescribed species (H. sp.), to estimate their phylogenetic relationships. The analysis using 16S rDNA sequence supported the monophyly of all five nominal species and H. sp., with no detection of the genetic differentiation between the two cryptic species in both H. atoka and H. diversicolor. However, analysis using COI sequence detected a marked differentiation between the cryptic species, and indicated that the two forms of H. atoka were separated into distinct clades; form A was included in a clade together with H. diversicolor, H. limnicola, and H. sp., whereas form B was included in another clade together with H. diadroma. Based on the topology of our phylogenetic analysis using the combined data set of 16S rDNA and COI, a hypothesis on the evolutionary history of the worldwide speciation in Hediste is proposed. This hypothesis seems to correspond well with the geographical distributions of current species and their morphological differentiation, supporting the previous hypothesis that the unique epitokous swarming and planktic larval development evolved independently in H. diadroma and H. japonica in eastern Asia. We also show that no or few interspecific substitutions have occurred in sequences of nuclear DNA (18S rDNA, 28S rDNA, and histone H3) in Hediste.</t>
  </si>
  <si>
    <t>10.1007/s12526-018-0917-2</t>
  </si>
  <si>
    <t>Savova, MS; Todorova, MN; Apostolov, AG; Yahubyan, GT; Georgiev, MI</t>
  </si>
  <si>
    <t>Betulinic acid counteracts the lipid accumulation in Caenorhabditis elegans by modulation of nhr-49 expression</t>
  </si>
  <si>
    <t>Obesity is an ingrained health problem with a multifactorial origin and a long history, thereby innovations in the treatment strategies are of great importance. In the search of a remedy for excessive weight gain, we have directed our investigations to phytochemicals as valuable bioactive compounds. Betulinic acid (BA), among the other triterpenoids, is known for its anti-inflammatory and anti-neoplastic properties. In addition, a previous study of ours has demonstrated a potent anti-adipogenic effect of BA in human adipocytes. Therefore, we aimed here to further verify the anti-obesogenic effect of BA in vivo in Caenorhabditis elegans. Induction of lipid accu-mulation in the nematodes was modelled with glucose-supplemented media, followed by treatment with BA (10-50 mu M) or orlistat (12 mu M) as a control anti-obesity medication. Oil red O and Nile red staining were applied to provide quantification of accumulated lipids. Analysis of the relative expression of genes, related to lipid metabolism suggested molecular mechanism of lipid-reducing action of BA in C. elegans. Treatment of nematodes with BA significantly decreased the lipid accumulation, downregulated desaturases involved in lipogenesis (fat-5, fat-6 and fat-7), modulated key transcription factors (nhr-49 and hlh-11) and microRNAs (miR-60, lin-4, let-7 and miR-786) associated with the lipid metabolism. Collectively, the current research provides additional insight on the molecular mechanism of the BA's anti-obesogenic effect in vivo. Furthermore, it validates the potential of BA as a candidate compound in obesity management by reducing lipid accumulation.</t>
  </si>
  <si>
    <t>10.1016/j.biopha.2022.113862</t>
  </si>
  <si>
    <t>Gothandaraman, R; Rajasekaran, R; Mannu, J; Venkatasamy, B; Eswaran, K; Subbarayalu, M</t>
  </si>
  <si>
    <t>Genomic and toxicity analysis of Lepidopteran toxic novel Bacillus thuringiensis strain T407</t>
  </si>
  <si>
    <t>PESTICIDE BIOCHEMISTRY AND PHYSIOLOGY</t>
  </si>
  <si>
    <t>Bacillus thuringiensis is a gram-positive and spore-forming bacterium recognized for its pathogenicity against a broad spectrum of insect and nematode pests, and it has been extensively employed as a biopesticide. In this study, we examined the morphological, molecular, and genetic features of a native Bt isolate T407, which demonstrated significant toxicity against lepidopteran pests. Scanning Electron Microscopy confirmed the presence of bipyramidal and cuboidal-shaped crystals in T407. SDS-PAGE examination of spore-crystal mixtures revealed two significant protein bands at similar to 135 and similar to 65 kDa, representing Cry1 and Cry2 proteins. The presence of cry and vip gene combinations in T407 was confirmed by PCR analysis. Probit analysis estimates the LC50 values of 0.771, 1.379, 2.038, and 14.997 mu g/mL against Plutella xylostella, Helicoverpa armigera, Spodoptera litura, and Spodoptera frugiperda, respectively. The draft genome assembly of the Bt isolate T407 consists of 228 scaffolds, encompassing a total of 6,148,454 bp, with an N50 value of 93,189 bp. A total of 13 plasmids were identified in this genome through BLAST search similarity analysis. Similarly, 6631 protein-coding genes were identified in this genome with 53 tRNA, 4 rRNA, and 5 ncRNA genes. Similarly, a total of 11 insecticidal toxin proteins such as Cry1Ac5, Cry1Aa18, Cry1Ac5, Cry1Aa6, Cry1Ia42, Cry2Aa9, Cry2Ab41, Vip3Aa86, Mpp46Ab1, Vpb4Ca1, and Spp1Aa1 were identified in this Bt genome. In addition to insecticidal toxin genes few other toxin proteins like Zwa5A, Zwa5B, Zwa6, ChitinaseC, InhA1, InhA2, Enhancin, and Bmp1 also identified in this Bt genome.</t>
  </si>
  <si>
    <t>10.1016/j.pestbp.2025.106718</t>
  </si>
  <si>
    <t>Fernández-Vilert, R; Giribet, G; Salvador, X; Moles, J</t>
  </si>
  <si>
    <t>Assessing the systematics of Tylodinidae in the Mediterranean Sea and Eastern Atlantic Ocean: resurrecting Tylodina rafinesquii Philippi, 1836 (Heterobranchia: Umbraculida)</t>
  </si>
  <si>
    <t>The systematics of the gastropod Glade Umbraculida, particularly the family Tylodinidae, has been a matter of debate. The Tylodinidae of the Mediterranean Sea are a case in point, with no comprehensive molecular assessment of diversity having been carried out to date. Several species and genera have been erected and synonymized in the course of the last two centuries and only a single species from each of the genera Tylodina and Anidolyta are considered to be present in these waters. In order to shed light on the controversial taxonomy of the group, we carried out both morpho-anatomical study and molecular analyses using fragments of two mitochondrial genes, cytochrome c oxidase subunit I and 16S rRNA, and the nuclear gene histone H3. Phylogenetic analyses and species delimitation tests clearly recovered two independent lineages of Tylodina from the Mediterranean and Eastern Atlantic coast, the type species T. perversa and the resurrected T. rafinesquii. We found clear differences in shell and radular morphology between both species, as well as differences in their habitat and fond preferences. Interestingly, we found strong evidence that T. rafinesquii is sister to T. fungina from the Eastern Pacific rather than to the sympatric T. perversa. Furthermore, the new morphological data strongly encourage the suppression of the genus Anidolyta, which should be considered a junior synonym of Tylodina.</t>
  </si>
  <si>
    <t>10.1093/mollus/eyaa031</t>
  </si>
  <si>
    <t>Brenneis, G; Stollewerk, A; Scholtz, G</t>
  </si>
  <si>
    <t>Embryonic neurogenesis in Pseudopallene sp (Arthropoda, Pycnogonida) includes two subsequent phases with similarities to different arthropod groups</t>
  </si>
  <si>
    <t>EVODEVO</t>
  </si>
  <si>
    <t>Background: Studies on early neurogenesis have had considerable impact on the discussion of the phylogenetic relationships of arthropods, having revealed striking similarities and differences between the major lineages. In Hexapoda and crustaceans, neurogenesis involves the neuroblast, a type of neural stem cell. In each hemi-segment, a set of neuroblasts produces neural cells by repeated asymmetrical and interiorly directed divisions. In Euchelicerata and Myriapoda, neurogenesis lacks neural stem cells, featuring instead direct immigration of neural cell groups from fixed sites in the neuroectoderm. Accordingly, neural stem cells were hitherto assumed to be an evolutionary novelty of the Tetraconata (Hexapoda + crustaceans). To further test this hypothesis, we investigated neurogenesis in Pycnogonida, or sea spiders, a group of marine arthropods with close affinities to euchelicerates. Results: We studied neurogenesis during embryonic development of Pseudopallene sp. (Callipallenidae), using fluorescent histochemical staining and immunolabelling. Embryonic neurogenesis has two phases. The first phase shows notable similarities to euchelicerates and myriapods. These include i) the lack of morphologically different cell types in the neuroectoderm; ii) the formation of transiently identifiable, stereotypically arranged cell internalization sites; iii) immigration of predominantly post-mitotic ganglion cells; and iv) restriction of tangentially oriented cell proliferation to the apical cell layer. However, in the second phase, the formation of a central invagination in each hemi-neuromere is accompanied by the differentiation of apical neural stem cells. The latter grow in size, show high mitotic activity and an asymmetrical division mode. A marked increase of ganglion cell numbers follows their differentiation. Directly basal to the neural stem cells, an additional type of intermediate neural precursor is found. Conclusions: Embryonic neurogenesis of Pseudopallene sp. combines features of central nervous system development that have been hitherto described separately in different arthropod taxa. The two-phase character of pycnogonid neurogenesis calls for a thorough reinvestigation of other non-model arthropods over the entire course of neurogenesis. With the currently available data, a common origin of pycnogonid neural stem cells and tetraconate neuroblasts remains unresolved. To acknowledge this, we present two possible scenarios on the evolution of arthropod neurogenesis, whereby Myriapoda play a key role in the resolution of this issue.</t>
  </si>
  <si>
    <t>NOV 29</t>
  </si>
  <si>
    <t>10.1186/2041-9139-4-32</t>
  </si>
  <si>
    <t>Ladurner, P; Rieger, R; Baguñà, J</t>
  </si>
  <si>
    <t>Spatial distribution and differentiation potential of stem cells in hatchlings and adults in the marine platyhelminth Macrostomum sp.:: A bromodeoxyuridine analysis</t>
  </si>
  <si>
    <t>Stem cells (neoblasts) in Platyhelminthes are pluripotent, and likely totipotent, undifferentiated cells which retain throughout adult life the capacity to proliferate and from which all somatic cells as well as the germ cells derive. However, basic data on the pool and heterogeneity of neoblasts, their rates of differentiation into sets and subsets of differentiated cells, and their migration to different body regions are still lacking. To fill this gap, S-phase cells in the macrostomid Macrostomum sp. were labeled with the thymidine analog 5-bromo-2'-deoxyuridine (BrdU). S-phase cells were found to be neoblasts and to be distributed in two bands along the lateral sides of the body leaving unlabeled the median axis of the body and the region anterior to the eyes. This distribution is parallel to that of mitotic cells demonstrated using an antibody to phosphorylated histone H3. At different chase times, clusters of BrdU-labeled cells appear, labeled cells migrate to formerly unlabeled areas, and they differentiate into several somatic cell types and into germ cells. Finally, continuous exposure to BrdU shows an extensive renewal of the epithelial cells. Altogether, these results strengthen the idea of platyhelminth neoblasts as an unparalleled stem-cell system within the Animal Kingdom calling for further investigation. (C) 2000 Academic Press.</t>
  </si>
  <si>
    <t>10.1006/dbio.2000.9867</t>
  </si>
  <si>
    <t>Lu, M; Zhang, PJ; Li, CH; Lv, ZM; Zhang, WW; Jin, CH</t>
  </si>
  <si>
    <t>miRNA-133 augments coelomocyte phagocytosis in bacteria-challenged Apostichopus japonicus via targeting the TLR component of IRAK-1 in vitro and in vivo</t>
  </si>
  <si>
    <t>In this study, we explored the potential roles of miRNA-133 in regulating TLR pathways in the sea cucumber Apostichopus japonicus. Target screening of RNA-Seq data successfully identified interleukin-1 receptor-associated kinase (AjIRAK-1) as a putative target of miR-133. This result was further validated by negative expression profiles in Vibrio splendidus-challenged coelomocytes and lipopolysaccharide (LPS)-exposed cell cultures. HEK-293T cells transfected with a dual-luciferase reporter fused to the 3'UTR of wild-type or mutant AjIRAK-1 exhibited a 52.9% reduction in luciferase activity (p &lt; 0.01) compared to controls. Co-infection with a miR-133 mimics or a specific siRNA targeting AjIRAK-1 significantly repressed the mRNA and protein expression levels of AjIRAK-1 and its downstream molecules, such as AjTRAF6 and Ajp105, in primary coelomocytes. In contrast, a miR-133 inhibitor significantly increased the expression of these TLR pathway members. The injection of miR-133 agomir or AjIRAK-1 siRNA into sea cucumbers not only decreased the expression of AjIRAK-1 and its downstream molecules but also significantly increased V. splendidus coelomocyte phagocytosis. All of the present data provide direct evidence that miR-133 is involved in TLR cascade modulation through AjIRAK-1 targeting to promote V. splendidus coelomocyte phagocytosis in these non-model invertebrates.</t>
  </si>
  <si>
    <t>10.1038/srep12608</t>
  </si>
  <si>
    <t>Janelt, K; Poprawa, I</t>
  </si>
  <si>
    <t>Analysis of Encystment, Excystment, and Cyst Structure in Freshwater Eutardigrade Thulinius ruffoi (Tardigrada, Isohypsibioidea: Doryphoribiidae)</t>
  </si>
  <si>
    <t>Encystment in tardigrades is relatively poorly understood. It is seen as an adaptive strategy evolved to withstand unfavorable environmental conditions. This process is an example of the epigenetic, phenotypic plasticity which is closely linked to the molting process. Thulinius ruffoi is a freshwater eutardigrade and a representative of one of the biggest eutardigrade orders. This species is able to form cysts. The ovoid-shaped cysts of this species are known from nature, but cysts may also be obtained under laboratory conditions. During encystment, the animals undergo profound morphological changes that result in cyst formation. The animals surround their bodies with cuticles that isolate them from the environment. These cuticles form a cuticular capsule (cyst wall) which is composed of three cuticles. Each cuticle is morphologically distinct. The cuticles that form the cuticular capsule are increasingly simplified. During encystment, only one, unmodified and possibly functional buccal-pharyngeal apparatus was found to be formed. Apart from the feeding apparatus, the encysted specimens also possess a set of claws, and their body is covered with its own cuticle. As a consequence, the encysted animals are fully adapted to the active life after leaving the cyst capsule.</t>
  </si>
  <si>
    <t>10.3390/d12020062</t>
  </si>
  <si>
    <t>de Weerd, DRU; Gittenberger, E</t>
  </si>
  <si>
    <t>Phylogeny of the land snail family Clausiliidae (Gastropoda: Pulmonata)</t>
  </si>
  <si>
    <t>Clausiliidae is one of the most speciose and best-studied families of land snails. The family contributes to land snail diversity on a global scale, with three main centres of diversity: (1) western Eurasia (six subfamilies recognized), (2) East Asia (two subfamilies recognized) and (3) the neotropics (one subfamily recognized i.e. Neniinae). Despite a wealth of shell-morphological and anatomical studies, a well-supported phylogeny is lacking for the family. To provide a phylogenetic framework and reevaluate morphological and biogeographic observations on the family, we compiled a dataset consisting of partial 28S rRNA, histone H3 and histone H4 nucleotide sequences covering all clausiliid subfamilies, and 23 out of 25 tribes. Our analyses (MrBayes, BEAST, PhyML) divide the family into seven highly supported clades, which were retrieved by at least two of the three markers used, and which are more or less geographically confined. Three of these clades coincide with subfamilies recognized in the current classification (Alopiinae, Garnieriinae, Laminiferinae). The monophyly of four of the remaining six hitherto accepted subfamilies is not supported, with the New World subfamily Neniinae divided across two clades. All shell-morphological characters used in classical clausiliid classification were homoplasious at the subfamily level, with the exception of the type of shell aperture formation. In contrast to previous interpretations, our results suggest that the so-called 'apostrophic' aperture found in the neotropical clausiliids, and in a European (Laminiferinae) and a SE Asian (Garnieriinae) subfamily, is in fact the plesiomorphic condition among extant Clausiliidae. The widespread and fragmented geographic distribution of this type of aperture may therefore be considered relictual. Based on an inferred Late Cretaceous or Early Cenozoic European origin of the clade of extant Clausiliidae, the ancestor(s) of the neotropical Clausiliidae must have colonized the New World after the Atlantic Ocean had opened. A taxonomic revision is proposed. (C) 2013 Elsevier Inc. All rights reserved.</t>
  </si>
  <si>
    <t>10.1016/j.ympev.2013.01.011</t>
  </si>
  <si>
    <t>Kim, TH; Kim, HS; Kang, YJ; Yoon, S; Lee, J; Choi, WS; Jung, JH; Kim, HS</t>
  </si>
  <si>
    <t>Psammaplin A induces Sirtuin 1-dependent autophagic cell death in doxorubicin-resistant MCF-7/adr human breast cancer cells and xenografts</t>
  </si>
  <si>
    <t>BIOCHIMICA ET BIOPHYSICA ACTA-GENERAL SUBJECTS</t>
  </si>
  <si>
    <t>Background: Psammaplin A (PsA) is a natural product isolated from marine sponges, which has been demonstrated to have anticancer activity against several human cancer cell lines via the induction of cell cycle arrest and apoptosis. New drugs that are less toxic and more effective against multidrug-resistant cancers are urgently needed. Methods: We tested cell proliferation, cell cycle progression and autophagic cell death pathway in doxorubicin-resistant MCF-7 (MCF-7/adr) human breast cancer cells. The potency of PsA was further determined using an in vivo xenograft model. Results and conclusion: PsA significantly inhibited MCF-7/adr cells proliferation in a concentration-dependent manner, with accumulation of cells in G2/M phase of the cell cycle. PsA significantly decreased SIRT1 enzyme activity and reduced expression of SIRT1 protein in the cultured cells with greater potency than sirtinol or salermide. Acetylation of p53, a putative target of SIRT1, increased significantly following PsA treatment. In addition, PsA markedly increased the expression levels of autophagy-related proteins. In support of this, it was found that PsA significantly increased the expression of damage-regulated autophagy modulator (DRAM), a p53-induced protein. General significance:The results of this study suggest that PsA is sufficient to overcome multidrug-resistant cancer via SIRT1-mediated autophagy in MCF-7/adr breast cancer cells, indicating that PsA has therapeutic potential for clinical use. (C) 2014 Elsevier B.V. All rights reserved.</t>
  </si>
  <si>
    <t>10.1016/j.bbagen.2014.11.007</t>
  </si>
  <si>
    <t>Jia, ZY; Tian, P; Wang, W; Cao, BB; Xu, ZQ; Xiao, JG; Niu, WT</t>
  </si>
  <si>
    <t>First Record of Corallivorous Nudibranch Pinufius (Gastropoda: Nudibranchia) in the South China Sea: A Suspected New Species of Pinufius</t>
  </si>
  <si>
    <t>A corallivorous nudibranch from the South China Sea reproduced explosively and caused extensive damage to Porites in our aquarium. In this study, morphological and molecular analyses of the nudibranch were conducted and described. Morphologically, this nudibranch was nearly consistent with Pinufius rebus in its characteristics intermediate between arminids and aeolids. The only detected difference was that the hook-like denticles on the masticatory border of P. rebus were absent in this nudibranch. In a molecular analysis, phylogenetic results based on the cytochrome oxidase subunit-I, 16S rRNA, and histone H3 gene sequences showed that this nudibranch and P. rebus form a well-supported sister clade under the superfamily Fionoidea, with significant interspecific divergence (0.18). Thus, we presumed that this nudibranch is a new species of Pinufius. Our results extend the distribution of Pinufius to the South China Sea, support the current taxonomic status of Pinufius under the superfamily Fionoidea, and imply that the species composition of Pinufius is more complex than previous records. Moreover, as a corallivorous nudibranch, the potential threat of Pinufius to coral health cannot be neglected.</t>
  </si>
  <si>
    <t>10.3390/d15020226</t>
  </si>
  <si>
    <t>Kartavtsev, YP; Sharina, SN; Chichvarkhin, AY; Chichvarkhina, OV; Masalkova, NA; Lutaenko, KA; Oliveira, C</t>
  </si>
  <si>
    <t>Genetic Divergence of Mussels (Mollusca, Mytilidae) Based on the 28S rRNA, 18S rRNA, and H3 Nuclear Gene Sequences</t>
  </si>
  <si>
    <t>RUSSIAN JOURNAL OF GENETICS</t>
  </si>
  <si>
    <t>On the basis of nucleotide sequences of three nuclear genes and using molecular phylogenetic and evolutionary genetic approaches, the phylogeny of the main representatives of one of the largest taxa of bivalve mollusks, the family Mytilidae, was studied, and its system and taxonomy were refined. A phylogenetic system for the family Mytilidae and closely relative taxa of the order Mytilida, which currently has no consensus among specialists on the basis of traditional characters, is presented. Using nucleotide sequences of the 28S rRNA, 18S pRNA, and histone H3 genes, this consensus was established by the study of Mytilidae. Some concerns of mussel systematics were resolved; in particular, the monophyly of the family Mytilidae Rafinesque, 1815 was established with the strongest support for the subfamily Mytilinae Rafinesque, 1815. The data obtained disprove Distel's conclusion on polyphyly of the subfamily Mytilinae Rafinesque, 1815. Isolation of the taxa in the rank of the Modiolinae G. Termier &amp; H. Termier, 1950 and Bathymodiolinae Kenk &amp; Wilson, 1985 subfamilies in the family Mytilidae and also the family Septiferidae Scarlato et Starobogatov, 1979 was confirmed, although the rank of the later taxon is not universally recognized and it remains to be clarified in an additional study.</t>
  </si>
  <si>
    <t>10.1134/S1022795418060078</t>
  </si>
  <si>
    <t>Betteley, KA; Watson, GJ; Hannah, L; Bentley, MG</t>
  </si>
  <si>
    <t>Aspects of gametogenesis, oocyte morphology and maturation of the lugworm Arenicola marina (Annelida: Polychaeta) in relation to commercialised procedures to extend the breeding season</t>
  </si>
  <si>
    <t>Environmental manipulation is a common method of extending the spawning season of aquaculture species including the polychaete worm Arenicola marina. Temperature synchronises autumn spawning populations and so its manipulation was used to advance and delay spawning. Females were exposed to a minimum period of 3 weeks at 5 degrees C in conjunction with the injection of prostomial homogenate to induce spawning up to 4 weeks prior to the natural spawning date. We also maintained individuals at 15-17 degrees C starting 4 weeks prior to, and then continuing after the natural spawning date, delaying spawning for up to 4 months. Both sexes can be manipulated, but males suffered higher mortalities and a greater rate of spontaneous spawning within the tanks. In 'advanced' females, mean oocyte diameters (measured in September, one month prior to spawning) were significantly larger and more homogenous compared to ambient individuals, whilst 'delayed' females produced a second cohort of oocytes approximately 8 weeks into the treatment. Delaying and advancing spawning induced significant changes in the ultrastructural morphology of prophase and metaphase oocytes, and delayed prophase oocytes showed a significant increase in the number with cracks on the surface of the vitelline membrane. Although, SDS-PAGE and Western blots confirmed that Maturation Promoting Factor (MPF) activity was not different from ambient controls, there were significant changes in MPF activity levels (measured by histone kinase activity) in manipulated oocytes. A. marina has the plasticity for spawning to be delayed and advanced by a number of months; this is essential for the continued development of aquaculture of this species. However, the maturational ability of the oocytes is compromised and this may have significant implications for production and quality of the offspring from manipulated individuals. (C) 2008 Elsevier B.V. All rights reserved.</t>
  </si>
  <si>
    <t>10.1016/j.aquaculture.2008.03.051</t>
  </si>
  <si>
    <t>López-Márquez, D; Del-Espino, A; Bejarano, ER; Beuzón, CR; Ruiz-Albert, J</t>
  </si>
  <si>
    <t>Protocol: low cost fast and efficient generation of molecular tools for small RNA analysis</t>
  </si>
  <si>
    <t>PLANT METHODS</t>
  </si>
  <si>
    <t>Background Small RNAs are sequence-dependent negative regulators of gene expression involved in many relevant plant processes such as development, genome stability, or stress response. Functional characterization of sRNAs in plants typically relies on the modification of the steady state levels of these molecules. State-of-the-art strategies to reduce plant sRNA levels include molecular tools such as Target Mimics (MIMs or TMs), Short Tandem Target Mimic (STTMs), or molecular SPONGES (SPs). Construction of these tools routinely involve many different molecular biology techniques, steps, and reagents rendering such processes expensive, time consuming, and difficult to implement, particularly high-throughput approaches. Results We have developed a vector and a cloning strategy that significantly reduces the number of steps required for the generation of MIMs against any given small RNA (sRNA). Our pGREEN-based binary expression vector (pGREEN-DLM100) contains the IPS1 gene from A. thaliana bisected by a ccdB cassette that is itself flanked by restriction sites for a type IIS endonuclease. Using a single digestion plus a sticky-end ligation step, the ccdB cassette that functions as a negative (counter) selection system is replaced by a pair of 28 nt self-annealing primers that provide specificity against the selected target miRNA/siRNA. The method considerably reduces the number of steps and the time required to generate the construct, minimizes the errors derived from long-range PCRs, bypasses bottlenecks derived from subcloning steps, and eliminates the need for any additional cloning technics and reagents, overall saving time and reagents. Conclusions Our streamlined system guarantees a low cost, fast and efficient cloning process that it can be easily implemented into high-throughput strategies, since the same digested plasmid can be used for any given sRNA. We believe this method represents a significant technical improvement on state-of-the-art methods to facilitate the characterization of functional aspects of sRNA biology.</t>
  </si>
  <si>
    <t>10.1186/s13007-020-00581-w</t>
  </si>
  <si>
    <t>Kim, AY; Donohoo, SA; Gosliner, TM</t>
  </si>
  <si>
    <t>Stirring up the muck: the systematics of soft-sediment Fionidae (Nudibranchia : Aeolidina) from the tropical Indo-Pacific</t>
  </si>
  <si>
    <t>PEERJ COMPUTER SCIENCE</t>
  </si>
  <si>
    <t>The tropical Indo-Pacific aeolid nudibranchs of the Fionidae are poorly known and have not been studied in a concerted manner. Many undescribed species are found throughout the Indian and Pacific Oceans and are concentrated in the Coral Triangle. With the recent publication of a revised systematic arrangement of the Fionidae, documentation and description of new taxa of Fionidae is especially warranted. Here we describe Tenellia bughaw Kim &amp; Gosliner sp. nov., Tenellia puti Kim &amp; Gosliner sp. nov., Tenellia nakapila Kim &amp; Gosliner sp. nov., Abronica payaso Kim &amp; Gosliner, sp. nov. and Abronica turon Gosliner &amp; Kim sp. nov. from the waters of the Coral Triangle. Their phylogenetic placement in Fionidae is reviewed using three genes: cytochrome oxidase I (COI), 16s rRNA, and histone 3 (H3) in a Bayesian and maximum likelihood framework. A redescription of Tenellia yamasui (Hamatani, 1993) is also provided to clarify its distinctiveness from T. bughaw and T. puti. This study confirms that all four known species of Abronica are characterized by having an acutely pointed curved penial stylet, thus confirming a unique morphological synapomorphy for members of this genus. A discussion on conflicts in the classification of fionid aeolid nudibranchs addresses concerns with extreme splitting based on novel innovations that emphasize evolutionary novelty over phyletic kinship. Instead, a more conservative approach is suggested, especially within the context of taxa that still have much undocumented primary diversity.</t>
  </si>
  <si>
    <t>DEC 13</t>
  </si>
  <si>
    <t>10.7717/peerj.18517</t>
  </si>
  <si>
    <t>Lu, Y; Tian, M; Liu, JB; Wang, KH</t>
  </si>
  <si>
    <t>LINC00511 facilitates Temozolomide resistance of glioblastoma cells via sponging miR-126-5p and activating Wnt/β-catenin signaling</t>
  </si>
  <si>
    <t>JOURNAL OF BIOCHEMICAL AND MOLECULAR TOXICOLOGY</t>
  </si>
  <si>
    <t>Temozolomide (TMZ) is the first-line chemotherapy drug for glioblastoma (GBM) but acquired TMZ resistance is frequently observed. Thus, a TMZ resistant GBM cell line U87-R was established to search for potential long noncoding RNAs (lncRNAs) used in TMZ resistance. In our study, LINC00511 was identified as a TMZ resistance-associated lncRNA in U87-R cells by transcriptome RNA sequencing. The potential functions of LINC00511 were evaluated by quantitative real-time polymerase chain reaction, cell viability assay, colony formation assay, western blot, soft agar assay, flow cytometry, tumor xenograft model, immunofluorescence, sphere formation assay, fluorescent in situ hybridization, luciferase reporter assay, and RNA pull-down assay. We found that LINC00511 was upregulated in U87-R cells and GBM samples, and correlated with poor prognosis of GBM patients. Silencing LINC00511 impaired TMZ tolerance of U87-R cells, while LINC00511 overexpression increased TMZ resistance of sensitive GBM cells. Wnt/beta-catenin signaling was activated in U87-R cells, and inhibiting Wnt/beta-catenin signaling enhanced TMZ sensitivity. Furthermore, LINC00511 was mainly distributed in the cytoplasm of GBM cells and regulated Wnt/beta-catenin activation by acting as a molecular sponge for miR-126-5p. Multiple genes of Wnt/beta-catenin signaling such as DVL3, WISP1, and WISP2 were targeted by miR-126-5p. MiR-126-5p restoration impaired TMZ resistance of GBM cells. In conclusion, our results provided a novel insight into acquired TMZ resistance of GBM cells and suggested LINC00511 as a potential biomarker or therapeutic target for GBM patients.</t>
  </si>
  <si>
    <t>10.1002/jbt.22848</t>
  </si>
  <si>
    <t>Colinas, N; Carmona, MJ; Serra, M; García-Roger, EM</t>
  </si>
  <si>
    <t>Transgenerational effect on sexual reproduction in rotifer populations in relation to the environmental predictability of their habitats</t>
  </si>
  <si>
    <t>One way to cope with predictable environmental fluctuations that affect several generations of individuals is through nongenetic transgenerational effects. Ancestors match the phenotype of their descendants to the environment the latter are expected to experience. In facultatively sexual rotifer life cycles, sex is linked to the production of diapausing eggs, which enables survival between growing seasons. In some rotifer species, sexual reproduction is inhibited several generations after diapausing eggs hatch. We hypothesised that in ponds where the growing season length is predictable, rotifer clones reproduce asexually for more generations, allowing a fuller exploitation of the growing season and maximising production of diapausing eggs at the end of the season. We tested this prediction by estimating the proportion of sexual females produced by several clones of the rotifer Brachionus plicatilis inhabiting eight ponds that vary in the predictability of the length of their growing season. Rotifer clones from more predictable ponds were unresponsive to cues that induce sexual reproduction for more generations after leaving diapause than clones from unpredictable ponds. However, clones from more unpredictable ponds did respond to these cues from early generations, probably as a way to ensure the production of diapausing eggs against the risk of an unexpectedly early end to the growing season. Significant within-population clonal variation was observed in transgenerational responses. Our results showed that the transgenerational inhibition of sexual reproduction observed in B. plicatilis evolved in clones from habitats where the length of the growing season (i.e., the period when populations are active in the water column) is more predictable on an interannual scale. Our findings also suggest that the longer the growing season, the more prolonged the inhibition effect (i.e., it affects a greater number of asexual generations). This research shows the importance of understanding how organisms adapt to fluctuating environments through transgenerational strategies and establishes the groundwork for future studies of the regulatory mechanisms underlying the transgenerational modulation of sex in rotifers.</t>
  </si>
  <si>
    <t>10.1111/fwb.14084</t>
  </si>
  <si>
    <t>Metheetrairut, C; Ahuja, Y; Slack, FJ</t>
  </si>
  <si>
    <t>acn-1, a C-elegans homologue of ACE, genetically interacts with the let-7 microRNA and other heterochronic genes</t>
  </si>
  <si>
    <t>CELL CYCLE</t>
  </si>
  <si>
    <t>The heterochronic pathway in C. elegans controls the relative timing of cell fate decisions during postembryonic development. It includes a network of microRNAs (miRNAs), such as let-7, and protein-coding genes, such as the stemness factors, LIN-28 and LIN-41. Here we identified the acn-1 gene, a homologue of mammalian angiotensin-converting enzyme (ACE), as a new suppressor of the stem cell developmental defects of let-7 mutants. Since acn-1 null mutants die during early larval development, we used RNAi to characterize the role of acn-1 in C. elegans seam cell development, and determined its interaction with heterochronic factors, including let-7 and its downstream interactors - lin-41, hbl-1, and apl-1. We demonstrate that although RNAi knockdown of acn-1 is insufficient to cause heterochronic defects on its own, loss of acn-1 suppresses the retarded phenotypes of let-7 mutants and enhances the precocious phenotypes of hbl-1, though not lin-41, mutants. Conversely, the pattern of acn-1 expression, which oscillates during larval development, is disrupted by lin-41 mutants but not by hbl-1 mutants. Finally, we show that acn-1(RNAi) enhances the let-7-suppressing phenotypes caused by loss of apl-1, a homologue of the Alzheimer's disease-causing amyloid precursor protein (APP), while significantly disrupting the expression of apl-1 during the L4 larval stage. In conclusion, acn-1 interacts with heterochronic genes and appears to function downstream of let-7 and its target genes, including lin-41 and apl-1.</t>
  </si>
  <si>
    <t>10.1080/15384101.2017.1344798</t>
  </si>
  <si>
    <t>Tappa, MJ; Ayuso, RA; Bodnar, RJ; Aylor, JG; Beard, J; Henika, WS; Vazquez, JA; Wooden, JL</t>
  </si>
  <si>
    <t>AGE OF HOST ROCKS AT THE COLES HILL URANIUM DEPOSIT, PITTSYLVANIA COUNTY, VIRGINIA, BASED ON ZIRCON U-Pb GEOCHRONOLOGY</t>
  </si>
  <si>
    <t>ECONOMIC GEOLOGY</t>
  </si>
  <si>
    <t>New U-Pb zircon SHRIMP geochronology confirms that the Coles Hill uranium deposit in Pittsylvania County, Virginia, is hosted within the Late Ordovician to Silurian Martinsville Intrusive Complex. The meta-igneous host rocks at Coles Hill consist of two units of the Martinsville Intrusive Complex: the felsic Leatherwood Granite and the mafic Rich Acres Formation. Two samples of unmineralized Leatherwood Granite orthogneiss yield Pb-206/U-238 ages between 444.5 +/- 2.5 and 447.5 +/- 1.9 Ma. A third sample of unmineralized Leatherwood Granite orthogneiss shows a wider range in Pb-206/U-238 ages, possibly due to Pb loss, and a Pb-206/Pb-207 age of 452 +/- 18 Ma. Unmineralized Rich Acres Formation amphibolite that cuts the Leatherwood gives a mean Pb-206/U-238 age (426.2 +/- 7.0 Ma), slightly younger than the Leatherwood age. Samples of mineralized orthogneiss and mineralized amphibolite give similar Pb-206/Pb-207 ages of 419 +/- 19 and 426 +/- 21 Ma, respectively. A biotite gneiss unit that underlies the mineralized zone yields a Pb-206/Pb-207 age of 415 +/- 21 Ma, indicating that it is part of the Martinsville Intrusive Complex and not a member of the early Cambrian Fork Mountain Schist, as has been previously reported. A genetic model for the Coles Hill uranium deposit has not yet been developed, although age constraints indicate that mineralization is either late or postmagmatic, and this is consistent with the epigenetic, fracture-controlled nature of the mineralization. Results obtained here do not preclude either the igneous host rocks (or similar rocks at depth) or the sedimentary units in the adjacent Triassic basin as possible sources for the uranium.</t>
  </si>
  <si>
    <t>10.2113/econgeo.109.2.513</t>
  </si>
  <si>
    <t>Santarossa, BA; Mariani, E; Correa, AD; Costa, FC; Taylor, MC; Kelly, JM; Elias, MC; Calderano, SG</t>
  </si>
  <si>
    <t>Stage-specific MCM protein expression in Trypanosoma cruzi: insights into metacyclogenesis and G1 arrested epimastigotes</t>
  </si>
  <si>
    <t>Trypanosoma cruzi is a protozoan parasite that is the etiological agent of Chagas disease, which is endemic to Latin America with reported cases in non-endemic regions such as Europe, Asia, and Oceania due to migration. During its lifecycle, T. cruzi alternates between replicative and non-replicative infective lifeforms. Metacyclogenesis is the most studied transition of the T. cruzi life cycle, where replicative epimastigotes differentiate into infective metacyclic trypomastigotes inside the gut of the triatomine vector. This early-branching organism expresses a divergent pre-replication complex (pre-RC) where the only conserved component is the MCM2-7 protein family. Given the role of pre-RC components in cell cycle regulation, we investigated whether MCM expression and location could be involved in proliferation control in epimastigotes and during metacyclogenesis. Using CRISPR/Cas9, we tagged MCM subunits and tracked their expression and subcellular localization. Our findings reveal that MCM subunits are consistently expressed and localized to the nucleus throughout the epimastigote cell cycle, including in G1/G0-arrested cells. However, MCM subunits are degraded during metacyclogenesis as cells enter the G0 state, marking the transition to replication arrest. Therefore, epimastigotes arrested in G1/G0 can either maintain MCM complex expression and resume the cell cycle when conditions become favorable, or they can undergo metacyclogenesis, exiting the cell cycle and entering a G0 state, where MCM subunits are degraded as part of the replication repression mechanism.</t>
  </si>
  <si>
    <t>MAY 26</t>
  </si>
  <si>
    <t>10.3389/fcimb.2025.1584812</t>
  </si>
  <si>
    <t>Reis, AC; Amaral, D; Americo, JA; Rebelo, MF; de Sousa, SM</t>
  </si>
  <si>
    <t>Cytogenetic characterization of the golden mussel (Limnoperna fortunei) reveals the absence of sex heteromorphic chromosomes.</t>
  </si>
  <si>
    <t>ANAIS DA ACADEMIA BRASILEIRA DE CIENCIAS</t>
  </si>
  <si>
    <t>The golden mussel (Limnoperna fortunei) is an aggressive invasive species in South America, where it endangers native species and freshwater ecosystems, in addition to causing extensive economic losses, mainly to the hydroelectric sector. Currently, there's no efficient control method available and the invasion has progressed across the continent. Its high reproduction rate is one of the key factors of the golden mussel's high invasive potential and, recently, efforts have been done in order to understand the reproduction and the sexual features of this species. However, its cytogenetics characterization is incipient and the possible occurrence of sex-specific cytogenetic features was never investigated. In this study, we aimed to characterize the chromosomal morphometry, the distribution profile of heterochromatin, and to detect possible sex-related epigenetic marks in the golden mussel. Results revealed that the karyotypic structure is similar in both sexes and no chromosome heteromorphism was observed between males and females specimens. The data increment the cytogenetic characterization of Limnoperna fortunei and contribute for future studies that aim to further investigate its reproduction and underlying sex determination processes.</t>
  </si>
  <si>
    <t>10.1590/0001-3765202320201622</t>
  </si>
  <si>
    <t>Wang, Q; Cheng, BS; Singh, S; Tao, YR; Xie, ZQ; Qin, FJ; Shi, XR; Xu, JJ; Hu, CX; Tan, WL; Li, H; Huang, H</t>
  </si>
  <si>
    <t>A protein-encoding CCDC7 circular RNA inhibits the progression of prostate cancer by up-regulating FLRT3</t>
  </si>
  <si>
    <t>NPJ PRECISION ONCOLOGY</t>
  </si>
  <si>
    <t>Circular RNAs (circRNAs) are a family of endogenous RNAs that have become a focus of biological research in recent years. Emerging evidence has revealed that circRNAs exert biological functions by acting as transcriptional regulators, microRNA sponges, and binding partners with RNA-binding proteins. However, few studies have identified coding circRNAs, which may lead to a hidden repertoire of proteins. In this study, we unexpectedly discovered a protein-encoding circular RNA circCCDC7(15,16,17,18,19) while we were searching for prostate cancer related chimeric RNAs. circCCDC7(15,16,17,18,19) is derived from exon 19 back spliced to exon 15 of the CCDC7 gene. It is significantly downregulated in patients with high Gleason score. Prostate cancer patients with decreased circCCDC7(15,16,17,18,19) expression have a worse prognosis, while linear CCDC7 had no such association. Overexpressed circCCDC7(15,16,17,18,19) inhibited prostate cancer cell migration, invasion, and viability, supporting classification of circCCDC7(15,16,17,18,19) as a bona fide tumor suppressor gene. We provide evidence that its tumor suppressive activity is driven by the protein it encodes, and that circCCDC7(15,16,17,18,19) encodes a secretory protein. Consistently, conditioned media from circCCDC7(15,16,17,18,19) overexpressing cells has the same tumor suppressive activity. We further demonstrate that the tumor suppressive activity of circCCDC7(15,16,17,18,19) is at least partially mediated by FLRT3, whose expression also negatively correlates with Gleason score and clinical prognosis. In conclusion, circCCDC7(15,16,17,18,19) functions as a tumor suppressor in prostate cancer cells through the circCCDC7-180aa secretory protein it encodes, and is a promising therapeutic peptide for prostate cancer.</t>
  </si>
  <si>
    <t>10.1038/s41698-024-00503-2</t>
  </si>
  <si>
    <t>Liby, P; Pohludka, M; Vohánka, J; Kostrouchová, M; Kostrouch, D; Kostrouchová, M; Rall, JE; Kostrouch, Z</t>
  </si>
  <si>
    <t>BIR-1, the homologue of human survivin, regulates expression of developmentally active collagen genes in C. elegans</t>
  </si>
  <si>
    <t>FOLIA BIOLOGICA</t>
  </si>
  <si>
    <t>BIR-1 and Survivin are highly conserved members of the inhibitor of apoptosis protein family that regulate cell division in nematodes and mammals and inhibit apoptosis in mammals. In the C elegans genome, bir-1 is organized in an operon together with transcription and splicing cofactor CeSKIP (skp-1) and is highly expressed during embryogenesis as well as in non-dividing cells during larval development. Previously we have shown that BIR-1 regulates transcription and development and its loss-of-function phenotype overlaps with loss of function of CeSKIP and nuclear hormone receptor CHR3 (NHR-23). Here we searched for genes whose expression is affected by BIR-1 loss of function using whole-genome microarray experiments and identified several collagen genes as candidate targets of bir-1 inhibition in L1 larval stage. The decreased expression of selected collagen genes in bir-1-inhibited larvae was confirmed by quantitative RT-PCR. Next, we generated transgenic lines expressing bir-1 mRNA under a heat shock-regulated promoter and tested whether bir-1 overexpression has the potential to augment the expression of genes that showed decreased expression in worms treated with bir-1 RNAi. Overexpression of bir-1 resulted in a pronounced increase (2 to 5 times) of the expression of these genes. Our findings support the concept that BIR-1, a protein generally regarded as a mitotic factor, is involved in the regulation. of transcription during normal development of C. elegans and has a strong ability to affect transcription of developmentally active genes if overexpressed.</t>
  </si>
  <si>
    <t>Kou, Q; Li, XZ; Chan, TY; Chu, KH; Gan, ZB</t>
  </si>
  <si>
    <t>Molecular phylogeny of the superfamily Palaemonoidea (Crustacea : Decapoda : Caridea) based on mitochondrial and nuclear DNA reveals discrepancies with the current classification</t>
  </si>
  <si>
    <t>Palaemonoidea is one of the most speciose superfamilies of Caridea. Since it was established, several classification schemes of Palaemonoidea have been proposed and modified. However, the current classification of Palaemonoidea is still in dispute. In this study, one mitochondrial gene (16S rRNA) and three nuclear genes (histone 3, 18S rRNA and 28S rRNA) were used to explore the phylogenetic relationships among the subgroups of the superfamily Palaemonoidea, including seven families with 25 affiliated genera. Based on the combined data with both maximum likelihood and Bayesian inference analyses, the results support the monophyly of Anchistioididae and Hymenoceridae. In contrast, Gnathophyllidae is suggested to be paraphyletic and Palaemonidae is shown to be a polyphyletic group. Our analyses reveal that the subfamily Palaemoninae could be approximately divided into three clades, and the branchiostegal groove is the probable morphological evidence of the environmental transition from sea to fresh water. Besides, for some of the Palaemonoidea families, their taxonomic status is obscure. A revision of Palaemonoidea and a re-evaluation of its constituent taxa appear to be necessary even though the systematic status of the subfamily Pontoniinae is still undetermined.</t>
  </si>
  <si>
    <t>10.1071/IS13005</t>
  </si>
  <si>
    <t>Senthilkumar, R; Mishra, RK</t>
  </si>
  <si>
    <t>Novel motifs distinguish multiple homologues of Polycomb in vertebrates: expansion and diversification of the epigenetic toolkit</t>
  </si>
  <si>
    <t>Background: Polycomb group (PcG) proteins maintain expression pattern of genes set early during development. Although originally isolated as regulators of homeotic genes, PcG members play a key role in epigenetic mechanism that maintains the expression state of a large number of genes. Polycomb (PC) is conserved during evolution and while invertebrates have one PC gene, vertebrates have five or more homologues. It remains unclear if different vertebrate PC homologues have distinct or overlapping functions. We have identified and compared the sequence of PC homologues in various organisms to analyze similarities and differences that shaped the evolutionary history of this key regulatory protein. Results: All PC homologues have an N-terminal chromodomain and a C-terminal Polycomb Repressor box. We searched the protein and genome sequence database of various organisms for these signatures and identified similar to 100 PC homologues. Comparative analysis of these sequences led to the identification of a novel insect specific motif and several novel and signature motifs in the vertebrate homologue: two in CBX2 (Cx2.1 and Cx2.2), four in CBX4 (Cx4.1, Cx4.2, Cx4.3 and Cx4.4), three in CBX6 (Cx6.1, Cx6.2 and Cx6.3) and one in CBX8 (Cx8.1). Additionally, adjacent to the chromodomain, all the vertebrate homologues have a DNA binding motif -AT-Hook in case of CBX2, which was known earlier, and 'AT-Hook Like' motif, from this study, in other PC homologues. Conclusion: Our analysis shows that PC is an ancient gene dating back to pre bilaterian origin that has not only been conserved but has also expanded during the evolution of complexity. Unique motifs acquired by each homologue have been maintained for more than 500 millions years indicating their functional relevance in boosting the epigenetic 'tool kit'. We report the presence of a DNA interaction motif adjacent to chromodomain in all vertebrate PC homologues and suggest a three-way 'PC-histoneH3-DNA' interaction that can restrict nucleosome dynamics. The signature motifs of PC homologues and insect specific motif identified in this study pave the way to understand the molecular basis of epigenetic mechanisms.</t>
  </si>
  <si>
    <t>NOV 20</t>
  </si>
  <si>
    <t>10.1186/1471-2164-10-549</t>
  </si>
  <si>
    <t>Arrigoni, R; Benzoni, F; Huang, DW; Fukami, H; Chen, CA; Berumen, ML; Hoogenboom, M; Thomson, DP; Hoeksema, BW; Budd, AF; Zayasu, Y; Terraneo, TI; Kitano, YF; Baird, AH</t>
  </si>
  <si>
    <t>When forms meet genes: revision of the scleractinian genera Micromussa and Homophyllia (Lobophylliidae) with a description of two new species and one new genus</t>
  </si>
  <si>
    <t>The scleractinian family Lobophylliidae is undergoing a major taxonomic revision thanks to the combination of molecular and morphological data. In this study, we investigate the evolutionary relationships and the macro- and micromorphology of six nominal coral species belonging to two of the nine molecular clades of the Lobophylliidae, clades A and B, and of Symphyllia wilsoni, a lobophylliid species analyzed from a molecular point of view for the first time. Sequence data from mitochondrial DNA (COI and the intergenic spacer between COI and l-rRNA), and nuclear DNA (histone H3 and ITS region) are used to generate robust molecular phylogenies and a median-joining haplotype network. Molecular results are strongly in agreement with detailed observations of gross-and fine-scale morphology of skeletons, leading to the formal revision of the genera Micro-mussa and Homophyllia and the description of two newly discovered zooxanthellate shallow-water species, Micromussa pacifica sp. nov. Benzoni &amp; Arrigoni and Micromussa indiana sp. nov. Benzoni &amp; Arrigoni, and a new genus, Australophyllia gen. nov. Benzoni &amp; Arrigoni. In particular, Acanthastrea lord-howensis and Montastraea multipunctata are moved into Micromussa, A. hillae is synonymized with A. bowerbanki and is transferred to Homophyllia, and a revised diagnosis for both genera is provided. Micromussa pacifica sp. nov. is described from the Gambier Islands with its distribution spanning New Caledonia and eastern Australia. Despite a superficial resemblance with Homophyllia australis, it has distinctive macroand micromorphological septal features. Micromussa indiana sp. nov., previously identified as M. amakusensis, is here described from the Gulf of Aden and the southern Red Sea as a distinct species that is genetically separated from M. amakusensis and is morphologically distinct from the latter due to its smaller corallite size and lower number of septa. Finally, molecular trees show that S. wilsoni is closely related, but molecularly separated from clades A and B, and, also based on a unique combination of corallite and sub-corallite characters, the species is moved into Australophyllia gen. nov. These findings confirm the need for using both genetic and morphological datasets for the ongoing taxonomic revision of scleractinian corals.</t>
  </si>
  <si>
    <t>10.1163/18759866-08504002</t>
  </si>
  <si>
    <t>Liu, CJ; Ren, CN; Guo, L; Yang, CZ; Yu, Q</t>
  </si>
  <si>
    <t>Exosome-mediated circTTLL5 transfer promotes hepatocellular carcinoma malignant progression through miR-136-5p/KIAA1522 axis</t>
  </si>
  <si>
    <t>PATHOLOGY RESEARCH AND PRACTICE</t>
  </si>
  <si>
    <t>Background: Exosomes have been recognized as messengers for intercellular communication in tumor microenvironment. Exosomal circRNAs are reported to be important in tumors. Here, this study identified the potential function of exosomal circular RNA tubulin tyrosine ligase like 5 (circTTLL5) in hepatocellular carcinoma (HCC) progression. Methods: The expression of circTTLL5, microRNA (miR) 136-5p and KIAA1522 was detected using qRT-PCR and Western blot assays. Exosomes were isolated by ultracentrifugation, and qualified by transmission electron microscopy (TEM) and Western blot. Cell proliferation, apoptosis and metastasis were investigated using cell counting kit-8, colony formation, flow cytometry, would healing, transwell and Western blot assays, respectively. The interaction between miR-136-5p and circTTLL5 or KIAA1522 was confirmed by dual-luciferase reporter and pull-down assays. In vivo experiment was performed using Xenograft models. Results: CircTTLL5 was incorporated into exosomes and highly expressed in HCC tissues and cells. CircTTLL5 knockdown suppressed HCC cell proliferation and metastasis in vitro and impeded tumor growth in mice. CircTTLL5 could be delivered to recipient cells via exosomes, and treatment of circTTLL5-elevated exosomes could attenuate the anticancer effects of circTTLL5 knockdown on HCC in vitro and in vivo. Mechanically, circTTLL5 could sponge miR-136-5p, which controlled its down-stream target KIAA1522. MiR-136-5p inhibition reversed the effects of circTTLL5 knockdown on HCC cells. Besides that, miR-136-5p re-expression inhibited HCC cell growth and metastasis, which was abated by KIAA1522 overexpression. Conclusion: Exosomal circTTLL5 promoted HCC progression through miR-136-5p/KIAA1522 axis, suggesting that blockage of the exosome-mediated transfer of circTTLL5 might be a therapeutic target for HCC.</t>
  </si>
  <si>
    <t>10.1016/j.prp.2022.154276</t>
  </si>
  <si>
    <t>Arrigoni, R; Berumen, ML; Huang, DW; Terraneo, TI; Benzoni, F</t>
  </si>
  <si>
    <t>Cyphastrea (Cnidaria : Scleractinia : Merulinidae) in the Red Sea: phylogeny and a new reef coral species</t>
  </si>
  <si>
    <t>The scleractinian coral Cyphastrea is a common and widespread genus throughout the coral reefs of the Indo-Pacific. Little is known about the phylogenetic relationships within this taxon and species identification is based mainly on traditional skeletal characters, such as the number of septa, septa cycles, growth form and corallite dimensions. Here we present the first focussed reconstruction of phylogenetic relationships among Cyphastrea species, analysing 57 colonies from the Red Sea, where five morphospecies live in sympatry. Analyses based on three loci (nuclear histone H3, 28S rDNA and a mitochondrial intergenic region) reveal the existence of three well-supported molecular lineages. None of the five previously defined morphospecies are monophyletic and they cluster into two clades, suggesting the need of a systematic revision in Cyphastrea. The third lineage is described as C. magna Benzoni &amp; Arrigoni, sp. nov., a new reef coral species collected from the northern and central Red Sea. Cyphastrea magna Benzoni &amp; Arrigoni, sp. nov. is characterised by the largest corallite diameter among known Cyphastrea species, a wide trabecular columella &gt;1/4 of calice width, and 12 equal primary septa. This study suggests that morphology-based taxonomy in Cyphastrea may not identify monophyletic units and strengthens the application of genetics in coral systematics.</t>
  </si>
  <si>
    <t>10.1071/IS16035</t>
  </si>
  <si>
    <t>Lan, ZZ; Sun, FH; Chen, C; Niu, L; Shi, JD; Zhang, WY</t>
  </si>
  <si>
    <t>CircPRDM5 inhibits the proliferation, migration, invasion, and glucose metabolism of gastric cancer cells by reducing GCNT4 expression in a miR-485-3p-dependent manner</t>
  </si>
  <si>
    <t>KAOHSIUNG JOURNAL OF MEDICAL SCIENCES</t>
  </si>
  <si>
    <t>Circular RNA (circRNA) plays a key part in the pathological process of gastric cancer (GC). The study is organized to analyze the function of circPRDM5 in GC cell tumor properties. Expression levels of circPRDM5, miR-485-3p, glucosaminyl (N-acetyl) transferase 4 (GCNT4), ki67, E-cadherin, N-cadherin, and hexokinase 2 (HK2) were analyzed by quantitative real-time polymerase chain reaction (PCR), Western blotting or immunohistochemistry assay. Cell proliferation was assessed by cell colony formation assay and 5-ethynyl-2 ' -deoxyuridine assay. Cell migration and invasion were investigated by transwell assay. Glycolysis was evaluated by the Seahorse XF Glycolysis Stress Test Kit. Dual-luciferase reporter assay and RNA pull-down assay were performed to identify the associations among circPRDM5, miR-485-3p, and GCNT4. Xenograft mouse model assay was conducted to determine the effects of circPRDM5 on tumor formation in vivo. CircPRDM5 and GCNT4 expression were downregulated, while miR-485-3p expression was upregulated in GC tissues and cells when compared with paracancerous tissues or human gastric epithelial cells. CircPRDM5 overexpression inhibited proliferation, migration, invasion, and glucose metabolism of GC cells; however, circPRDM5 depletion had the opposite effects. CircPRDM5 repressed tumor properties of GC cells in vivo. MiR-485-3p restoration relieved circPRDM5-induced effects in GC cells. GCNT4 overexpression remitted the promoting effects of miR-485-3p mimics on GC cell malignancy. CircPRDM5 acted as a sponge for miR-485-3p, and GCNT4 was identified as a target gene of miR-485-3p. Moreover, circPRDM5 regulated GCNT4 expression by interacting with miR-485-3p.CircPRDM5 acted as a miR-485-3p sponge to inhibit GC progression by increasing GCNT4 expression, proving a potential target for GC therapy.</t>
  </si>
  <si>
    <t>10.1002/kjm2.12799</t>
  </si>
  <si>
    <t>Rangan, KJ; Reck-Peterson, SL</t>
  </si>
  <si>
    <t>RNA recoding in cephalopods tailors microtubule motor protein function</t>
  </si>
  <si>
    <t>CELL</t>
  </si>
  <si>
    <t>RNA editing is a widespread epigenetic process that can alter the amino acid sequence of proteins, termed recoding.In cephalopods, most transcripts are recoded, and recoding is hypothesized to be an adaptive strategy to generate phenotypic plasticity. However, how animals use RNA recoding dynamically is largely unexplored. We investigated the function of cephalopod RNA recoding in the microtubule motor proteins kinesin and dynein. We found that squid rapidly employ RNA recoding in response to changes in ocean temperature, and kinesin variants generated in cold seawater displayed enhanced motile properties in sin-gle-molecule experiments conducted in the cold. We also identified tissue-specific recoded squid kinesin variants that displayed distinct motile properties. Finally, we showed that cephalopod recoding sites can guide the discovery of functional substitutions in non-cephalopod kinesin and dynein. Thus, RNA recoding is a dynamic mechanism that generates phenotypic plasticity in cephalopods and can inform the character-ization of conserved non-cephalopod proteins.</t>
  </si>
  <si>
    <t>JUN 8</t>
  </si>
  <si>
    <t>10.1016/j.cell.2023.04.032</t>
  </si>
  <si>
    <t>Schleder, DD; Blank, M; Peruch, LGB; Vieira, FD; Andreatta, ER; Hayashi, L</t>
  </si>
  <si>
    <t>Thermal resistance of Pacific white shrimp fed Sargassum filipendula: A MALDI-TOF mass spectrometry approach</t>
  </si>
  <si>
    <t>Pacific white shrimp, Litopenaeus vannamei, is a tropical species known to be intolerant to cold. In our earlier work, increased thermal shock resistance caused by Sargassum filipendula raised unanswered questions about the mechanisms responsible for this resistance. Therefore, in the present work, we used MALDI-TOF mass spectrometry (MS) to assess protein and lipid profiles of intact and lysed hemocytes from Pacific white shrimp fed 0.5% of S. filipendula and submitted to thermal shock. To accomplish this, shrimp (13.0 +/- 0.4 g) were reared during 15 days in 800 L tanks (35 shrimps tank-1), in duplicate, under constant aeration and temperature (28.5 degrees C), 100% of daily water exchange and feeding four times day(-1). At day 16, animals were submitted to thermal shock by passing from seawater at 28.5 degrees C to 11.5 degrees C, where they remained for 1 h, and then returning to 28.5 degrees C. Mortality was monitored during 24 h. Hemolymph of 10 animals per treatment (control and 0.5% S. filipendula) was collected before and 15 min after thermal shock for MALDI-TOF MS analyses. Hemocytes were processed in both intact and lysed cells. Samples were mixed (1: 1) with 2,5-dihydroxy-benzoic acid matrix for lipid analysis and sinapinic acid for protein. Shrimp fed 0.5% S. filipendula showed higher signal intensity of phosphatidylcholines with unsaturated fatty acids and lower signal intensity of lysophosphatidylcholines, after thermal shock. For proteins, S. filipendula increased signals that could be associated with antimicrobial peptides and histone H2A, whereas reduced signals were related to Cytochrome c oxidase subunits. Based on these results, it can be concluded that S. filipendula increased membrane fluidity and antimicrobial defense, diminished apoptotic signaling, and modulated DNA regulation, lipid and energy metabolism of shrimp hemocytes. These mechanisms could explain, at least in part, the higher thermal shock resistance of these shrimp fed a diet with 0.5% S. filipendula.</t>
  </si>
  <si>
    <t>10.1016/j.aquaculture.2017.08.028</t>
  </si>
  <si>
    <t>Arrigoni, R; Berumen, ML; Chen, CA; Terraneo, TI; Baird, AH; Payri, C; Benzoni, F</t>
  </si>
  <si>
    <t>Species delimitation in the reef coral genera Echinophyllia and Oxypora (Scleractinia, Lobophylliidae) with a description of two new species</t>
  </si>
  <si>
    <t>Scleractinian corals are affected by environment-induced phenotypic plasticity and intraspecific morphological variation caused by genotype. In an effort to identify new strategies for resolving this taxonomic issue, we applied a molecular approach for species evaluation to two closely related genera, Echinophyllia and Oxypora, for which few molecular data are available. A robust multi-locus phylogeny using DNA sequence data across four loci of both mitochondrial (COI, ATP6-NAD4) and nuclear (histone H3, ITS region) origin from 109 coral colonies was coupled with three independent putative species delimitation methods based on barcoding threshold (ABGD) and coalescence theory (PTP, GMYC). Observed overall congruence across multiple genetic analyses distinguished two traditional species (E. echinoporoides and O. convoluta), a species complex composed of E. aspera, E. orpheensis, E. tarae, and O. glabra, whereas O. lacera and E. echinata were indistinguishable with the sequenced loci. The combination of molecular species delimitation approaches and skeletal character observations allowed the description of two new reef coral species, E. bulbosa sp. n. from the Red Sea and E. gallii sp. n. from the Maldives and Mayotte. This work demonstrated the efficiency of multi-locus phylogenetic analyses and recently developed molecular species delimitation approaches as valuable tools to disentangle taxonomic issues caused by morphological ambiguities and to re-assess the diversity of scleractinian corals. (C) 2016 Elsevier Inc. All rights reserved.</t>
  </si>
  <si>
    <t>10.1016/j.ympev.2016.08.023</t>
  </si>
  <si>
    <t>Sperling, EA; Robinson, JM; Pisani, D; Peterson, KJ</t>
  </si>
  <si>
    <t>Where's the glass? Biomarkers, molecular clocks, and microRNAs suggest a 200-Myr missing Precambrian fossil record of siliceous sponge spicules</t>
  </si>
  <si>
    <t>GEOBIOLOGY</t>
  </si>
  <si>
    <t>The earliest evidence for animal life comes from the fossil record of 24-isopropylcholestane, a sterane found in Cryogenian deposits, and whose precursors are found in modern demosponges, but not choanoflagellates, calcareans, hexactinellids, or eumetazoans. However, many modern demosponges are also characterized by the presence of siliceous spicules, and there are no convincing demosponge spicules in strata older than the Cambrian. This temporal disparity highlights a problem with our understanding of the Precambrian fossil record - either these supposed demosponge-specific biomarkers were derived from the sterols of some other organism and are simply retained in modern demosponges, or spicules do not primitively characterize crown-group demosponges. Resolving this issue requires resolving the phylogenetic placement of another group of sponges, the hexactinellids, which not only make a spicule thought to be homologous to the spicules of demosponges, but also make their first appearance near the Precambrian/Cambrian boundary. Using two independent analytical approaches and data sets - traditional molecular phylogenetic analyses and the presence or absence of specific microRNA genes - we show that demosponges are monophyletic, and that hexactinellids are their sister group (together forming the Silicea). Thus, spicules must have evolved before the last common ancestor of all living siliceans, suggesting the presence of a significant gap in the silicean spicule fossil record. Molecular divergence estimates date the origin of this last common ancestor well within the Cryogenian, consistent with the biomarker record, and strongly suggests that siliceous spicules were present during the Precambrian but were not preserved.</t>
  </si>
  <si>
    <t>10.1111/j.1472-4669.2009.00225.x</t>
  </si>
  <si>
    <t>Ohe, K; Tanaka, T; Horit, Y; Harada, Y; Yamasaki, T; Abe, I; Tanabe, M; Nomiyama, T; Kobayashi, K; Enjoji, M; Yanase, T</t>
  </si>
  <si>
    <t>Circular IRE-type RNAs of the NR5A1 gene are formed in adrenocortical cells</t>
  </si>
  <si>
    <t>The recently discovered circular RNAs (circRNAs) are mostly formed by back-splicing where the down-stream 5' splice site splices to the upstream 3' splice site by conventional pre-mRNA splicing. These circRNAs regulate gene expression by acting as sponges for micro-RNAs or RNA-binding proteins. Here we show that the NR5A1 (previously called Ad4BP or SF-1) gene which is exclusively expressed in the adrenal cortex and steroidogenic tissue can form atypical circRNAs by unconventional splicing. Two stem loops with inositol-requiring protein-1 alpha (IRE1 alpha) cleavage sites are connected by an IRE1 alpha cleavage site to form a circRNA (circlRE RNA). From total RNA of normal human adrenal cortex, we detected a circlRE RNA with connected ends by IRE1 alpha cleavage sites in exon 6 and exon 1 (circlRE NR5A1 ex6-1 RNA). circlRE NR5A1 ex6-1 RNA was not detected in the adrenocortical cancer cell line, H295R. When IRE1 alpha was expressed in H295R cells a different circlRE NR5A1 RNA connecting IRE1-cleavage sites in exon 7 and exon 1 was detected (circlRE NR5A1 ex7-1 RNA). The expression of this circlRE RNA was inhibited by the IRE1 inhibitor 1, STF-083010, implicating that it was formed via the ER stress pathway, where IRE1 alpha is a major factor. This is the first report of this type of circular RNA connected by IRE1-cleavage sites found to be expressed in mammalian cells in a tissue-specific manner. To our surprise, the concomitant expression of NR5A1 was increased by IRE1 alpha implicating that NR5A1 was not subjected to IRE1-dependent decay of mRNA (RIDD) but rather activating a transcriptional regulatory network to cope with ER stress in steroidogenic tissue reminiscent to XBP1 in other tissue. We believe this is the first report of such tissue specific transcriptional cascade responding to ER stress as well as the novel finding of circular RNAs connected by IRE1 alpha cleavage sites expressed in mammalian tissue. (C) 2019 Elsevier Inc. All rights reserved.</t>
  </si>
  <si>
    <t>10.1016/j.bbrc.2019.02.151</t>
  </si>
  <si>
    <t>Wu, SY; Lv, XZ; Wei, HG; Chen, WY; Zheng, JM; Li, X; Song, J; Ai, YL; Zou, C</t>
  </si>
  <si>
    <t>Circ-ILF2 in oral squamous cell carcinoma promotes cisplatin resistance and induces M2 polarization of macrophages</t>
  </si>
  <si>
    <t>JOURNAL OF CELLULAR AND MOLECULAR MEDICINE</t>
  </si>
  <si>
    <t>Cisplatin (CDDP) chemoresistance is one of the predominant factors in oral squamous cell carcinoma (OSCC) treatment failure. Uncovering the mechanisms underlying CDDP resistance is of great importance in OSCC therapy. Circular RNAs (circRNAs) are a newly discovered class of noncoding RNAs, which are reported to participate in the progression of various diseases, including cancer. However, the function of circRNAs in CDDP resistance in OSCC remains unclear. Quantitative reverse transcription PCR was used to search for different circRNAs between OSCC cell lines and CDDP-resistant cell lines. The results showed that circ-ILF2 expression was higher in CDDP-resistant OSCC cell lines. The stability of circ-ILF2 was also confirmed using RNase R and actinomycin D assays. Functional experiments, including cytotoxicity, apoptosis and growth rate assays, showed that upregulation of circ-ILF2 contributes to CDDP resistance. Luciferase reporter-gene, RNA pull-down and quantitative real-time PCR (RT-qPCR) assays showed that circ-ILF2 functions as a microRNA sponge for miR-1252. Luciferase reporter assays, RNA pull-down, RT-qPCR and Western blotting showed that miR-1252 directly targeted and regulated the expression of KLF8. Circ-ILF2 plays an important role in CDDP resistance in OSCC. Circ-ILF2 exerts its function through the miR-1252/KLF8 pathway. In addition, tumour-associated macrophages (TAM) play important roles in cancer progressions, our results showed that circ-ILF2 in OSCC cells induced the M2 polarization of macrophages which provided new thoughts on immunotherapy. Our results suggest that circ-ILF2 may represent a potential therapeutic target in CDDP-resistant OSCC.</t>
  </si>
  <si>
    <t>10.1111/jcmm.17998</t>
  </si>
  <si>
    <t>Li, A; Zhao, MJ; Zhang, ZY; Wang, CG; Zhang, KX; Zhang, X; De Wit, PR; Wang, W; Gao, JT; Guo, XM; Zhang, GF; Li, L</t>
  </si>
  <si>
    <t>Genome architecture and selective signals compensatorily shape plastic response to a new environment</t>
  </si>
  <si>
    <t>INNOVATION</t>
  </si>
  <si>
    <t>Transcriptional plasticity interacts with natural selection in complex ways and is crucial for the survival of species under rapid climate change. How 3D genome architecture affects transcriptional plasticity and its interaction with genetic adaptation are unclear. We transplanted estuarine oysters to a new environment and found that genes located in active chromatin regions exhibited greater transcriptional plasticity, and changes in these regions were negatively correlated with selective signals. This indicates a trade-off be-tween 3D active regions and selective signals in shaping plastic responses to a new environment. Specifically, a mutation, lincRNA, and changes in the accessibility of a distal enhancer potentially affect its interaction with the ManIIa gene, which regulates the muscle function and survival of oysters. Our findings reveal that 3D genome architecture compensates for the role of genetic adaptation in environmental response to new environments and provide insights into synergetic genetic and epigenetic interactions critical for fitness-related trait and survival in a model marine species.</t>
  </si>
  <si>
    <t>10.1016/j.xinn.2023.100464</t>
  </si>
  <si>
    <t>Kraus, YA</t>
  </si>
  <si>
    <t>Morphomechanical programming of morphogenesis in Cnidarian embryos</t>
  </si>
  <si>
    <t>INTERNATIONAL JOURNAL OF DEVELOPMENTAL BIOLOGY</t>
  </si>
  <si>
    <t>The factors governing the pattern formation process in the early morphogenesis of a marine colonial hydroid, Dynamena pumila, have been studied. Two different types of morphogenesis have been distinguished. Morphogenesis of the first type goes on via changes in cell shape and cell axis orientation, while morphogenesis of the second type is based upon the active coordinated cell movements associated with cell rearrangements. It was shown that morphogenesis of both types can be considered as cascades in which any event is a consequence of the previous one. The spatial structure of each developmental stage contains information about the direction and the initial conditions of further morphogenesis. So, an epigenetic program of morphogenesis gradually originates in the course of development and provides the stable reproduction of spatial structures. It is reasonable to consider the activity of epigenetic factors guiding Dynamena morphogenesis (geometry/topology of an embryo, heterogeneity of an embryo spatial structure, configuration of the field of mechanical stresses of the embryo surface) as morphomechanical programming of morphogenesis.</t>
  </si>
  <si>
    <t>10.1387/ijdb.052061yk</t>
  </si>
  <si>
    <t>Beesoo, R; Neergheen, VS; Bhagooli, R; Reid, AM; Lambrechts, IA; Gibango, L; Bodiba, D; Lall, N; Bahorun, T</t>
  </si>
  <si>
    <t>In vitro antioxidant, antibacterial, cytotoxic, and epigenetic screening of crude extract and fractions of the marine sponge Neopetrosia exigua from Mauritius waters</t>
  </si>
  <si>
    <t>SCIENTIFIC AFRICAN</t>
  </si>
  <si>
    <t>The marine sponge Neopetrosia exigua is known as a goldmine of novel compounds, yet its pharmacological activities remain poorly characterised. Herein, this study investigates the bioactivities of N. exigua collected from Mauritius waters. The crude extract (dichloromethane: methanol), hexane, ethyl acetate and aqueous fractions obtained from N. exigua were subjected to in vitro antioxidant assays. Their antibacterial activities were evaluated using the broth microdilution method to determine the minimum inhibitory concentration (MIC). The cytotoxic and epigenetic activities were further screened using the MTT assay and a cell-based image system that measures de-repression of a silenced Green Fluorescent Protein (GFP) reporter gene, respectively. Higher antioxidant activity was recorded for the ethyl acetate fraction as demonstrated by its significant ferric reducing antioxidant power, radical scavenging, and metal chelating activities relative to control (p &lt; 0.05). The best antibacterial profile was presented by the ethyl acetate fraction against Cutibacterium acnes (MIC: 0.039 mg/ml), Streptococcus mutans (MIC: 0.078 mg/ml) and Mycobacterium smegmatis (MIC: 0.313 mg/ml). Similarly, the fraction displayed significant cytotoxicity against the human liposarcoma SW872 cells with IC50 value of 44.34 +/- 2.64 mu g/ml and GFP re-activation capacity of 43.79 +/- 3.19% (p &lt; 0.05). This work conveys interesting data on the antioxidant, antimicrobial, and anticancer properties of N. exigua. In particular, this study indicates the promising potential of N. exigua as a reservoir of epigenetically active agents that can modulate transcription of silenced genes involved in carcinogenesis. Hence, further investigations to isolate the active constituents is actively warranted.</t>
  </si>
  <si>
    <t>10.1016/j.sciaf.2023.e01867</t>
  </si>
  <si>
    <t>Graeve, A; Janssen, M; de la Pena, MV; Tollrian, R; Weiss, LC</t>
  </si>
  <si>
    <t>Higher, Faster, Better: Maternal Effects Shorten Time Lags and Increase Morphological Defenses in Daphnia lumholtzi Offspring Generations</t>
  </si>
  <si>
    <t>FRONTIERS IN ECOLOGY AND EVOLUTION</t>
  </si>
  <si>
    <t>Prey species can respond to the presence of predators by inducing phenotypic plastic traits which form morphological, life history or behavioral defenses. These so-called inducible defenses have evolved within a cost-benefit framework. They are only formed when they are needed, and costs associated with defenses are saved when predators are not present. However, a disadvantage compared to permanent defenses are lag phases between predator perception and the full formation of defenses. This may be especially important when the predation risk persists for longer periods, e.g., outlasts one generation and challenges prey offspring. We hypothesized that transgenerational induced phenotypic plasticity reduces lag phases in situations where hazards threaten specimens over several generations. We tested this in three generations of the freshwater crustacean Daphnia lumholtzi using the three-spined stickleback Gasterosteus aculeatus as predator. In the presence of chemical cues from fish D. lumholtzi expresses elongated head and tail spines. In the F0 generation defenses are constraint by a comparatively long lag phase and are not developed prior to the 3rd instar. In the F1, and F2 of induced animals this lag phase is shortened and defenses are developed upon birth. We show that induction of TGP in the mothers takes place already during the juvenile stages and transfers to the offspring generation in forms of shortened time lags and enhanced trait expression. When progeny is additionally exposed to fish cues as embryos, the addition of maternal and embryonic effects further enhances the magnitude of defense expression. Our findings detail a distinguished strategy of transgenerational phenotypic plasticity which allows to shorten lag phases of trait changes in phenotypic plasticity.</t>
  </si>
  <si>
    <t>10.3389/fevo.2021.637421</t>
  </si>
  <si>
    <t>Flowers, JM; Burton, RS</t>
  </si>
  <si>
    <t>Ribosomal RNA gene silencing in interpopulation hybrids of Tigriopus californicus:: Nucleolar dominance in the absence of intergenic spacer subrepeats</t>
  </si>
  <si>
    <t>GENETICS</t>
  </si>
  <si>
    <t>A common feature of interspecific animal and plant hybrids is the uniparental silencing of ribosomal RNA gene transcription, or nucleolar dominance. A leading explanation for the genetic basis of nucleolar dominance in animal hybrids is the enhancer-imbalance model. The model proposes that limiting transcription factors are titrated by a greater number of enhancer-bearing subrepeat elements in the intergenic spacer (IGS) of the dominant cluster of genes. The importance of subrepeats for nucleolar dominance has repeatedly been supported in competition assays between Xenopus laevis and X. borealis minigene constructs injected into oocytes. However, a more general test of the importance of IGS subrepeats for nuclear dominance in vivo has not been conducted. In this report, rRNA gene expression was examined in interpopulation hybrids of the marine copepod Tigriopus californicus. This species offers a rare opportunity to test the role of IGS subrepeats in nucleolar dominance because the internal subrepeat structure, found in the IGS of virtually all animal and plant species, is absent in T. californicus. Our results clearly establish that nucleolar dominance occurs in F-1 and F-2 interpopulation hybrids of this species. In the F-2 generation, nucleolar dominance appears to break down in some hybrids in a fashion that is inconsistent with a transcription factor titration model. These results are significant because they indicate that nucleolar dominance can be established and maintained without enhancer-bearing repeat elements in the IGS. This challenges the generality of the enhancer-imbalance model for nucleolar dominance and suggests that dominance of rRNA transcription in animals may be determined by epigenetic factors as has been established in plants.</t>
  </si>
  <si>
    <t>10.1534/genetics.106.058719</t>
  </si>
  <si>
    <t>Hallas, JM; Gosliner, TM</t>
  </si>
  <si>
    <t>Family matters: The first molecular phylogeny of the Onchidorididae Gray, 1827 (Mollusca, Gastropoda, Nudibranchia)</t>
  </si>
  <si>
    <t>Recent investigations into the evolution of the Onchidorididae using morphological based methods have resulted in low support for relationships among genera. This study aims to determine if molecular data corroborates recent morphological interpretations of the evolution of Onchidorididae. Five genetic markers: 16S, 18S, 28S, cytochrome c oxidase 1 (COI) and histone 3 (H3), were sequenced from 32 species comprising Onchidorididae and five other families, three from Phanerobranchia and two from Cryptobranchia. Phylogenies were estimated using maximum likelihood, and Bayesian inference analyses; with both yielding similar topologies. Molecular analyses resulted in high support for the monophyly of the suctorian clade and the placement of the genera within Onchidorididae. However, the Onchidorididae forms a paraphyletic grouping due to the recovery of the Goniodorididae and the Akiodorididae nested within family. In addition, the placement of Corambe as the most derived member of Onchidorididae is contradicted by the present study. Rather it is sister to a large clade that includes Acanthodoris and the species traditionally placed in Onchidoris and Adalaria, now defined as Onchidorididae. We have chosen to maintain Corambidae as a distinct taxon (including Corambe and Loy), sister to Onchidorididae. We also maintain Goniodorididae, Akiodorididae and Calycidoridae (including Calycidoris and Diaphorodoris), which along with the Onchidorididae and Corambidae comprise. the suctorian superfamily Onchidoridoidea. Ancestral character reconstruction also suggests that the formation of a gill pocket, a character that currently defines the Cryptobranchia, may have evolved multiple times from an ancestor that lacked the ability to retract its gills into a fully formed gill pocket. The diversity of gill morphology displayed by the Onchidoridoidea will help give new insight into the evolution of this complex character within the Nudibranchia. (C) 2015 Elsevier Inc. All rights reserved.</t>
  </si>
  <si>
    <t>10.1016/j.ympev.2015.03.015</t>
  </si>
  <si>
    <t>Lei, H; Zhang, D; Ding, N; Chen, SW; Song, C; Luo, Y; Fu, XJ; Bi, XX; Niu, H</t>
  </si>
  <si>
    <t>New cytotoxic natural products from the marine sponge-derived fungus Pestalotiopsis sp. by epigenetic modification</t>
  </si>
  <si>
    <t>RSC ADVANCES</t>
  </si>
  <si>
    <t>Four new polyketide derivatives, pestalotiopols A-D (1-4), together with seven known compounds (5-11), were isolated from a chemical-epigenetic culture of Pestalotiopsis sp. The structures and absolute configurations of the new compounds (1-4) were determined by spectroscopic analyses, Mo-2-induced CD, and electronic circular dichroism (ECD) calculations. All the isolated compounds (1-11) were tested for their cytotoxic activities. Among these compounds, compounds 1, 2, 6 and 7 exhibited cytotoxicity against four human cancer cell lines with IC50 values of 16.5-56.5 mu M. The structure-activity relationships of compounds (1-11) were examined. The results indicated that both the diol system of the side chain and the aldehyde group might contribute to the cytotoxic activity. The possible biosynthetic pathways for compounds (1-4) were also postulated.</t>
  </si>
  <si>
    <t>OCT 14</t>
  </si>
  <si>
    <t>10.1039/d0ra06983c</t>
  </si>
  <si>
    <t>Gazy, I; Liefshitz, B; Bronstein, A; Parnas, O; Atias, N; Sharan, R; Kupiec, M</t>
  </si>
  <si>
    <t>A Genetic Screen for High Copy Number Suppressors of the Synthetic Lethality Between elg1Δ and srs2Δ in Yeast</t>
  </si>
  <si>
    <t>Elg1 and Srs2 are two proteins involved in maintaining genome stability in yeast. After DNA damage, the homotrimeric clamp PCNA, which provides stability and processivity to DNA polymerases and serves as a docking platform for DNA repair enzymes, undergoes modification by the ubiquitin-like molecule SUMO. PCNA SUMOylation helps recruit Srs2 and Elg1 to the replication fork. In the absence of Elg1, both SUMOylated PCNA and Srs2 accumulate at the chromatin fraction, indicating that Elg1 is required for removing SUMOylated PCNA and Srs2 from DNA. Despite this interaction, which suggests that the two proteins work together, double mutants elg1 Delta srs2 Delta have severely impaired growth as haploids and exhibit synergistic sensitivity to DNA damage and a synergistic increase in gene conversion. In addition, diploid elg1 Delta srs2 Delta double mutants are dead, which implies that an essential function in the cell requires at least one of the two gene products for survival. To gain information about this essential function, we have carried out a high copy number suppressor screen to search for genes that, when overexpressed, suppress the synthetic lethality between elg1 Delta and srs2 Delta. We report the identification of 36 such genes, which are enriched for functions related to DNA- and chromatin-binding, chromatin packaging and modification, and mRNA export from the nucleus.</t>
  </si>
  <si>
    <t>10.1534/g3.113.005561</t>
  </si>
  <si>
    <t>Arabi, J; Cruaud, C; Couloux, A; Hassanin, A</t>
  </si>
  <si>
    <t>Studying sources of incongruence in arthropod molecular phylogenies: Sea spiders (Pycnogonida) as a case study</t>
  </si>
  <si>
    <t>COMPTES RENDUS BIOLOGIES</t>
  </si>
  <si>
    <t>In this report, we analyze the phylogeny of Pycnogonida using the three nuclear and three mitochondrial markers currently sequenced for studying inter- and intrafamilial relationships within Arthropoda: 18S and 28S rRNA genes, Histone H3, cytochrome c oxidase subunit 1 (CO1), 12S and 16S rRNA genes. We identify several problems in previous studies, due to the use of inappropriate sequences (taxonomic misidentification, DNA contamination, sequencing errors, missing data) or taxa (outgroup choice). Our analyses show that most markers are not powerful to study the phylogeny of sea spiders. The results suggest however a recent diversification of the group (Mesozoic rather than Paleozoic) and the early divergence of Austrodecidae, followed by Colossendeidae. Pycnogonidae and Rhynchothoracidae. Except Ammotheidae and Callipallenidae, all other families were recovered as monophyletic. Analyses of synonymous sites in CO1 sequences reveal an extreme heterogeneity of nucleotide composition within sea spiders, as six unrelated species show a reverse strand-specific bias. We therefore suggest that several independent reversals of asymmetric mutational constraints occurred during the evolution of Pycnogonida, as a consequence of genomic inversions involving either the control region or a fragment containing the CO1 gene. These hypotheses are supported by the comparison of two complete mitochondrial genomes of sea spiders (Achelia bituberculata and Nymphon gracile) with that of Limulus. (C) 2010 Academie des sciences. Published by Elsevier Masson SAS. All rights reserved.</t>
  </si>
  <si>
    <t>10.1016/j.crvi.2010.01.018</t>
  </si>
  <si>
    <t>Gastineau, R; Bouguerche, C; Tazerouti, F; Justine, JL</t>
  </si>
  <si>
    <t>Morphological and molecular characterisation of Tristoma integrum Diesing, 1850 (Monogenea, Capsalidae), including its complete mitogenome</t>
  </si>
  <si>
    <t>PARASITE</t>
  </si>
  <si>
    <t>Capsalids are monopisthocotylean monogenean parasites found on the skin and gills of fish. Capsalines (subfamily Capsalinae) are large-sized capsalids, parasitic on highly prized gamefish, and species of Tristoma parasitise only the gills of swordfish (Xiphias gladius). We obtained specimens of Tristoma integrum Diesing, 1850 from swordfish collected off Algeria in the Mediterranean Sea. Here, we describe the specimens, including the key systematics characters of dorsolateral body sclerites. One specimen was used for a next generation sequencing analysis but a part of it, including the sclerites, was mounted on a permanent slide, drawn, and deposited in a curated collection. We characterised the complete mitogenome, the ribosomal cluster (including 18S and 28S) and additional genes such as Elongation factor 1 alpha (EF1a) and Histone 3. We also retrieved molecular information from the host tissue present in the gut of the monogenean and provide the sequence of the complete rRNA cluster of the host, X. gladius. The mitogenome of T. integrum is 13 968 bp in length and codes for 12 protein, 2 rRNA and 22 tRNA. Phylogenies of capsalids were generated from 28S sequences and concatenated mitochondrial protein-coding genes, respectively. In the 28S phylogeny, most subfamilies based on morphology were not found to be monophyletic, but the Capsalinae were monophyletic. In both phylogenies, the closest member to Tristoma spp. was a member of the Capsaloides. In an Appendix, we report the complex nomenclatural history of Tristoma Cuvier, 1817 and its species.</t>
  </si>
  <si>
    <t>MAY 16</t>
  </si>
  <si>
    <t>10.1051/parasite/2023016</t>
  </si>
  <si>
    <t>Sreevidya, CP; Balakrishnan, S; Puthumana, J</t>
  </si>
  <si>
    <t>Baculovirus and Plasmid Vector-Mediated Gene Transfer in Daphnia magna Cells in Primary Embryonic In Vitro Cultures in an Optimized Microenvironment: Methods and Protocols</t>
  </si>
  <si>
    <t>BIO-PROTOCOL</t>
  </si>
  <si>
    <t>Daphnia magna is a well-established model organism in ecotoxicology, environmental monitoring, and genetics due to its sensitivity to pollutants, its pivotal role in freshwater ecosystems, and its well-characterized genome. Despite its extensive use in these fields, there is a notable lack of established protocols for developing primary cell culture systems and conducting transgenic studies in Daphnia spp. This study addresses these gaps by optimizing a medium and standardizing protocols for primary cell culture and transgenic experiments in D. magna. Primary cell cultures were established from both D. magna embryos and whole organisms, with medium optimization verified using XTT assay. Cell viability was sustained for over two months using a modified Schneider's insect medium enriched with FBS, glucose, MEM vitamin mix, and selenium. DNA replication and cell proliferation were confirmed through BrdU labeling. Both mechanical and enzymatic passaging methods were compared, resulting in 20% and 10% cell attachment, respectively. For transgenic applications, this study successfully standardized plasmid-mediated lipofection and baculovirus-mediated transduction, achieving success rates of 52% and 45%. These findings represent a pioneering effort in D. magna embryonic cell culture, offering a reliable in vitro platform for future biological research, including ecotoxicological and epigenetic investigations. The established protocols and optimized cell culture medium have significant implications for advancing crustacean cell line research and transgenic model development, enhancing our understanding of biological processes in controlled laboratory environments.</t>
  </si>
  <si>
    <t>APR 5</t>
  </si>
  <si>
    <t>10.21769/BioProtoc.5266</t>
  </si>
  <si>
    <t>Palumbo, A; De Martino, M; Esposito, F; Fraggetta, F; Neto, PN; Fernandes, PV; Santos, IC; Dias, FL; Nasciutti, LE; Da Costa, NM; Fusco, A; Pinto, LFR</t>
  </si>
  <si>
    <t>HMGA2, but not HMGA1, is overexpressed in human larynx carcinomas</t>
  </si>
  <si>
    <t>HISTOPATHOLOGY</t>
  </si>
  <si>
    <t>Aims: Malignant tumours from the upper aerodigestive tract are grouped collectively in the class of head and neck squamous cell carcinoma (HNSCC). The head and neck tumours were responsible for more than 500000 cancer cases in 2012, accounting for the sixth highest incidence rate and mortality worldwide among all tumour types. Laryngeal squamous cell carcinoma (LSCC) possesses the second highest incidence rate among all HNSCC. Despite significant advances in surgery and radiotherapy during the last few decades, no treatment has been shown to achieve a satisfactory therapeutic outcome and the mortality rate of LSCC is still high, with a 5-year survival rate of 64%. Therefore, further investigations are required to identify the pathogenesis of LSCC. Methods and results: In order to search for new LSCC biomarkers, we have analysed the expression of the HMGA family members, HMGA1 and HMGA2, by quantitative reverse transcription-polymerase chain reaction (qRT-PCR) and immunohistochemistry. HMGA proteins are usually absent in the healthy adult tissues. In contrast, their constitutive expression is a feature of several neoplasias, being associated with a highly malignant phenotype and reduced survival. Here, we report HMGA2 overexpression in larynx carcinomas. Conversely, HMGA1 does not show any differences in its expression between normal and carcinoma tissues. Interestingly, HMGA2 overexpression appears associated with that of two HMGA1-pseudogenes, HMGA1P6 and HMGA1P7, acting as a sponge for HMGA1- and HMGA2-targeting microRNAs and involved in several human cancers. Conclusions: Therefore, HMGA2 overexpression appears to be a strong feature of larynx carcinoma, supporting its detection as a valid tool for the diagnosis of these malignancies.</t>
  </si>
  <si>
    <t>10.1111/his.13456</t>
  </si>
  <si>
    <t>Duda, M; Haring, E; Bieringer, G; Eschner, A; Mrkvicka, A; Mason, K</t>
  </si>
  <si>
    <t>Taxonomic reassessment of Helicopsis austriaca Gittenberger, 1969 and its relationships to H. striata (OF Muller, 1774) and H. hungarica (Soos &amp; H. Wagner, 1935) (Eupulmonata: Helicoidea)</t>
  </si>
  <si>
    <t>The taxonomic status of the Austrian endemic Helicopsis austriaca has changed several times since its first description. Originally described at species level, it was later treated as a subspecies of H. striata or more usually as a junior synonym of the latter species. The same applies to H. hungarica. Despite the unclear taxonomy of these taxa, H. austriaca is listed in the Annex II of the European Union Habitats Directive as a species of 'community interest'. To clarify the taxonomic status of these taxa, an integrative study was conducted comparing the molecular systematics, morphology and biogeography of Helicopsis populations in eastern Austria and adjacent areas. Mitochondrial sequences confirmed H. austriaca, H. hungarica and H. striata as distinct clades. The nuclear histone 4 gene sequences provided a less clear picture. Shell measurements allowed an unambiguous separation of H. austriaca from H. hungarica, but only a partial separation of either taxon from H. striata. While some individuals of H. austriaca have a more globular external shape of the penis than in the other two taxa, detailed sections of the penis revealed an unambiguous separation of the three taxa. On the basis of these data we confirm the species-level status of H. austriaca and H. hungarica. Helicopsis austriaca was confirmed to be an endemic of Lower Austria and a hitherto unknown differentiation of this species into two geographic groups was detected. One group comprises specimens from the type locality and other dry grassland localities (predominately edaphic steppe) in the Viennese Basin; the shells are smaller and can easily be separated from H. striata and H. hungarica without dissection. The other group lives in patches of treeless rock steppe within the primary pine forests of the Northern Limestone Alps and shows some overlap with H. striata in shell dimensions. Helicopsis hungarica is an eastern sand-steppe dweller with a patchy and poorly known distribution, broadly sympatric with H. striata. Helicopsis hungarica is currently known from Hungary, one locality in Austria and probably at one locality in western Russia. Helicopsis striata, on the other hand, is a more northerly distributed taxon, which probably colonized the study area from the north, dispersing southwards along the River Morava to northern Burgenland, southern Slovakia and northwestern Hungary. Study of published sequence data from the eastern parts of the ranges of H. striata and H. hungarica suggest that both require more comprehensive and integrative research.</t>
  </si>
  <si>
    <t>10.1093/mollus/eyy044</t>
  </si>
  <si>
    <t>Mohammed-Geba, K; Abbas, EM; Ahmed, HO; Shalabi, MA; Hamed, EAE; Razek, FAA; Soliman, T</t>
  </si>
  <si>
    <t>Comparing genetic markers' efficiencies for discrimination between two commercially important holothuroids in the Mediterranean Sea, Holothuria polii and Holothuria sanctori</t>
  </si>
  <si>
    <t>Sea cucumber (beche-de-mer, Echinodermata: Holothuroidea) is one of the top internationally traded seafood varieties. Besides its direct nutritional benefits, it is continuously used in the traditional medicine in different areas and cultures in the world. This world-wide interest triggered various issues related to stocks ' declining and risks of species extinction. For these reasons, the current study was designed to provide molecular tools for accurate discrimination between two sea cucumber species that prevail the Mediterranean of these echinoderms in Egypt, that are Holothuria polii and H. sanctori. The power of three gene markers, i.e., 16S rDNA, 28S rDNA, and Histone H3 in achieving accurate DNAbased identification, as well as elucidating clear phylogenetic and genetic diversity differences between those two species was assessed. Among the three genes, 16S rDNA showed the highest potentials as genetic and phylogenetic species discrimination marker. Both 28S rDNA and H3 exhibited the least number of holothuroid reference sequences in the GenBank database. For genetic diversity within each species population, 16S rDNA exhibited the best potentials, followed by H3. 28S rDNA showed no genetic polymorphism at all. Moreover, the collective data of both H3 and 16S rDNA suggested a possible role of asexual reproduction behavior in H. sanctori in the reduction of genetic diversity, as a possible response to overfishing. Hence, the current research can recommend the simultaneous application of both 16S rDNA and H3 as accurate markers for genetic discrimination among H. polii, H. sanctori and other different holothuroid species.</t>
  </si>
  <si>
    <t>10.11646/zootaxa.5092.5.4</t>
  </si>
  <si>
    <t>Zayas, RM; Hernández, A; Habermann, B; Wang, YY; Stary, JM; Newmark, PA</t>
  </si>
  <si>
    <t>The planarian Schmidtea mediterranea as a model for epigenetic germ cell specification: Analysis of ESTs from the hermaphroditic strain</t>
  </si>
  <si>
    <t>Freshwater planarians have prodigious regenerative abilities that enable them to form complete organisms from tiny body fragments. This plasticity is also exhibited by the planarian germ cell lineage. Unlike many model organisms in which germ cells are specified by localized determinants, planarian germ cells appear to be specified epigenetically, arising postembryonically from stem cells. The planarian Schmidtea mediterranea is well suited for investigating the mechanisms underlying epigenetic germ cell specification. Two strains of S. mediterranea exist: a hermaphroditic strain that reproduces sexually and an asexual strain that reproduces by means of transverse fission. To date, expressed sequence tags (ESTs) have been generated only from the asexual strain. To develop molecular reagents for studying epigenetic germ cell specification, we have sequenced 27,161 ESTs from two developmental stages of the hermaphroditic strain of S. mediterranea; this collection of ESTs represents approximate to 10,000 unique transcripts. BLAST analysis of the assembled ESTs showed that 66% share similarity to sequences in public databases. We annotated the assembled ESTs using Gene Ontology terms as well as conserved protein domains and organized them in a relational database. To validate experimentally the Gene Ontology annotations, we used whole-mount in situ hybridization to examine the expression patterns of transcripts assigned to the biological process reproduction. Of the 53 genes in this category, 87% were expressed in the reproductive organs. In addition to its utility for studying germ cell development, this EST collection will be an important resource for annotating the planarian genome and studying this animal's amazing regenerative abilities.</t>
  </si>
  <si>
    <t>10.1073/pnas.0509507102</t>
  </si>
  <si>
    <t>Wu, WW; Xi, W; Li, HM; Yang, MX; Yao, XL</t>
  </si>
  <si>
    <t>Circular RNA circ-ACACA regulates proliferation, migration and glycolysis in non-small-cell lung carcinoma via miR-1183 and PI3K/PKB pathway</t>
  </si>
  <si>
    <t>Non-small cell lung carcinoma (NSCLC) accounts for 85% of all lung cancers and the five-year survival rate is 1% in the late stage. Circular RNAs (circRNAs) were reported to be involved in the progression of diverse human cancers. However, the role of circ-ACACA in NSCLC progression remains elusive. Quantitative polymerase chain reaction was conducted to detect the expression levels of circ-ACACA and microRNA (miR)-1183 in NSCLC tissues and cells. A Cell Counting Kit-8 assay and transwell assay were employed to check proliferation and migration, respectively. Metabolic alternations in NSCLC cells were monitored by the Seahorse XFe96 analyzer. The protein levels of cellular myelocytomatosis, matrix metallopeptidase 9, glucose transporter 1, phosphatase and tensin homolog, phosphoinositide 3-kinases (PI3K), phosphorylated PI3K (p-PI3K), protein kinase B (PKB) and p-PKB in samples were measured by western blotting. The interaction between circ-ACACA and miR-1183 was predicted by circular RNA Interactome, which was verified by dual-luciferase reporter assay, RNA immunoprecipitation assay and RNA pull-down assay. Xenograft tumor model was established to investigate the biological roles of circ-ACACA in vivo. The level of circ-ACACA was markedly upregulated in NSCLC tissues and cells, which was contrary to the expres-sion of miR-1183. Knockdown of circ-ACACA inhibited proliferation and migration of NSCLC cells and also reduced the glycolysis rate. In addition, miR-1183 was a target of circ-ACACA and its downregulation reversed circ-ACACA silencing-mediated inhibitory impact on NSCLC progression. Further studies indicated that circ-ACACA regulated the PI3K/PKB pathway through interacting with miR-1183 and downregulation of circ-ACACA suppressed tumor growth. Knockdown of circ-ACACA impeded NSCLC progression by sponging miR-1183 and inactivating the PI3K/PKB signaling pathway.</t>
  </si>
  <si>
    <t>10.3892/ijmm.2020.4549</t>
  </si>
  <si>
    <t>Heyland, A; Moroz, LL</t>
  </si>
  <si>
    <t>Signaling mechanisms underlying metamorphic transitions in animals</t>
  </si>
  <si>
    <t>Metamorphosis in many animal groups involves a radical transition from a larval to a juvenile/adult body plan and the challenge of orchestrating 2 overlapping developmental programs simultaneously, that is, larval development and juvenile development. Metamorphic competence directly precedes this radical change in morphology and can be best described as the developmental potential of a larva to undergo the radical transition in response to internal or external signals. Several studies have employed genomic approaches (for example, microarrays or subtractive hybridization methods) to gain insights into the complexity of changes in gene expression associated with metamorphic transitions. Availability of this technology for an increasing number of organisms from diverse taxonomic groups expands the scope of species for which we can gain detailed understanding of the genetic and epigenetic architecture underlying metamorphosis. Here, we review metamorphosis in insects, amphibians, and several marine invertebrate species including the sea hare Aplysia californica and summarize mechanisms underlying the transition. We conclude that all metamorphoses share at least 4 components: (1) the differentiation of juvenile/adult structures, (2) the degeneration of larval structures, (3) metamorphic competence, and (4) change in habitat. While transcription levels detected by microarray or other molecular methods can vary significantly, some similarities can be observed. For example, transcripts related to stress response, immunity, and apoptosis are associated with metamorphosis in all investigated phyla. It also appears that signaling mediated by hormones and by nitric oxide can contribute to these stress-related responses and that these molecules can act as regulators of metamorphic transitions. This might indicate either that all of these distantly related organisms inherited the same basic regulatory machinery that was employed by their most recent common ancestor (RCA) in orchestrating life history transitions. Alternatively, these regulatory modules may have been used by the RCA for other purposes and have been independently co-opted to regulate metamorphic transitions in a variety of distantly related animals. We propose that such instances of independent origin or homoplasy in the evolution of metamorphosis might have resulted from specific constraints in signal transduction pathways. Modern genomic tools can help to further explore homoplastic signaling modules when used in a comparative context.</t>
  </si>
  <si>
    <t>10.1093/icb/icl023</t>
  </si>
  <si>
    <t>Kong, YM; Cao, L; Deikus, G; Fan, Y; Mead, EA; Lai, WY; Zhang, YZ; Yong, R; Sebra, R; Wang, HL; Zhang, XS; Fang, G</t>
  </si>
  <si>
    <t>Critical assessment of DNA adenine methylation in eukaryotes using quantitative deconvolution</t>
  </si>
  <si>
    <t>SCIENCE</t>
  </si>
  <si>
    <t>The discovery of N-6-methyldeoxyadenine (6mA) across eukaryotes led to a search for additional epigenetic mechanisms. However, some studies have highlighted confounding factors that challenge the prevalence of 6mA in eukaryotes. We developed a metagenomic method to quantitatively deconvolve 6mA events from a genomic DNA sample into species of interest, genomic regions, and sources of contamination. Applying this method, we observed high-resolution 6mA deposition in two protozoa. We found that commensal or soil bacteria explained the vast majority of 6mA in insect and plant samples. We found no evidence of high abundance of 6mA in Drosophila, Arabidopsis, or humans. Plasmids used for genetic manipulation, even those from Dam methyltransferase mutant Escherichia coli, could carry abundant 6mA, confounding the evaluation of candidate 6mA methyltransferases and demethylases. On the basis of this work, we advocate for a reassessment of 6mA in eukaryotes.</t>
  </si>
  <si>
    <t>FEB 4</t>
  </si>
  <si>
    <t>10.1126/science.abe7489</t>
  </si>
  <si>
    <t>DiPaolo, C; Kieft, R; Cross, M; Sabatini, R</t>
  </si>
  <si>
    <t>Regulation of trypanosome DNA glycosylation by a SWI2/SNF2-like protein</t>
  </si>
  <si>
    <t>MOLECULAR CELL</t>
  </si>
  <si>
    <t>Synthesis of the modified thymine base beta-D-glucosyl-hydroxymethyluracil, or J, within telomeric DNA of Trypanosoma brucei correlates with the bloodstream-form-specific epigenetic silencing of telomeric variant surface glycoprotein genes involved in antigenic variation. The mechanism of developmental and telomeric-specific regulation of J synthesis is unknown. We have previously identified a J binding protein (JBP1) involved in propagating J synthesis. We have now identified a homolog of JBP1, JBP2, containing a domain related to the SWI2/SNF2 family of chromatin remodeling proteins that is upregulated in bloodstream form cells and interacts with nuclear chromatin. We show that expression of JBP2 in procyclic form cells leads to de novo J synthesis within telomeric regions of the chromosome and that this activity is inhibited after mutagenesis of conserved residues critical for SWI2/SNF2 function. We propose a model in which chromatin remodeling by JBP2 regulates the initial sites of J synthesis within bloodstream form trypanosome DNA, with further propagation and maintenance of J by JBP1.</t>
  </si>
  <si>
    <t>10.1016/j.molcel.2004.12.022</t>
  </si>
  <si>
    <t>Nekoval, SN; Tukhuzheva, ZZ; Churikova, AK; Ivanov, VV; Maskalenko, OA</t>
  </si>
  <si>
    <t>Screening of Mutant Lines and Varieties/Hybrids of Tomato (Solanum lycopersicum) for Resistance to the Northern Root-Knot Nematode Meloidogyne hapla</t>
  </si>
  <si>
    <t>HORTICULTURAE</t>
  </si>
  <si>
    <t>Root-knot nematodes, Meloidogyne spp., are widespread phytoparasites that cause a significant reduction in the yield of tomato Solanum lycopersicum. In the Russian Federation, where the use of chemical nematicides is limited due to environmental and toxicological risks, the cultivation of resistant varieties and hybrids remains the most effective and environmentally safe method to control Meloidogyne. In the course of this study, the resistance screening of 20 tomato varieties/hybrids and 21 mutant lines from the collection of the FSBSI FRCBPP to M. hapla was carried out using a comprehensive approach that included morphological and biochemical analysis methods. Resistance was assessed by calculating the gall formation index, the degree of root system damage, and biochemical parameters of fruits-vitamin C content and titratable acidity. In addition, molecular screening was carried out using the SCAR marker Mi23 to identify the Mi-1.2 gene, known as a key factor in resistance to a number of Meloidogyne spp. Although Mi-1.2 is not typically associated with resistance to M. hapla, all genotypes carrying this gene showed phenotypic resistance. This unexpected correlation suggests the possible involvement of Mi-associated or parallel mechanisms and highlights the need for further investigation into noncanonical resistance pathways. It was found that when susceptible genotypes were infected with M. hapla, there was a tendency for the vitamin C content to decrease, while resistant lines retained values close to the control. The presence of the Mi-1.2 gene was confirmed in 9.5% of samples. However, the phenotypic resistance of some lines, such as Volgogradets, which do not contain a marker for the Mi-1.2 gene, indicates a polygenic nature of resistance, alternative genetic mechanisms, or the possible influence of epigenetic mechanisms. The obtained data highlight the potential of using the identified resistant genotypes in breeding programs and the need for further studies of the molecular mechanisms of resistance, including the search for new markers specific to M. hapla, to develop effective strategies for tomato protection in sustainable agriculture.</t>
  </si>
  <si>
    <t>JUL 5</t>
  </si>
  <si>
    <t>10.3390/horticulturae11070798</t>
  </si>
  <si>
    <t>Rentzsch, F; Technau, U</t>
  </si>
  <si>
    <t>Genomics and development of Nematostella vectensis and other anthozoans</t>
  </si>
  <si>
    <t>CURRENT OPINION IN GENETICS &amp; DEVELOPMENT</t>
  </si>
  <si>
    <t>Due to their rather simple body plan with only few organs and a low number of cell types, cnidarians have long been recognized as an important animal group for evolutionary comparisons of animal body plans. Recent studies have shown, however, that the genomes of cnidarians and their epigenetic and posttranscriptional regulation are more complex than their morphology might suggest. How these complex genomes are deployed during embryonic development is an open question. With a focus on the sea anemone Nematostella vectensis we describe new findings about the development of the nervous system from neural progenitor cells and how Wnt and BMP signalling control axial patterning. These studies show that beyond evolutionary comparisons, cnidarian model organisms can provide new insights into generic questions in developmental biology.</t>
  </si>
  <si>
    <t>10.1016/j.gde.2016.05.024</t>
  </si>
  <si>
    <t>Ranieri, D; Proietti, S; Dinicola, S; Masiello, MG; Rosato, B; Ricci, G; Cucina, A; Catizone, A; Bizzarri, M; Torrisi, MR</t>
  </si>
  <si>
    <t>Simulated microgravity triggers epithelial mesenchymal transition in human keratinocytes</t>
  </si>
  <si>
    <t>The microgravitational environment is known to affect the cellular behaviour inducing modulation of gene expression and enzymatic activities, epigenetic modifications and alterations of the structural organization. Simulated microgravity, obtained in the laboratory setting through the use of a Random Positioning Machine (RPM), represents a well recognized and useful tool for the experimental studies of the cellular adaptations and molecular changes in response to weightlessness. Short exposure of cultured human keratinocytes to the RPM microgravity influences the cellular circadian clock oscillation. Therefore, here we searched for changes on the regenerative ability and response to tissue damage of human epidermal cells through the analysis of the effects of the simulated microgravity on the re-epithelialization phase of the repair and wound healing process. Combining morphological, biochemical and molecular approaches, we found that the simulated microgravity exposure of human keratinocytes promotes a migratory behavior and triggers the epithelial-mesenchymal transition (EMT) through expression of the typical EMT transcription factors and markers, such as Snail1, Snail2 and ZEB2, metalloproteases, mesenchymal adhesion molecules and cytoskeletal components.</t>
  </si>
  <si>
    <t>10.1038/s41598-017-00602-0</t>
  </si>
  <si>
    <t>Lone, IM; Zohud, O; Nashef, A; Kirschneck, C; Proff, P; Watted, N; Iraqi, FA</t>
  </si>
  <si>
    <t>Dissecting the Complexity of Skeletal-Malocclusion-Associated Phenotypes: Mouse for the Rescue</t>
  </si>
  <si>
    <t>Skeletal deformities and malocclusions being heterogeneous traits, affect populations worldwide, resulting in compromised esthetics and function and reduced quality of life. Skeletal Class III prevalence is the least common of all angle malocclusion classes, with a frequency of 7.2%, while Class II prevalence is approximately 27% on average, varying in different countries and between ethnic groups. Orthodontic malocclusions and skeletal deformities have multiple etiologies, often affected and underlined by environmental, genetic and social aspects. Here, we have conducted a comprehensive search throughout the published data until the time of writing this review for already reported quantitative trait loci (QTL) and genes associated with the development of skeletal deformation-associated phenotypes in different mouse models. Our search has found 72 significant QTL associated with the size of the mandible, the character, shape, centroid size and facial shape in mouse models. We propose that using the collaborative cross (CC), a highly diverse mouse reference genetic population, may offer a novel venue for identifying genetic factors as a cause for skeletal deformations, which may help to better understand Class III malocclusion-associated phenotype development in mice, which can be subsequently translated to humans. We suggest that by performing a genome-wide association study (GWAS), an epigenetics-wide association study (EWAS), RNAseq analysis, integrating GWAS and expression quantitative trait loci (eQTL), micro and small RNA, and long noncoding RNA analysis in tissues associated with skeletal deformation and Class III malocclusion characterization/phenotypes, including mandibular basic bone, gum, and jaw, in the CC mouse population, we expect to better identify genetic factors and better understand the development of this disease.</t>
  </si>
  <si>
    <t>10.3390/ijms24032570</t>
  </si>
  <si>
    <t>Juárez-Gutiérrez, ME; Navarrete-Ramírez, P; de la Peña, FAM; Llera-Herrera, RA; Martínez-Chávez, CC; Ríos-Durán, MG; Palomera-Sanchez, Z; Raggi, L; Lozano-Olvera, R; Pedroza-Islas, R; Martínez-Palacios, CA</t>
  </si>
  <si>
    <t>Using nutrigenomics to evaluate microdiet performance in pike silverside larvae</t>
  </si>
  <si>
    <t>AQUACULTURE NUTRITION</t>
  </si>
  <si>
    <t>This work aimed to evaluate the nutrigenomic effect of feeding pike silverside larvae with rotifer versus a formulated microdiet. Survival of larvae was evaluated across the experiment, while growth performance and transcriptional expression profiles in both dietary treatments were compared at the end. Larvae fed with rotifers achieved higher growth and survival, and in accordance, relevant genes associated with growth and development were overexpressed. Moreover, genes associated with digestive enzymes were overexpressed in larvae fed with rotifers, suggesting this to be an average expression profile that may give insight into the digestive status/capacity of pike silverside larvae. On the contrary, the overexpression of genes related to stress, genome instability and epigenetic marks could explain the low larval performance observed in the microdiet fed larvae. These findings point out the relevance of a nutrigenomic approach as an important tool to assess artificial diet performance in fish and the necessity to re-evaluate formulation, type and proportion of the ingredients in the microdiet which may reflect similar expression profiles found in the rotifer group and provide adequate growth in early larval stages of pike silverside. This information contributes to the knowledge of the limitations of microdiets in pike silverside and other fish larvae.</t>
  </si>
  <si>
    <t>10.1111/anu.13305</t>
  </si>
  <si>
    <t>McNicoll, V; Dubé, B; Castonguay, S; Oswald, W; Biczok, J; Mercier-Langevin, P; Skulski, T; Malo, M</t>
  </si>
  <si>
    <t>The world-class Musselwhite BIF-hosted gold deposit, Superior Province, Canada: New high-precision U-Pb geochronology and implications for the geological setting of the deposit and gold exploration</t>
  </si>
  <si>
    <t>PRECAMBRIAN RESEARCH</t>
  </si>
  <si>
    <t>New high-precision U-Pb ages from the host succession of the Musselwhite banded iron formation (BIF)hosted epigenetic gold deposit (5.7 Moz Au) in the North Caribou greenstone belt of the Superior Province provide timing constraints on the setting of the deposit, with implications for geological and exploration models. The deposit is mainly hosted by a folded garnet-grunerite-chert silicate fades of the Northern BIF, part of the Opapimiskan-Markop assemblage. Dating of a volcaniclastic sedimentary rock, a garnet-biotite staurolite schist, and a cross-cutting foliated felsic dike indicate that the age of the Northern BIF is between 2967 and 2909 Ma. A felsic tuff from the South Rim volcanic assemblage structurally overlies the ore-bearing Northern BIF, but yields an older age of 2979 Ma. Reappraisal of stratigraphic and polyphase structural relationships, in conjunction with the U-Pb ages, indicate that the mine stratigraphy is inverted as it is located on the overturned limb of a kilometre-scale refolded F1 syncline, greatly influencing the distribution and geometry of the BIF units hosting the bulk of the gold. Felsic ash tuff and a fine-grained siliciclastic sedimentary rock from the Lower Sediments unit (Zeemel/Eyapamikama assemblage) have much younger ages of &lt;2850 Ma and &lt;2846 Ma, respectively and provide a maximum age for D2 deformation. The similar to 60-120 Ma time gap between the Zeemel/Eyapamikama assemblage and the structurally overlying Opapimiskan-Markop assemblage is coincident with the location of a high strain zone within iron-carbonatized mafic-ultramafic rocks. This unconformity/thrust boundary and a polymictic conglomerate in the upper stratigraphic sequence may indicate the presence of a major structure and an important first-order gold exploration target. Crown Copyright (C) 2015 Published by Elsevier B.V. All rights reserved.</t>
  </si>
  <si>
    <t>10.1016/j.precamres.2015.09.029</t>
  </si>
  <si>
    <t>Cai et al., 2022</t>
  </si>
  <si>
    <t>Reason for Exclusion</t>
  </si>
  <si>
    <t>https://www.sciencedirect.com/science/article/pii/S0022098118305677?via%3Dihub</t>
  </si>
  <si>
    <t>Does not measure epigenetic modifications</t>
  </si>
  <si>
    <t xml:space="preserve">Does not conduct an experiment </t>
  </si>
  <si>
    <t>Does not include marine invertebrates</t>
  </si>
  <si>
    <t>Does not include environmental stress</t>
  </si>
  <si>
    <t>Does not include environmental stress (drugs)</t>
  </si>
  <si>
    <t>Does not include marine invertebrates (algae)</t>
  </si>
  <si>
    <t>Does not include marine invertebrates (fish)</t>
  </si>
  <si>
    <t>Does not include environmental stress (age)</t>
  </si>
  <si>
    <t>Does not measure epigenetic modifications under environmental stress</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</si>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</sst>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sz val="10"/>
      <name val="Arial"/>
      <family val="2"/>
    </font>
    <font>
      <b/>
      <sz val="10"/>
      <name val="Arial"/>
      <family val="2"/>
    </font>
    <font>
      <u/>
      <sz val="10"/>
      <color theme="10"/>
      <name val="Arial"/>
      <family val="2"/>
    </font>
    <font>
      <sz val="11"/>
      <name val="Calibri"/>
      <family val="2"/>
    </font>
    <font>
      <u/>
      <sz val="10"/>
      <name val="Arial"/>
      <family val="2"/>
    </font>
  </fonts>
  <fills count="5">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5" tint="0.79998168889431442"/>
        <bgColor indexed="64"/>
      </patternFill>
    </fill>
  </fills>
  <borders count="2">
    <border>
      <left/>
      <right/>
      <top/>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30">
    <xf numFmtId="0" fontId="0" fillId="0" borderId="0" xfId="0"/>
    <xf numFmtId="0" fontId="0" fillId="0" borderId="0" xfId="0" applyAlignment="1">
      <alignment wrapText="1"/>
    </xf>
    <xf numFmtId="0" fontId="2" fillId="0" borderId="0" xfId="0" applyFont="1" applyAlignment="1">
      <alignment wrapText="1"/>
    </xf>
    <xf numFmtId="0" fontId="1" fillId="0" borderId="0" xfId="0" applyFont="1" applyAlignment="1">
      <alignment wrapText="1"/>
    </xf>
    <xf numFmtId="0" fontId="0" fillId="3" borderId="0" xfId="0" applyFill="1" applyAlignment="1">
      <alignment wrapText="1"/>
    </xf>
    <xf numFmtId="0" fontId="0" fillId="4" borderId="0" xfId="0" applyFill="1" applyAlignment="1">
      <alignment wrapText="1"/>
    </xf>
    <xf numFmtId="0" fontId="0" fillId="0" borderId="0" xfId="0" applyFill="1" applyAlignment="1">
      <alignment wrapText="1"/>
    </xf>
    <xf numFmtId="0" fontId="1" fillId="4" borderId="0" xfId="0" applyFont="1" applyFill="1" applyAlignment="1">
      <alignment wrapText="1"/>
    </xf>
    <xf numFmtId="0" fontId="1" fillId="0" borderId="0" xfId="0" applyFont="1"/>
    <xf numFmtId="0" fontId="1" fillId="3" borderId="0" xfId="0" applyFont="1" applyFill="1"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xf>
    <xf numFmtId="0" fontId="0" fillId="2" borderId="0" xfId="0" applyFill="1" applyAlignment="1">
      <alignment horizontal="center" vertical="center" wrapText="1"/>
    </xf>
    <xf numFmtId="0" fontId="0" fillId="0" borderId="0" xfId="0" applyAlignment="1">
      <alignment horizontal="center" vertical="center" wrapText="1"/>
    </xf>
    <xf numFmtId="0" fontId="1" fillId="2" borderId="0" xfId="0" applyFont="1" applyFill="1" applyAlignment="1">
      <alignment horizontal="center" vertical="center" wrapText="1"/>
    </xf>
    <xf numFmtId="0" fontId="0" fillId="3" borderId="0" xfId="0" applyFill="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1" fillId="0" borderId="0" xfId="0" applyFont="1" applyAlignment="1">
      <alignment horizontal="center" vertical="center" wrapText="1"/>
    </xf>
    <xf numFmtId="0" fontId="3" fillId="0" borderId="0" xfId="1" applyAlignment="1">
      <alignment horizontal="center" vertical="center" wrapText="1"/>
    </xf>
    <xf numFmtId="0" fontId="0" fillId="0" borderId="0" xfId="0" applyBorder="1" applyAlignment="1">
      <alignment horizontal="center" vertical="center"/>
    </xf>
    <xf numFmtId="0" fontId="0" fillId="2" borderId="0"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Border="1" applyAlignment="1">
      <alignment horizontal="center" vertical="center" wrapText="1"/>
    </xf>
    <xf numFmtId="0" fontId="1" fillId="0" borderId="0" xfId="0" applyFont="1" applyBorder="1" applyAlignment="1">
      <alignment horizontal="center" vertical="center" wrapText="1"/>
    </xf>
    <xf numFmtId="0" fontId="4" fillId="0" borderId="0" xfId="0" applyFont="1" applyAlignment="1">
      <alignment horizontal="center" vertical="center" wrapText="1"/>
    </xf>
    <xf numFmtId="0" fontId="5" fillId="0" borderId="0" xfId="0" applyFont="1"/>
    <xf numFmtId="0" fontId="0" fillId="0" borderId="0" xfId="0" applyFill="1"/>
    <xf numFmtId="0" fontId="1" fillId="0" borderId="0" xfId="0" applyFont="1" applyFill="1" applyAlignment="1">
      <alignment wrapText="1"/>
    </xf>
  </cellXfs>
  <cellStyles count="2">
    <cellStyle name="Hyperlink" xfId="1" builtinId="8"/>
    <cellStyle name="Normal" xfId="0" builtinId="0"/>
  </cellStyles>
  <dxfs count="2">
    <dxf>
      <fill>
        <patternFill patternType="solid">
          <fgColor rgb="FFFFFF00"/>
          <bgColor rgb="FF000000"/>
        </patternFill>
      </fill>
    </dxf>
    <dxf>
      <fill>
        <patternFill patternType="solid">
          <fgColor rgb="FFFBE2D5"/>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2EF3-1ECD-B444-8835-0A3F75E04C26}">
  <dimension ref="A1:AB1346"/>
  <sheetViews>
    <sheetView zoomScale="115" workbookViewId="0">
      <pane ySplit="1" topLeftCell="A858" activePane="bottomLeft" state="frozen"/>
      <selection pane="bottomLeft" activeCell="L674" sqref="L674"/>
    </sheetView>
  </sheetViews>
  <sheetFormatPr baseColWidth="10" defaultColWidth="8.83203125" defaultRowHeight="13" x14ac:dyDescent="0.15"/>
  <cols>
    <col min="1" max="1" width="14.83203125" customWidth="1"/>
    <col min="2" max="2" width="23.1640625" customWidth="1"/>
    <col min="3" max="3" width="21.5" customWidth="1"/>
    <col min="4" max="4" width="19" customWidth="1"/>
    <col min="5" max="5" width="66.83203125" customWidth="1"/>
    <col min="6" max="6" width="14.5" customWidth="1"/>
    <col min="7" max="7" width="15.33203125" customWidth="1"/>
    <col min="8" max="8" width="20.33203125" customWidth="1"/>
    <col min="9" max="9" width="29" customWidth="1"/>
  </cols>
  <sheetData>
    <row r="1" spans="1:9" ht="14" x14ac:dyDescent="0.15">
      <c r="A1" s="2" t="s">
        <v>0</v>
      </c>
      <c r="B1" s="2" t="s">
        <v>1</v>
      </c>
      <c r="C1" s="2" t="s">
        <v>2</v>
      </c>
      <c r="D1" s="2" t="s">
        <v>3</v>
      </c>
      <c r="E1" s="2" t="s">
        <v>4</v>
      </c>
      <c r="F1" s="2" t="s">
        <v>5</v>
      </c>
      <c r="G1" s="2" t="s">
        <v>6</v>
      </c>
      <c r="H1" s="2" t="s">
        <v>7</v>
      </c>
      <c r="I1" s="2" t="s">
        <v>8</v>
      </c>
    </row>
    <row r="2" spans="1:9" ht="140" x14ac:dyDescent="0.15">
      <c r="A2" s="1" t="s">
        <v>9</v>
      </c>
      <c r="B2" s="5" t="s">
        <v>3482</v>
      </c>
      <c r="C2" s="1" t="s">
        <v>3483</v>
      </c>
      <c r="D2" s="1" t="s">
        <v>3484</v>
      </c>
      <c r="E2" s="1" t="s">
        <v>3485</v>
      </c>
      <c r="F2" s="1" t="s">
        <v>3486</v>
      </c>
      <c r="G2" s="1">
        <v>2022</v>
      </c>
      <c r="H2" s="1" t="s">
        <v>3487</v>
      </c>
      <c r="I2" s="1" t="str">
        <f>HYPERLINK("http://dx.doi.org/10.1080/00222933.2022.2118642","http://dx.doi.org/10.1080/00222933.2022.2118642")</f>
        <v>http://dx.doi.org/10.1080/00222933.2022.2118642</v>
      </c>
    </row>
    <row r="3" spans="1:9" ht="397" x14ac:dyDescent="0.15">
      <c r="A3" s="1" t="s">
        <v>9</v>
      </c>
      <c r="B3" s="5" t="s">
        <v>2111</v>
      </c>
      <c r="C3" s="1" t="s">
        <v>2112</v>
      </c>
      <c r="D3" s="1" t="s">
        <v>2113</v>
      </c>
      <c r="E3" s="1" t="s">
        <v>2114</v>
      </c>
      <c r="F3" s="1" t="s">
        <v>96</v>
      </c>
      <c r="G3" s="1">
        <v>2025</v>
      </c>
      <c r="H3" s="1" t="s">
        <v>2115</v>
      </c>
      <c r="I3" s="1" t="str">
        <f>HYPERLINK("http://dx.doi.org/10.1016/j.dsr.2025.104549","http://dx.doi.org/10.1016/j.dsr.2025.104549")</f>
        <v>http://dx.doi.org/10.1016/j.dsr.2025.104549</v>
      </c>
    </row>
    <row r="4" spans="1:9" ht="266" x14ac:dyDescent="0.15">
      <c r="A4" s="1" t="s">
        <v>9</v>
      </c>
      <c r="B4" s="5" t="s">
        <v>2716</v>
      </c>
      <c r="C4" s="1" t="s">
        <v>2717</v>
      </c>
      <c r="D4" s="1" t="s">
        <v>2718</v>
      </c>
      <c r="E4" s="1" t="s">
        <v>2719</v>
      </c>
      <c r="F4" s="1" t="s">
        <v>1943</v>
      </c>
      <c r="G4" s="1">
        <v>2001</v>
      </c>
      <c r="H4" s="1" t="s">
        <v>2720</v>
      </c>
      <c r="I4" s="1" t="str">
        <f>HYPERLINK("http://dx.doi.org/10.1074/jbc.M108217200","http://dx.doi.org/10.1074/jbc.M108217200")</f>
        <v>http://dx.doi.org/10.1074/jbc.M108217200</v>
      </c>
    </row>
    <row r="5" spans="1:9" ht="266" x14ac:dyDescent="0.15">
      <c r="A5" s="1" t="s">
        <v>9</v>
      </c>
      <c r="B5" s="5" t="s">
        <v>2697</v>
      </c>
      <c r="C5" s="1" t="s">
        <v>2698</v>
      </c>
      <c r="D5" s="1" t="s">
        <v>2699</v>
      </c>
      <c r="E5" s="1" t="s">
        <v>2700</v>
      </c>
      <c r="F5" s="1" t="s">
        <v>411</v>
      </c>
      <c r="G5" s="1">
        <v>2018</v>
      </c>
      <c r="H5" s="1" t="s">
        <v>2701</v>
      </c>
      <c r="I5" s="1" t="str">
        <f>HYPERLINK("http://dx.doi.org/10.1007/s13205-018-1304-1","http://dx.doi.org/10.1007/s13205-018-1304-1")</f>
        <v>http://dx.doi.org/10.1007/s13205-018-1304-1</v>
      </c>
    </row>
    <row r="6" spans="1:9" ht="409.6" x14ac:dyDescent="0.15">
      <c r="A6" s="1" t="s">
        <v>9</v>
      </c>
      <c r="B6" s="5" t="s">
        <v>2609</v>
      </c>
      <c r="C6" s="1" t="s">
        <v>2610</v>
      </c>
      <c r="D6" s="1" t="s">
        <v>2611</v>
      </c>
      <c r="E6" s="1" t="s">
        <v>2612</v>
      </c>
      <c r="F6" s="1" t="s">
        <v>56</v>
      </c>
      <c r="G6" s="1">
        <v>2024</v>
      </c>
      <c r="H6" s="1" t="s">
        <v>2613</v>
      </c>
      <c r="I6" s="1" t="str">
        <f>HYPERLINK("http://dx.doi.org/10.1111/fwb.14301","http://dx.doi.org/10.1111/fwb.14301")</f>
        <v>http://dx.doi.org/10.1111/fwb.14301</v>
      </c>
    </row>
    <row r="7" spans="1:9" ht="306" x14ac:dyDescent="0.15">
      <c r="A7" s="1" t="s">
        <v>9</v>
      </c>
      <c r="B7" s="5" t="s">
        <v>1636</v>
      </c>
      <c r="C7" s="1" t="s">
        <v>1637</v>
      </c>
      <c r="D7" s="1" t="s">
        <v>1638</v>
      </c>
      <c r="E7" s="1" t="s">
        <v>1639</v>
      </c>
      <c r="F7" s="1" t="s">
        <v>56</v>
      </c>
      <c r="G7" s="1">
        <v>2022</v>
      </c>
      <c r="H7" s="1" t="s">
        <v>1640</v>
      </c>
      <c r="I7" s="1" t="str">
        <f>HYPERLINK("http://dx.doi.org/10.1007/s12035-022-02899-z","http://dx.doi.org/10.1007/s12035-022-02899-z")</f>
        <v>http://dx.doi.org/10.1007/s12035-022-02899-z</v>
      </c>
    </row>
    <row r="8" spans="1:9" ht="266" x14ac:dyDescent="0.15">
      <c r="A8" s="1" t="s">
        <v>9</v>
      </c>
      <c r="B8" s="5" t="s">
        <v>3066</v>
      </c>
      <c r="C8" s="1" t="s">
        <v>3067</v>
      </c>
      <c r="D8" s="1" t="s">
        <v>142</v>
      </c>
      <c r="E8" s="1" t="s">
        <v>3068</v>
      </c>
      <c r="F8" s="1" t="s">
        <v>62</v>
      </c>
      <c r="G8" s="1">
        <v>2014</v>
      </c>
      <c r="H8" s="1" t="s">
        <v>3069</v>
      </c>
      <c r="I8" s="1" t="str">
        <f>HYPERLINK("http://dx.doi.org/10.1016/j.fsi.2014.03.003","http://dx.doi.org/10.1016/j.fsi.2014.03.003")</f>
        <v>http://dx.doi.org/10.1016/j.fsi.2014.03.003</v>
      </c>
    </row>
    <row r="9" spans="1:9" ht="371" x14ac:dyDescent="0.15">
      <c r="A9" s="1" t="s">
        <v>9</v>
      </c>
      <c r="B9" s="5" t="s">
        <v>1387</v>
      </c>
      <c r="C9" s="1" t="s">
        <v>1388</v>
      </c>
      <c r="D9" s="1" t="s">
        <v>31</v>
      </c>
      <c r="E9" s="1" t="s">
        <v>1389</v>
      </c>
      <c r="F9" s="1" t="s">
        <v>138</v>
      </c>
      <c r="G9" s="1">
        <v>2024</v>
      </c>
      <c r="H9" s="1" t="s">
        <v>1390</v>
      </c>
      <c r="I9" s="1" t="str">
        <f>HYPERLINK("http://dx.doi.org/10.1007/s10126-024-10285-0","http://dx.doi.org/10.1007/s10126-024-10285-0")</f>
        <v>http://dx.doi.org/10.1007/s10126-024-10285-0</v>
      </c>
    </row>
    <row r="10" spans="1:9" ht="332" x14ac:dyDescent="0.15">
      <c r="A10" s="1" t="s">
        <v>9</v>
      </c>
      <c r="B10" s="5" t="s">
        <v>2526</v>
      </c>
      <c r="C10" s="1" t="s">
        <v>2527</v>
      </c>
      <c r="D10" s="1" t="s">
        <v>2528</v>
      </c>
      <c r="E10" s="1" t="s">
        <v>2529</v>
      </c>
      <c r="F10" s="1" t="s">
        <v>21</v>
      </c>
      <c r="G10" s="1">
        <v>2019</v>
      </c>
      <c r="H10" s="1" t="s">
        <v>2530</v>
      </c>
      <c r="I10" s="1" t="str">
        <f>HYPERLINK("http://dx.doi.org/10.1007/s12539-019-00339-6","http://dx.doi.org/10.1007/s12539-019-00339-6")</f>
        <v>http://dx.doi.org/10.1007/s12539-019-00339-6</v>
      </c>
    </row>
    <row r="11" spans="1:9" ht="293" x14ac:dyDescent="0.15">
      <c r="A11" s="1" t="s">
        <v>9</v>
      </c>
      <c r="B11" s="5" t="s">
        <v>3488</v>
      </c>
      <c r="C11" s="1" t="s">
        <v>3489</v>
      </c>
      <c r="D11" s="1" t="s">
        <v>3490</v>
      </c>
      <c r="E11" s="1" t="s">
        <v>3491</v>
      </c>
      <c r="F11" s="1" t="s">
        <v>138</v>
      </c>
      <c r="G11" s="1">
        <v>2020</v>
      </c>
      <c r="H11" s="1" t="s">
        <v>3492</v>
      </c>
      <c r="I11" s="1" t="str">
        <f>HYPERLINK("http://dx.doi.org/10.1016/j.micpath.2019.103892","http://dx.doi.org/10.1016/j.micpath.2019.103892")</f>
        <v>http://dx.doi.org/10.1016/j.micpath.2019.103892</v>
      </c>
    </row>
    <row r="12" spans="1:9" ht="358" x14ac:dyDescent="0.15">
      <c r="A12" s="1" t="s">
        <v>9</v>
      </c>
      <c r="B12" s="5" t="s">
        <v>319</v>
      </c>
      <c r="C12" s="1" t="s">
        <v>320</v>
      </c>
      <c r="D12" s="1" t="s">
        <v>321</v>
      </c>
      <c r="E12" s="1" t="s">
        <v>322</v>
      </c>
      <c r="F12" s="1" t="s">
        <v>323</v>
      </c>
      <c r="G12" s="1">
        <v>2018</v>
      </c>
      <c r="H12" s="1" t="s">
        <v>324</v>
      </c>
      <c r="I12" s="1" t="str">
        <f>HYPERLINK("http://dx.doi.org/10.1371/journal.pone.0203230","http://dx.doi.org/10.1371/journal.pone.0203230")</f>
        <v>http://dx.doi.org/10.1371/journal.pone.0203230</v>
      </c>
    </row>
    <row r="13" spans="1:9" ht="280" x14ac:dyDescent="0.15">
      <c r="A13" s="1" t="s">
        <v>9</v>
      </c>
      <c r="B13" s="5" t="s">
        <v>3630</v>
      </c>
      <c r="C13" s="1" t="s">
        <v>3631</v>
      </c>
      <c r="D13" s="1" t="s">
        <v>306</v>
      </c>
      <c r="E13" s="1" t="s">
        <v>3632</v>
      </c>
      <c r="F13" s="1" t="s">
        <v>122</v>
      </c>
      <c r="G13" s="1">
        <v>2023</v>
      </c>
      <c r="H13" s="1" t="s">
        <v>3633</v>
      </c>
      <c r="I13" s="1" t="str">
        <f>HYPERLINK("http://dx.doi.org/10.1007/s11033-023-08594-z","http://dx.doi.org/10.1007/s11033-023-08594-z")</f>
        <v>http://dx.doi.org/10.1007/s11033-023-08594-z</v>
      </c>
    </row>
    <row r="14" spans="1:9" ht="280" x14ac:dyDescent="0.15">
      <c r="A14" s="1" t="s">
        <v>9</v>
      </c>
      <c r="B14" s="5" t="s">
        <v>2935</v>
      </c>
      <c r="C14" s="1" t="s">
        <v>2936</v>
      </c>
      <c r="D14" s="1" t="s">
        <v>2937</v>
      </c>
      <c r="E14" s="1" t="s">
        <v>2938</v>
      </c>
      <c r="F14" s="1" t="s">
        <v>221</v>
      </c>
      <c r="G14" s="1">
        <v>2008</v>
      </c>
      <c r="H14" s="1" t="s">
        <v>2939</v>
      </c>
      <c r="I14" s="1" t="str">
        <f>HYPERLINK("http://dx.doi.org/10.1016/j.ygyno.2007.08.098","http://dx.doi.org/10.1016/j.ygyno.2007.08.098")</f>
        <v>http://dx.doi.org/10.1016/j.ygyno.2007.08.098</v>
      </c>
    </row>
    <row r="15" spans="1:9" ht="332" x14ac:dyDescent="0.15">
      <c r="A15" s="1" t="s">
        <v>9</v>
      </c>
      <c r="B15" s="5" t="s">
        <v>1834</v>
      </c>
      <c r="C15" s="1" t="s">
        <v>1835</v>
      </c>
      <c r="D15" s="1" t="s">
        <v>1836</v>
      </c>
      <c r="E15" s="1" t="s">
        <v>1837</v>
      </c>
      <c r="F15" s="1" t="s">
        <v>33</v>
      </c>
      <c r="G15" s="1">
        <v>2021</v>
      </c>
      <c r="H15" s="1" t="s">
        <v>1838</v>
      </c>
      <c r="I15" s="1" t="str">
        <f>HYPERLINK("http://dx.doi.org/10.1177/11779322211027665","http://dx.doi.org/10.1177/11779322211027665")</f>
        <v>http://dx.doi.org/10.1177/11779322211027665</v>
      </c>
    </row>
    <row r="16" spans="1:9" ht="384" x14ac:dyDescent="0.15">
      <c r="A16" s="1" t="s">
        <v>9</v>
      </c>
      <c r="B16" s="5" t="s">
        <v>3272</v>
      </c>
      <c r="C16" s="1" t="s">
        <v>3273</v>
      </c>
      <c r="D16" s="1" t="s">
        <v>3274</v>
      </c>
      <c r="E16" s="1" t="s">
        <v>3275</v>
      </c>
      <c r="F16" s="1" t="s">
        <v>33</v>
      </c>
      <c r="G16" s="1">
        <v>2025</v>
      </c>
      <c r="H16" s="1" t="s">
        <v>3276</v>
      </c>
      <c r="I16" s="1" t="str">
        <f>HYPERLINK("http://dx.doi.org/10.1007/s00203-025-04325-z","http://dx.doi.org/10.1007/s00203-025-04325-z")</f>
        <v>http://dx.doi.org/10.1007/s00203-025-04325-z</v>
      </c>
    </row>
    <row r="17" spans="1:9" ht="306" x14ac:dyDescent="0.15">
      <c r="A17" s="1" t="s">
        <v>9</v>
      </c>
      <c r="B17" s="5" t="s">
        <v>3049</v>
      </c>
      <c r="C17" s="1" t="s">
        <v>3050</v>
      </c>
      <c r="D17" s="1" t="s">
        <v>1458</v>
      </c>
      <c r="E17" s="1" t="s">
        <v>3051</v>
      </c>
      <c r="F17" s="1" t="s">
        <v>3052</v>
      </c>
      <c r="G17" s="1">
        <v>2016</v>
      </c>
      <c r="H17" s="1" t="s">
        <v>3053</v>
      </c>
      <c r="I17" s="1" t="str">
        <f>HYPERLINK("http://dx.doi.org/10.1073/pnas.1600304113","http://dx.doi.org/10.1073/pnas.1600304113")</f>
        <v>http://dx.doi.org/10.1073/pnas.1600304113</v>
      </c>
    </row>
    <row r="18" spans="1:9" ht="293" x14ac:dyDescent="0.15">
      <c r="A18" s="1" t="s">
        <v>9</v>
      </c>
      <c r="B18" s="5" t="s">
        <v>2187</v>
      </c>
      <c r="C18" s="1" t="s">
        <v>2188</v>
      </c>
      <c r="D18" s="1" t="s">
        <v>1663</v>
      </c>
      <c r="E18" s="1" t="s">
        <v>2189</v>
      </c>
      <c r="F18" s="1" t="s">
        <v>21</v>
      </c>
      <c r="G18" s="1">
        <v>2022</v>
      </c>
      <c r="H18" s="1" t="s">
        <v>2190</v>
      </c>
      <c r="I18" s="1" t="str">
        <f>HYPERLINK("http://dx.doi.org/10.1016/j.dsr2.2022.105217","http://dx.doi.org/10.1016/j.dsr2.2022.105217")</f>
        <v>http://dx.doi.org/10.1016/j.dsr2.2022.105217</v>
      </c>
    </row>
    <row r="19" spans="1:9" ht="371" x14ac:dyDescent="0.15">
      <c r="A19" s="1" t="s">
        <v>9</v>
      </c>
      <c r="B19" s="5" t="s">
        <v>546</v>
      </c>
      <c r="C19" s="1" t="s">
        <v>547</v>
      </c>
      <c r="D19" s="1" t="s">
        <v>548</v>
      </c>
      <c r="E19" s="1" t="s">
        <v>549</v>
      </c>
      <c r="F19" s="1" t="s">
        <v>550</v>
      </c>
      <c r="G19" s="1">
        <v>2019</v>
      </c>
      <c r="H19" s="1" t="s">
        <v>551</v>
      </c>
      <c r="I19" s="1" t="str">
        <f>HYPERLINK("http://dx.doi.org/10.5144/0256-4947.2019.410","http://dx.doi.org/10.5144/0256-4947.2019.410")</f>
        <v>http://dx.doi.org/10.5144/0256-4947.2019.410</v>
      </c>
    </row>
    <row r="20" spans="1:9" ht="280" x14ac:dyDescent="0.15">
      <c r="A20" s="1" t="s">
        <v>9</v>
      </c>
      <c r="B20" s="5" t="s">
        <v>195</v>
      </c>
      <c r="C20" s="1" t="s">
        <v>196</v>
      </c>
      <c r="D20" s="1" t="s">
        <v>197</v>
      </c>
      <c r="E20" s="1" t="s">
        <v>198</v>
      </c>
      <c r="F20" s="1" t="s">
        <v>21</v>
      </c>
      <c r="G20" s="1">
        <v>2008</v>
      </c>
      <c r="H20" s="1" t="s">
        <v>199</v>
      </c>
      <c r="I20" s="1" t="str">
        <f>HYPERLINK("http://dx.doi.org/10.1007/s00427-008-0247-7","http://dx.doi.org/10.1007/s00427-008-0247-7")</f>
        <v>http://dx.doi.org/10.1007/s00427-008-0247-7</v>
      </c>
    </row>
    <row r="21" spans="1:9" ht="280" x14ac:dyDescent="0.15">
      <c r="A21" s="1" t="s">
        <v>9</v>
      </c>
      <c r="B21" s="5" t="s">
        <v>1535</v>
      </c>
      <c r="C21" s="1" t="s">
        <v>1536</v>
      </c>
      <c r="D21" s="1" t="s">
        <v>54</v>
      </c>
      <c r="E21" s="1" t="s">
        <v>1537</v>
      </c>
      <c r="F21" s="1" t="s">
        <v>221</v>
      </c>
      <c r="G21" s="1">
        <v>2022</v>
      </c>
      <c r="H21" s="1" t="s">
        <v>1538</v>
      </c>
      <c r="I21" s="1" t="str">
        <f>HYPERLINK("http://dx.doi.org/10.1111/mec.16259","http://dx.doi.org/10.1111/mec.16259")</f>
        <v>http://dx.doi.org/10.1111/mec.16259</v>
      </c>
    </row>
    <row r="22" spans="1:9" ht="306" x14ac:dyDescent="0.15">
      <c r="A22" s="1" t="s">
        <v>9</v>
      </c>
      <c r="B22" s="5" t="s">
        <v>2436</v>
      </c>
      <c r="C22" s="1" t="s">
        <v>2437</v>
      </c>
      <c r="D22" s="1" t="s">
        <v>2264</v>
      </c>
      <c r="E22" s="1" t="s">
        <v>2438</v>
      </c>
      <c r="F22" s="1" t="s">
        <v>209</v>
      </c>
      <c r="G22" s="1">
        <v>2024</v>
      </c>
      <c r="H22" s="1" t="s">
        <v>2439</v>
      </c>
      <c r="I22" s="1" t="str">
        <f>HYPERLINK("http://dx.doi.org/10.1016/j.ydbio.2024.07.007","http://dx.doi.org/10.1016/j.ydbio.2024.07.007")</f>
        <v>http://dx.doi.org/10.1016/j.ydbio.2024.07.007</v>
      </c>
    </row>
    <row r="23" spans="1:9" ht="224" x14ac:dyDescent="0.15">
      <c r="A23" s="1" t="s">
        <v>9</v>
      </c>
      <c r="B23" s="5" t="s">
        <v>2436</v>
      </c>
      <c r="C23" s="1" t="s">
        <v>3209</v>
      </c>
      <c r="D23" s="1" t="s">
        <v>3210</v>
      </c>
      <c r="E23" s="1" t="s">
        <v>3211</v>
      </c>
      <c r="F23" s="1" t="s">
        <v>112</v>
      </c>
      <c r="G23" s="1">
        <v>2024</v>
      </c>
      <c r="H23" s="1" t="s">
        <v>3212</v>
      </c>
      <c r="I23" s="1" t="str">
        <f>HYPERLINK("http://dx.doi.org/10.3390/jdb12010008","http://dx.doi.org/10.3390/jdb12010008")</f>
        <v>http://dx.doi.org/10.3390/jdb12010008</v>
      </c>
    </row>
    <row r="24" spans="1:9" ht="306" x14ac:dyDescent="0.15">
      <c r="A24" s="1" t="s">
        <v>9</v>
      </c>
      <c r="B24" s="5" t="s">
        <v>3383</v>
      </c>
      <c r="C24" s="1" t="s">
        <v>3384</v>
      </c>
      <c r="D24" s="1" t="s">
        <v>1957</v>
      </c>
      <c r="E24" s="1" t="s">
        <v>3385</v>
      </c>
      <c r="F24" s="1" t="s">
        <v>56</v>
      </c>
      <c r="G24" s="1">
        <v>2017</v>
      </c>
      <c r="H24" s="1" t="s">
        <v>3386</v>
      </c>
      <c r="I24" s="1" t="str">
        <f>HYPERLINK("http://dx.doi.org/10.1016/j.ijpara.2017.05.003","http://dx.doi.org/10.1016/j.ijpara.2017.05.003")</f>
        <v>http://dx.doi.org/10.1016/j.ijpara.2017.05.003</v>
      </c>
    </row>
    <row r="25" spans="1:9" ht="345" x14ac:dyDescent="0.15">
      <c r="A25" s="1" t="s">
        <v>9</v>
      </c>
      <c r="B25" s="5" t="s">
        <v>850</v>
      </c>
      <c r="C25" s="1" t="s">
        <v>851</v>
      </c>
      <c r="D25" s="1" t="s">
        <v>852</v>
      </c>
      <c r="E25" s="1" t="s">
        <v>853</v>
      </c>
      <c r="F25" s="1" t="s">
        <v>122</v>
      </c>
      <c r="G25" s="1">
        <v>2021</v>
      </c>
      <c r="H25" s="1" t="s">
        <v>854</v>
      </c>
      <c r="I25" s="1" t="str">
        <f>HYPERLINK("http://dx.doi.org/10.1007/s00338-021-02125-7","http://dx.doi.org/10.1007/s00338-021-02125-7")</f>
        <v>http://dx.doi.org/10.1007/s00338-021-02125-7</v>
      </c>
    </row>
    <row r="26" spans="1:9" ht="332" x14ac:dyDescent="0.15">
      <c r="A26" s="1" t="s">
        <v>9</v>
      </c>
      <c r="B26" s="5" t="s">
        <v>2431</v>
      </c>
      <c r="C26" s="1" t="s">
        <v>2432</v>
      </c>
      <c r="D26" s="1" t="s">
        <v>2433</v>
      </c>
      <c r="E26" s="1" t="s">
        <v>2434</v>
      </c>
      <c r="F26" s="1" t="s">
        <v>138</v>
      </c>
      <c r="G26" s="1">
        <v>2022</v>
      </c>
      <c r="H26" s="1" t="s">
        <v>2435</v>
      </c>
      <c r="I26" s="1" t="str">
        <f>HYPERLINK("http://dx.doi.org/10.1142/S0219720021500220","http://dx.doi.org/10.1142/S0219720021500220")</f>
        <v>http://dx.doi.org/10.1142/S0219720021500220</v>
      </c>
    </row>
    <row r="27" spans="1:9" ht="293" x14ac:dyDescent="0.15">
      <c r="A27" s="1" t="s">
        <v>9</v>
      </c>
      <c r="B27" s="5" t="s">
        <v>3927</v>
      </c>
      <c r="C27" s="1" t="s">
        <v>3928</v>
      </c>
      <c r="D27" s="1" t="s">
        <v>3929</v>
      </c>
      <c r="E27" s="1" t="s">
        <v>3930</v>
      </c>
      <c r="F27" s="1" t="s">
        <v>62</v>
      </c>
      <c r="G27" s="1">
        <v>2010</v>
      </c>
      <c r="H27" s="1" t="s">
        <v>3931</v>
      </c>
      <c r="I27" s="1" t="str">
        <f>HYPERLINK("http://dx.doi.org/10.1016/j.crvi.2010.01.018","http://dx.doi.org/10.1016/j.crvi.2010.01.018")</f>
        <v>http://dx.doi.org/10.1016/j.crvi.2010.01.018</v>
      </c>
    </row>
    <row r="28" spans="1:9" ht="280" x14ac:dyDescent="0.15">
      <c r="A28" s="1" t="s">
        <v>9</v>
      </c>
      <c r="B28" s="5" t="s">
        <v>3570</v>
      </c>
      <c r="C28" s="1" t="s">
        <v>3571</v>
      </c>
      <c r="D28" s="1" t="s">
        <v>1753</v>
      </c>
      <c r="E28" s="1" t="s">
        <v>3572</v>
      </c>
      <c r="F28" s="1" t="s">
        <v>11</v>
      </c>
      <c r="G28" s="1">
        <v>2023</v>
      </c>
      <c r="H28" s="1" t="s">
        <v>3573</v>
      </c>
      <c r="I28" s="1" t="str">
        <f>HYPERLINK("http://dx.doi.org/10.1071/IS22014","http://dx.doi.org/10.1071/IS22014")</f>
        <v>http://dx.doi.org/10.1071/IS22014</v>
      </c>
    </row>
    <row r="29" spans="1:9" ht="384" x14ac:dyDescent="0.15">
      <c r="A29" s="1" t="s">
        <v>9</v>
      </c>
      <c r="B29" s="5" t="s">
        <v>1736</v>
      </c>
      <c r="C29" s="1" t="s">
        <v>1737</v>
      </c>
      <c r="D29" s="1" t="s">
        <v>1738</v>
      </c>
      <c r="E29" s="1" t="s">
        <v>1739</v>
      </c>
      <c r="F29" s="1" t="s">
        <v>62</v>
      </c>
      <c r="G29" s="1">
        <v>2017</v>
      </c>
      <c r="H29" s="1" t="s">
        <v>1740</v>
      </c>
      <c r="I29" s="1" t="str">
        <f>HYPERLINK("http://dx.doi.org/10.1111/zsc.12217","http://dx.doi.org/10.1111/zsc.12217")</f>
        <v>http://dx.doi.org/10.1111/zsc.12217</v>
      </c>
    </row>
    <row r="30" spans="1:9" ht="252" x14ac:dyDescent="0.15">
      <c r="A30" s="1" t="s">
        <v>9</v>
      </c>
      <c r="B30" s="5" t="s">
        <v>3502</v>
      </c>
      <c r="C30" s="1" t="s">
        <v>3503</v>
      </c>
      <c r="D30" s="1" t="s">
        <v>156</v>
      </c>
      <c r="E30" s="1" t="s">
        <v>3504</v>
      </c>
      <c r="F30" s="1" t="s">
        <v>3505</v>
      </c>
      <c r="G30" s="1">
        <v>2019</v>
      </c>
      <c r="H30" s="1" t="s">
        <v>3506</v>
      </c>
      <c r="I30" s="1" t="str">
        <f>HYPERLINK("http://dx.doi.org/10.1038/s41598-019-39880-1","http://dx.doi.org/10.1038/s41598-019-39880-1")</f>
        <v>http://dx.doi.org/10.1038/s41598-019-39880-1</v>
      </c>
    </row>
    <row r="31" spans="1:9" ht="266" x14ac:dyDescent="0.15">
      <c r="A31" s="1" t="s">
        <v>9</v>
      </c>
      <c r="B31" s="5" t="s">
        <v>3334</v>
      </c>
      <c r="C31" s="1" t="s">
        <v>3335</v>
      </c>
      <c r="D31" s="1" t="s">
        <v>350</v>
      </c>
      <c r="E31" s="1" t="s">
        <v>3336</v>
      </c>
      <c r="F31" s="1" t="s">
        <v>96</v>
      </c>
      <c r="G31" s="1">
        <v>2021</v>
      </c>
      <c r="H31" s="1" t="s">
        <v>3337</v>
      </c>
      <c r="I31" s="1" t="str">
        <f>HYPERLINK("http://dx.doi.org/10.3390/genes12101484","http://dx.doi.org/10.3390/genes12101484")</f>
        <v>http://dx.doi.org/10.3390/genes12101484</v>
      </c>
    </row>
    <row r="32" spans="1:9" ht="293" x14ac:dyDescent="0.15">
      <c r="A32" s="1" t="s">
        <v>9</v>
      </c>
      <c r="B32" s="5" t="s">
        <v>998</v>
      </c>
      <c r="C32" s="1" t="s">
        <v>999</v>
      </c>
      <c r="D32" s="1" t="s">
        <v>48</v>
      </c>
      <c r="E32" s="1" t="s">
        <v>1000</v>
      </c>
      <c r="F32" s="1" t="s">
        <v>1001</v>
      </c>
      <c r="G32" s="1">
        <v>2021</v>
      </c>
      <c r="H32" s="1" t="s">
        <v>1002</v>
      </c>
      <c r="I32" s="1" t="str">
        <f>HYPERLINK("http://dx.doi.org/10.1186/s12864-021-07936-0","http://dx.doi.org/10.1186/s12864-021-07936-0")</f>
        <v>http://dx.doi.org/10.1186/s12864-021-07936-0</v>
      </c>
    </row>
    <row r="33" spans="1:9" ht="306" x14ac:dyDescent="0.15">
      <c r="A33" s="1" t="s">
        <v>9</v>
      </c>
      <c r="B33" s="5" t="s">
        <v>3378</v>
      </c>
      <c r="C33" s="1" t="s">
        <v>3379</v>
      </c>
      <c r="D33" s="1" t="s">
        <v>3380</v>
      </c>
      <c r="E33" s="1" t="s">
        <v>3381</v>
      </c>
      <c r="F33" s="1" t="s">
        <v>96</v>
      </c>
      <c r="G33" s="1">
        <v>2012</v>
      </c>
      <c r="H33" s="1" t="s">
        <v>3382</v>
      </c>
      <c r="I33" s="1" t="str">
        <f>HYPERLINK("http://dx.doi.org/10.1002/cm.21061","http://dx.doi.org/10.1002/cm.21061")</f>
        <v>http://dx.doi.org/10.1002/cm.21061</v>
      </c>
    </row>
    <row r="34" spans="1:9" ht="397" x14ac:dyDescent="0.15">
      <c r="A34" s="1" t="s">
        <v>9</v>
      </c>
      <c r="B34" s="5" t="s">
        <v>2293</v>
      </c>
      <c r="C34" s="1" t="s">
        <v>2294</v>
      </c>
      <c r="D34" s="1" t="s">
        <v>180</v>
      </c>
      <c r="E34" s="1" t="s">
        <v>2295</v>
      </c>
      <c r="F34" s="1" t="s">
        <v>2296</v>
      </c>
      <c r="G34" s="1">
        <v>2024</v>
      </c>
      <c r="H34" s="1" t="s">
        <v>2297</v>
      </c>
      <c r="I34" s="1" t="str">
        <f>HYPERLINK("http://dx.doi.org/10.3389/fcell.2024.1356589","http://dx.doi.org/10.3389/fcell.2024.1356589")</f>
        <v>http://dx.doi.org/10.3389/fcell.2024.1356589</v>
      </c>
    </row>
    <row r="35" spans="1:9" ht="409.6" x14ac:dyDescent="0.15">
      <c r="A35" s="1" t="s">
        <v>9</v>
      </c>
      <c r="B35" s="5" t="s">
        <v>2121</v>
      </c>
      <c r="C35" s="1" t="s">
        <v>2122</v>
      </c>
      <c r="D35" s="1" t="s">
        <v>142</v>
      </c>
      <c r="E35" s="1" t="s">
        <v>2123</v>
      </c>
      <c r="F35" s="1" t="s">
        <v>209</v>
      </c>
      <c r="G35" s="1">
        <v>2013</v>
      </c>
      <c r="H35" s="1" t="s">
        <v>2124</v>
      </c>
      <c r="I35" s="1" t="str">
        <f>HYPERLINK("http://dx.doi.org/10.1016/j.fsi.2013.08.018","http://dx.doi.org/10.1016/j.fsi.2013.08.018")</f>
        <v>http://dx.doi.org/10.1016/j.fsi.2013.08.018</v>
      </c>
    </row>
    <row r="36" spans="1:9" ht="409.6" x14ac:dyDescent="0.15">
      <c r="A36" s="1" t="s">
        <v>9</v>
      </c>
      <c r="B36" s="5" t="s">
        <v>3842</v>
      </c>
      <c r="C36" s="1" t="s">
        <v>3843</v>
      </c>
      <c r="D36" s="1" t="s">
        <v>3127</v>
      </c>
      <c r="E36" s="1" t="s">
        <v>3844</v>
      </c>
      <c r="F36" s="1" t="s">
        <v>11</v>
      </c>
      <c r="G36" s="1">
        <v>2016</v>
      </c>
      <c r="H36" s="1" t="s">
        <v>3845</v>
      </c>
      <c r="I36" s="1" t="str">
        <f>HYPERLINK("http://dx.doi.org/10.1163/18759866-08504002","http://dx.doi.org/10.1163/18759866-08504002")</f>
        <v>http://dx.doi.org/10.1163/18759866-08504002</v>
      </c>
    </row>
    <row r="37" spans="1:9" ht="280" x14ac:dyDescent="0.15">
      <c r="A37" s="1" t="s">
        <v>9</v>
      </c>
      <c r="B37" s="5" t="s">
        <v>3870</v>
      </c>
      <c r="C37" s="1" t="s">
        <v>3871</v>
      </c>
      <c r="D37" s="1" t="s">
        <v>1511</v>
      </c>
      <c r="E37" s="1" t="s">
        <v>3872</v>
      </c>
      <c r="F37" s="1" t="s">
        <v>21</v>
      </c>
      <c r="G37" s="1">
        <v>2016</v>
      </c>
      <c r="H37" s="1" t="s">
        <v>3873</v>
      </c>
      <c r="I37" s="1" t="str">
        <f>HYPERLINK("http://dx.doi.org/10.1016/j.ympev.2016.08.023","http://dx.doi.org/10.1016/j.ympev.2016.08.023")</f>
        <v>http://dx.doi.org/10.1016/j.ympev.2016.08.023</v>
      </c>
    </row>
    <row r="38" spans="1:9" ht="252" x14ac:dyDescent="0.15">
      <c r="A38" s="1" t="s">
        <v>9</v>
      </c>
      <c r="B38" s="5" t="s">
        <v>3851</v>
      </c>
      <c r="C38" s="1" t="s">
        <v>3852</v>
      </c>
      <c r="D38" s="1" t="s">
        <v>1753</v>
      </c>
      <c r="E38" s="1" t="s">
        <v>3853</v>
      </c>
      <c r="F38" s="1" t="s">
        <v>11</v>
      </c>
      <c r="G38" s="1">
        <v>2017</v>
      </c>
      <c r="H38" s="1" t="s">
        <v>3854</v>
      </c>
      <c r="I38" s="1" t="str">
        <f>HYPERLINK("http://dx.doi.org/10.1071/IS16035","http://dx.doi.org/10.1071/IS16035")</f>
        <v>http://dx.doi.org/10.1071/IS16035</v>
      </c>
    </row>
    <row r="39" spans="1:9" ht="280" x14ac:dyDescent="0.15">
      <c r="A39" s="1" t="s">
        <v>9</v>
      </c>
      <c r="B39" s="5" t="s">
        <v>3459</v>
      </c>
      <c r="C39" s="1" t="s">
        <v>3460</v>
      </c>
      <c r="D39" s="1" t="s">
        <v>1826</v>
      </c>
      <c r="E39" s="1" t="s">
        <v>3461</v>
      </c>
      <c r="F39" s="1" t="s">
        <v>33</v>
      </c>
      <c r="G39" s="1">
        <v>2019</v>
      </c>
      <c r="H39" s="1" t="s">
        <v>3462</v>
      </c>
      <c r="I39" s="1" t="str">
        <f>HYPERLINK("http://dx.doi.org/10.1111/cla.12346","http://dx.doi.org/10.1111/cla.12346")</f>
        <v>http://dx.doi.org/10.1111/cla.12346</v>
      </c>
    </row>
    <row r="40" spans="1:9" ht="224" x14ac:dyDescent="0.15">
      <c r="A40" s="1" t="s">
        <v>9</v>
      </c>
      <c r="B40" s="5" t="s">
        <v>3125</v>
      </c>
      <c r="C40" s="1" t="s">
        <v>3126</v>
      </c>
      <c r="D40" s="1" t="s">
        <v>3127</v>
      </c>
      <c r="E40" s="1" t="s">
        <v>3128</v>
      </c>
      <c r="F40" s="1" t="s">
        <v>11</v>
      </c>
      <c r="G40" s="1">
        <v>2014</v>
      </c>
      <c r="H40" s="1" t="s">
        <v>3129</v>
      </c>
      <c r="I40" s="1" t="str">
        <f>HYPERLINK("http://dx.doi.org/10.1163/18759866-08303004","http://dx.doi.org/10.1163/18759866-08303004")</f>
        <v>http://dx.doi.org/10.1163/18759866-08303004</v>
      </c>
    </row>
    <row r="41" spans="1:9" ht="266" x14ac:dyDescent="0.15">
      <c r="A41" s="1" t="s">
        <v>9</v>
      </c>
      <c r="B41" s="5" t="s">
        <v>1784</v>
      </c>
      <c r="C41" s="1" t="s">
        <v>1785</v>
      </c>
      <c r="D41" s="1" t="s">
        <v>1786</v>
      </c>
      <c r="E41" s="1" t="s">
        <v>1787</v>
      </c>
      <c r="F41" s="1" t="s">
        <v>1788</v>
      </c>
      <c r="G41" s="1">
        <v>2018</v>
      </c>
      <c r="H41" s="1" t="s">
        <v>1789</v>
      </c>
      <c r="I41" s="1" t="str">
        <f>HYPERLINK("http://dx.doi.org/10.11646/zootaxa.4382.2.8","http://dx.doi.org/10.11646/zootaxa.4382.2.8")</f>
        <v>http://dx.doi.org/10.11646/zootaxa.4382.2.8</v>
      </c>
    </row>
    <row r="42" spans="1:9" ht="238" x14ac:dyDescent="0.15">
      <c r="A42" s="1" t="s">
        <v>9</v>
      </c>
      <c r="B42" s="5" t="s">
        <v>2134</v>
      </c>
      <c r="C42" s="1" t="s">
        <v>2135</v>
      </c>
      <c r="D42" s="1" t="s">
        <v>1738</v>
      </c>
      <c r="E42" s="1" t="s">
        <v>2136</v>
      </c>
      <c r="F42" s="1" t="s">
        <v>62</v>
      </c>
      <c r="G42" s="1">
        <v>2012</v>
      </c>
      <c r="H42" s="1" t="s">
        <v>2137</v>
      </c>
      <c r="I42" s="1" t="str">
        <f>HYPERLINK("http://dx.doi.org/10.1111/j.1463-6409.2012.00535.x","http://dx.doi.org/10.1111/j.1463-6409.2012.00535.x")</f>
        <v>http://dx.doi.org/10.1111/j.1463-6409.2012.00535.x</v>
      </c>
    </row>
    <row r="43" spans="1:9" ht="409.6" x14ac:dyDescent="0.15">
      <c r="A43" s="1" t="s">
        <v>9</v>
      </c>
      <c r="B43" s="5" t="s">
        <v>3130</v>
      </c>
      <c r="C43" s="1" t="s">
        <v>3131</v>
      </c>
      <c r="D43" s="1" t="s">
        <v>792</v>
      </c>
      <c r="E43" s="1" t="s">
        <v>3132</v>
      </c>
      <c r="F43" s="1" t="s">
        <v>68</v>
      </c>
      <c r="G43" s="1">
        <v>2023</v>
      </c>
      <c r="H43" s="1" t="s">
        <v>3133</v>
      </c>
      <c r="I43" s="1" t="str">
        <f>HYPERLINK("http://dx.doi.org/10.1371/journal.pgen.1010845","http://dx.doi.org/10.1371/journal.pgen.1010845")</f>
        <v>http://dx.doi.org/10.1371/journal.pgen.1010845</v>
      </c>
    </row>
    <row r="44" spans="1:9" ht="332" x14ac:dyDescent="0.15">
      <c r="A44" s="1" t="s">
        <v>9</v>
      </c>
      <c r="B44" s="5" t="s">
        <v>3070</v>
      </c>
      <c r="C44" s="1" t="s">
        <v>3071</v>
      </c>
      <c r="D44" s="1" t="s">
        <v>25</v>
      </c>
      <c r="E44" s="1" t="s">
        <v>3072</v>
      </c>
      <c r="F44" s="1" t="s">
        <v>86</v>
      </c>
      <c r="G44" s="1">
        <v>2022</v>
      </c>
      <c r="H44" s="1" t="s">
        <v>3073</v>
      </c>
      <c r="I44" s="1" t="str">
        <f>HYPERLINK("http://dx.doi.org/10.1093/molbev/msac021","http://dx.doi.org/10.1093/molbev/msac021")</f>
        <v>http://dx.doi.org/10.1093/molbev/msac021</v>
      </c>
    </row>
    <row r="45" spans="1:9" ht="332" x14ac:dyDescent="0.15">
      <c r="A45" s="1" t="s">
        <v>9</v>
      </c>
      <c r="B45" s="5" t="s">
        <v>2876</v>
      </c>
      <c r="C45" s="1" t="s">
        <v>2877</v>
      </c>
      <c r="D45" s="1" t="s">
        <v>120</v>
      </c>
      <c r="E45" s="1" t="s">
        <v>2878</v>
      </c>
      <c r="F45" s="1" t="s">
        <v>182</v>
      </c>
      <c r="G45" s="1">
        <v>2011</v>
      </c>
      <c r="H45" s="1" t="s">
        <v>2879</v>
      </c>
      <c r="I45" s="1" t="str">
        <f>HYPERLINK("http://dx.doi.org/10.1016/j.jembe.2010.12.008","http://dx.doi.org/10.1016/j.jembe.2010.12.008")</f>
        <v>http://dx.doi.org/10.1016/j.jembe.2010.12.008</v>
      </c>
    </row>
    <row r="46" spans="1:9" ht="371" x14ac:dyDescent="0.15">
      <c r="A46" s="1" t="s">
        <v>9</v>
      </c>
      <c r="B46" s="5" t="s">
        <v>3315</v>
      </c>
      <c r="C46" s="1" t="s">
        <v>3316</v>
      </c>
      <c r="D46" s="1" t="s">
        <v>3317</v>
      </c>
      <c r="E46" s="1" t="s">
        <v>3318</v>
      </c>
      <c r="F46" s="1" t="s">
        <v>3319</v>
      </c>
      <c r="G46" s="1">
        <v>2014</v>
      </c>
      <c r="H46" s="1" t="s">
        <v>3320</v>
      </c>
      <c r="I46" s="1" t="str">
        <f>HYPERLINK("http://dx.doi.org/10.3389/fncel.2014.00037","http://dx.doi.org/10.3389/fncel.2014.00037")</f>
        <v>http://dx.doi.org/10.3389/fncel.2014.00037</v>
      </c>
    </row>
    <row r="47" spans="1:9" ht="409.6" x14ac:dyDescent="0.15">
      <c r="A47" s="1" t="s">
        <v>9</v>
      </c>
      <c r="B47" s="5" t="s">
        <v>2977</v>
      </c>
      <c r="C47" s="1" t="s">
        <v>2978</v>
      </c>
      <c r="D47" s="1" t="s">
        <v>90</v>
      </c>
      <c r="E47" s="1" t="s">
        <v>2979</v>
      </c>
      <c r="F47" s="1" t="s">
        <v>21</v>
      </c>
      <c r="G47" s="1">
        <v>2013</v>
      </c>
      <c r="H47" s="1" t="s">
        <v>2980</v>
      </c>
      <c r="I47" s="1" t="str">
        <f>HYPERLINK("http://dx.doi.org/10.1016/j.cbd.2013.07.002","http://dx.doi.org/10.1016/j.cbd.2013.07.002")</f>
        <v>http://dx.doi.org/10.1016/j.cbd.2013.07.002</v>
      </c>
    </row>
    <row r="48" spans="1:9" ht="332" x14ac:dyDescent="0.15">
      <c r="A48" s="1" t="s">
        <v>9</v>
      </c>
      <c r="B48" s="5" t="s">
        <v>3428</v>
      </c>
      <c r="C48" s="1" t="s">
        <v>3429</v>
      </c>
      <c r="D48" s="1" t="s">
        <v>321</v>
      </c>
      <c r="E48" s="1" t="s">
        <v>3430</v>
      </c>
      <c r="F48" s="1" t="s">
        <v>2692</v>
      </c>
      <c r="G48" s="1">
        <v>2012</v>
      </c>
      <c r="H48" s="1" t="s">
        <v>3431</v>
      </c>
      <c r="I48" s="1" t="str">
        <f>HYPERLINK("http://dx.doi.org/10.1371/journal.pone.0035269","http://dx.doi.org/10.1371/journal.pone.0035269")</f>
        <v>http://dx.doi.org/10.1371/journal.pone.0035269</v>
      </c>
    </row>
    <row r="49" spans="1:9" ht="210" x14ac:dyDescent="0.15">
      <c r="A49" s="1" t="s">
        <v>9</v>
      </c>
      <c r="B49" s="5" t="s">
        <v>3310</v>
      </c>
      <c r="C49" s="1" t="s">
        <v>3311</v>
      </c>
      <c r="D49" s="1" t="s">
        <v>3312</v>
      </c>
      <c r="E49" s="1" t="s">
        <v>3313</v>
      </c>
      <c r="F49" s="1" t="s">
        <v>122</v>
      </c>
      <c r="G49" s="1">
        <v>2015</v>
      </c>
      <c r="H49" s="1" t="s">
        <v>3314</v>
      </c>
      <c r="I49" s="1" t="str">
        <f>HYPERLINK("http://dx.doi.org/10.1016/j.jff.2015.06.026","http://dx.doi.org/10.1016/j.jff.2015.06.026")</f>
        <v>http://dx.doi.org/10.1016/j.jff.2015.06.026</v>
      </c>
    </row>
    <row r="50" spans="1:9" ht="319" x14ac:dyDescent="0.15">
      <c r="A50" s="1" t="s">
        <v>9</v>
      </c>
      <c r="B50" s="5" t="s">
        <v>3898</v>
      </c>
      <c r="C50" s="1" t="s">
        <v>3899</v>
      </c>
      <c r="D50" s="1" t="s">
        <v>3900</v>
      </c>
      <c r="E50" s="1" t="s">
        <v>3901</v>
      </c>
      <c r="F50" s="1" t="s">
        <v>56</v>
      </c>
      <c r="G50" s="1">
        <v>2023</v>
      </c>
      <c r="H50" s="1" t="s">
        <v>3902</v>
      </c>
      <c r="I50" s="1" t="str">
        <f>HYPERLINK("http://dx.doi.org/10.1016/j.sciaf.2023.e01867","http://dx.doi.org/10.1016/j.sciaf.2023.e01867")</f>
        <v>http://dx.doi.org/10.1016/j.sciaf.2023.e01867</v>
      </c>
    </row>
    <row r="51" spans="1:9" ht="280" x14ac:dyDescent="0.15">
      <c r="A51" s="1" t="s">
        <v>9</v>
      </c>
      <c r="B51" s="5" t="s">
        <v>2164</v>
      </c>
      <c r="C51" s="1" t="s">
        <v>2165</v>
      </c>
      <c r="D51" s="1" t="s">
        <v>1869</v>
      </c>
      <c r="E51" s="1" t="s">
        <v>2166</v>
      </c>
      <c r="F51" s="1" t="s">
        <v>694</v>
      </c>
      <c r="G51" s="1">
        <v>2012</v>
      </c>
      <c r="H51" s="1" t="s">
        <v>2167</v>
      </c>
      <c r="I51" s="1" t="str">
        <f>HYPERLINK("http://dx.doi.org/10.1242/dev.079939","http://dx.doi.org/10.1242/dev.079939")</f>
        <v>http://dx.doi.org/10.1242/dev.079939</v>
      </c>
    </row>
    <row r="52" spans="1:9" ht="293" x14ac:dyDescent="0.15">
      <c r="A52" s="1" t="s">
        <v>9</v>
      </c>
      <c r="B52" s="5" t="s">
        <v>3664</v>
      </c>
      <c r="C52" s="1" t="s">
        <v>3665</v>
      </c>
      <c r="D52" s="1" t="s">
        <v>1957</v>
      </c>
      <c r="E52" s="1" t="s">
        <v>3666</v>
      </c>
      <c r="F52" s="1" t="s">
        <v>122</v>
      </c>
      <c r="G52" s="1">
        <v>2003</v>
      </c>
      <c r="H52" s="1" t="s">
        <v>3667</v>
      </c>
      <c r="I52" s="1" t="str">
        <f>HYPERLINK("http://dx.doi.org/10.1016/S0020-7519(03)00126-7","http://dx.doi.org/10.1016/S0020-7519(03)00126-7")</f>
        <v>http://dx.doi.org/10.1016/S0020-7519(03)00126-7</v>
      </c>
    </row>
    <row r="53" spans="1:9" ht="168" x14ac:dyDescent="0.15">
      <c r="A53" s="1" t="s">
        <v>9</v>
      </c>
      <c r="B53" s="5" t="s">
        <v>2036</v>
      </c>
      <c r="C53" s="1" t="s">
        <v>2037</v>
      </c>
      <c r="D53" s="1" t="s">
        <v>1786</v>
      </c>
      <c r="E53" s="1" t="s">
        <v>2038</v>
      </c>
      <c r="F53" s="1" t="s">
        <v>1277</v>
      </c>
      <c r="G53" s="1">
        <v>2024</v>
      </c>
      <c r="H53" s="1" t="s">
        <v>2039</v>
      </c>
      <c r="I53" s="1" t="str">
        <f>HYPERLINK("http://dx.doi.org/10.11646/zootaxa.5443.3.2","http://dx.doi.org/10.11646/zootaxa.5443.3.2")</f>
        <v>http://dx.doi.org/10.11646/zootaxa.5443.3.2</v>
      </c>
    </row>
    <row r="54" spans="1:9" ht="238" x14ac:dyDescent="0.15">
      <c r="A54" s="1" t="s">
        <v>9</v>
      </c>
      <c r="B54" s="5" t="s">
        <v>1472</v>
      </c>
      <c r="C54" s="3" t="s">
        <v>1473</v>
      </c>
      <c r="D54" s="1" t="s">
        <v>321</v>
      </c>
      <c r="E54" s="1" t="s">
        <v>1474</v>
      </c>
      <c r="F54" s="1" t="s">
        <v>1475</v>
      </c>
      <c r="G54" s="1">
        <v>2020</v>
      </c>
      <c r="H54" s="1" t="s">
        <v>1476</v>
      </c>
      <c r="I54" s="1" t="str">
        <f>HYPERLINK("http://dx.doi.org/10.1371/journal.pone.0227172","http://dx.doi.org/10.1371/journal.pone.0227172")</f>
        <v>http://dx.doi.org/10.1371/journal.pone.0227172</v>
      </c>
    </row>
    <row r="55" spans="1:9" ht="293" x14ac:dyDescent="0.15">
      <c r="A55" s="1" t="s">
        <v>9</v>
      </c>
      <c r="B55" s="5" t="s">
        <v>3602</v>
      </c>
      <c r="C55" s="1" t="s">
        <v>3603</v>
      </c>
      <c r="D55" s="1" t="s">
        <v>2937</v>
      </c>
      <c r="E55" s="1" t="s">
        <v>3604</v>
      </c>
      <c r="F55" s="1" t="s">
        <v>138</v>
      </c>
      <c r="G55" s="1">
        <v>2009</v>
      </c>
      <c r="H55" s="1" t="s">
        <v>3605</v>
      </c>
      <c r="I55" s="1" t="str">
        <f>HYPERLINK("http://dx.doi.org/10.1016/j.ygyno.2008.10.017","http://dx.doi.org/10.1016/j.ygyno.2008.10.017")</f>
        <v>http://dx.doi.org/10.1016/j.ygyno.2008.10.017</v>
      </c>
    </row>
    <row r="56" spans="1:9" ht="332" x14ac:dyDescent="0.15">
      <c r="A56" s="1" t="s">
        <v>9</v>
      </c>
      <c r="B56" s="5" t="s">
        <v>3258</v>
      </c>
      <c r="C56" s="1" t="s">
        <v>3259</v>
      </c>
      <c r="D56" s="1" t="s">
        <v>3260</v>
      </c>
      <c r="E56" s="1" t="s">
        <v>3261</v>
      </c>
      <c r="F56" s="1" t="s">
        <v>559</v>
      </c>
      <c r="G56" s="1">
        <v>2021</v>
      </c>
      <c r="H56" s="1" t="s">
        <v>3262</v>
      </c>
      <c r="I56" s="1" t="str">
        <f>HYPERLINK("http://dx.doi.org/10.1016/j.lfs.2021.119158","http://dx.doi.org/10.1016/j.lfs.2021.119158")</f>
        <v>http://dx.doi.org/10.1016/j.lfs.2021.119158</v>
      </c>
    </row>
    <row r="57" spans="1:9" ht="345" x14ac:dyDescent="0.15">
      <c r="A57" s="1" t="s">
        <v>9</v>
      </c>
      <c r="B57" s="5" t="s">
        <v>3780</v>
      </c>
      <c r="C57" s="1" t="s">
        <v>3781</v>
      </c>
      <c r="D57" s="1" t="s">
        <v>260</v>
      </c>
      <c r="E57" s="1" t="s">
        <v>3782</v>
      </c>
      <c r="F57" s="1" t="s">
        <v>2456</v>
      </c>
      <c r="G57" s="1">
        <v>2008</v>
      </c>
      <c r="H57" s="1" t="s">
        <v>3783</v>
      </c>
      <c r="I57" s="1" t="str">
        <f>HYPERLINK("http://dx.doi.org/10.1016/j.aquaculture.2008.03.051","http://dx.doi.org/10.1016/j.aquaculture.2008.03.051")</f>
        <v>http://dx.doi.org/10.1016/j.aquaculture.2008.03.051</v>
      </c>
    </row>
    <row r="58" spans="1:9" ht="332" x14ac:dyDescent="0.15">
      <c r="A58" s="1" t="s">
        <v>9</v>
      </c>
      <c r="B58" s="5" t="s">
        <v>2666</v>
      </c>
      <c r="C58" s="1" t="s">
        <v>2667</v>
      </c>
      <c r="D58" s="1" t="s">
        <v>321</v>
      </c>
      <c r="E58" s="1" t="s">
        <v>2668</v>
      </c>
      <c r="F58" s="1" t="s">
        <v>2669</v>
      </c>
      <c r="G58" s="1">
        <v>2018</v>
      </c>
      <c r="H58" s="1" t="s">
        <v>2670</v>
      </c>
      <c r="I58" s="1" t="str">
        <f>HYPERLINK("http://dx.doi.org/10.1371/journal.pone.0204234","http://dx.doi.org/10.1371/journal.pone.0204234")</f>
        <v>http://dx.doi.org/10.1371/journal.pone.0204234</v>
      </c>
    </row>
    <row r="59" spans="1:9" ht="319" x14ac:dyDescent="0.15">
      <c r="A59" s="1" t="s">
        <v>9</v>
      </c>
      <c r="B59" s="5" t="s">
        <v>3031</v>
      </c>
      <c r="C59" s="1" t="s">
        <v>3032</v>
      </c>
      <c r="D59" s="1" t="s">
        <v>3033</v>
      </c>
      <c r="E59" s="1" t="s">
        <v>3034</v>
      </c>
      <c r="F59" s="1" t="s">
        <v>11</v>
      </c>
      <c r="G59" s="1">
        <v>2016</v>
      </c>
      <c r="H59" s="1" t="s">
        <v>3035</v>
      </c>
      <c r="I59" s="1" t="str">
        <f>HYPERLINK("http://dx.doi.org/10.1159/000447800","http://dx.doi.org/10.1159/000447800")</f>
        <v>http://dx.doi.org/10.1159/000447800</v>
      </c>
    </row>
    <row r="60" spans="1:9" ht="168" x14ac:dyDescent="0.15">
      <c r="A60" s="1" t="s">
        <v>9</v>
      </c>
      <c r="B60" s="5" t="s">
        <v>3229</v>
      </c>
      <c r="C60" s="1" t="s">
        <v>3230</v>
      </c>
      <c r="D60" s="1" t="s">
        <v>1231</v>
      </c>
      <c r="E60" s="1" t="s">
        <v>3231</v>
      </c>
      <c r="F60" s="1" t="s">
        <v>2222</v>
      </c>
      <c r="G60" s="1">
        <v>2002</v>
      </c>
      <c r="H60" s="1" t="s">
        <v>3232</v>
      </c>
      <c r="I60" s="1" t="str">
        <f>HYPERLINK("http://dx.doi.org/10.1016/S0378-1119(02)00853-3","http://dx.doi.org/10.1016/S0378-1119(02)00853-3")</f>
        <v>http://dx.doi.org/10.1016/S0378-1119(02)00853-3</v>
      </c>
    </row>
    <row r="61" spans="1:9" ht="182" x14ac:dyDescent="0.15">
      <c r="A61" s="1" t="s">
        <v>9</v>
      </c>
      <c r="B61" s="5" t="s">
        <v>2077</v>
      </c>
      <c r="C61" s="1" t="s">
        <v>2078</v>
      </c>
      <c r="D61" s="1" t="s">
        <v>2079</v>
      </c>
      <c r="E61" s="1" t="s">
        <v>2080</v>
      </c>
      <c r="F61" s="1" t="s">
        <v>2081</v>
      </c>
      <c r="G61" s="1">
        <v>2006</v>
      </c>
      <c r="H61" s="1" t="s">
        <v>2082</v>
      </c>
      <c r="I61" s="1" t="str">
        <f>HYPERLINK("http://dx.doi.org/10.1093/bioinformatics/btl498","http://dx.doi.org/10.1093/bioinformatics/btl498")</f>
        <v>http://dx.doi.org/10.1093/bioinformatics/btl498</v>
      </c>
    </row>
    <row r="62" spans="1:9" ht="345" x14ac:dyDescent="0.15">
      <c r="A62" s="1" t="s">
        <v>9</v>
      </c>
      <c r="B62" s="5" t="s">
        <v>3213</v>
      </c>
      <c r="C62" s="1" t="s">
        <v>3214</v>
      </c>
      <c r="D62" s="1" t="s">
        <v>54</v>
      </c>
      <c r="E62" s="1" t="s">
        <v>3215</v>
      </c>
      <c r="F62" s="1" t="s">
        <v>122</v>
      </c>
      <c r="G62" s="1">
        <v>2025</v>
      </c>
      <c r="H62" s="1" t="s">
        <v>3216</v>
      </c>
      <c r="I62" s="1" t="str">
        <f>HYPERLINK("http://dx.doi.org/10.1111/mec.17328","http://dx.doi.org/10.1111/mec.17328")</f>
        <v>http://dx.doi.org/10.1111/mec.17328</v>
      </c>
    </row>
    <row r="63" spans="1:9" ht="409.6" x14ac:dyDescent="0.15">
      <c r="A63" s="1" t="s">
        <v>9</v>
      </c>
      <c r="B63" s="5" t="s">
        <v>944</v>
      </c>
      <c r="C63" s="1" t="s">
        <v>945</v>
      </c>
      <c r="D63" s="1" t="s">
        <v>946</v>
      </c>
      <c r="E63" s="1" t="s">
        <v>947</v>
      </c>
      <c r="F63" s="1" t="s">
        <v>21</v>
      </c>
      <c r="G63" s="1">
        <v>2020</v>
      </c>
      <c r="H63" s="1" t="s">
        <v>948</v>
      </c>
      <c r="I63" s="1" t="str">
        <f>HYPERLINK("http://dx.doi.org/10.3390/biology9120416","http://dx.doi.org/10.3390/biology9120416")</f>
        <v>http://dx.doi.org/10.3390/biology9120416</v>
      </c>
    </row>
    <row r="64" spans="1:9" ht="332" x14ac:dyDescent="0.15">
      <c r="A64" s="1" t="s">
        <v>9</v>
      </c>
      <c r="B64" s="5" t="s">
        <v>738</v>
      </c>
      <c r="C64" s="1" t="s">
        <v>739</v>
      </c>
      <c r="D64" s="1" t="s">
        <v>740</v>
      </c>
      <c r="E64" s="1" t="s">
        <v>741</v>
      </c>
      <c r="F64" s="1" t="s">
        <v>11</v>
      </c>
      <c r="G64" s="1">
        <v>2022</v>
      </c>
      <c r="H64" s="1" t="s">
        <v>742</v>
      </c>
      <c r="I64" s="1" t="str">
        <f>HYPERLINK("http://dx.doi.org/10.24072/pcjournal.79","http://dx.doi.org/10.24072/pcjournal.79")</f>
        <v>http://dx.doi.org/10.24072/pcjournal.79</v>
      </c>
    </row>
    <row r="65" spans="1:9" ht="332" x14ac:dyDescent="0.15">
      <c r="A65" s="1" t="s">
        <v>9</v>
      </c>
      <c r="B65" s="5" t="s">
        <v>766</v>
      </c>
      <c r="C65" s="1" t="s">
        <v>739</v>
      </c>
      <c r="D65" s="1" t="s">
        <v>740</v>
      </c>
      <c r="E65" s="1" t="s">
        <v>741</v>
      </c>
      <c r="F65" s="1" t="s">
        <v>11</v>
      </c>
      <c r="G65" s="1">
        <v>2022</v>
      </c>
      <c r="H65" s="1" t="s">
        <v>767</v>
      </c>
      <c r="I65" s="1" t="str">
        <f>HYPERLINK("http://dx.doi.org/10.24072/pci.ecology.100028","http://dx.doi.org/10.24072/pci.ecology.100028")</f>
        <v>http://dx.doi.org/10.24072/pci.ecology.100028</v>
      </c>
    </row>
    <row r="66" spans="1:9" ht="409.6" x14ac:dyDescent="0.15">
      <c r="A66" s="1" t="s">
        <v>9</v>
      </c>
      <c r="B66" s="5" t="s">
        <v>3744</v>
      </c>
      <c r="C66" s="1" t="s">
        <v>3745</v>
      </c>
      <c r="D66" s="1" t="s">
        <v>3746</v>
      </c>
      <c r="E66" s="1" t="s">
        <v>3747</v>
      </c>
      <c r="F66" s="1" t="s">
        <v>3748</v>
      </c>
      <c r="G66" s="1">
        <v>2013</v>
      </c>
      <c r="H66" s="1" t="s">
        <v>3749</v>
      </c>
      <c r="I66" s="1" t="str">
        <f>HYPERLINK("http://dx.doi.org/10.1186/2041-9139-4-32","http://dx.doi.org/10.1186/2041-9139-4-32")</f>
        <v>http://dx.doi.org/10.1186/2041-9139-4-32</v>
      </c>
    </row>
    <row r="67" spans="1:9" ht="293" x14ac:dyDescent="0.15">
      <c r="A67" s="1" t="s">
        <v>9</v>
      </c>
      <c r="B67" s="5" t="s">
        <v>3237</v>
      </c>
      <c r="C67" s="1" t="s">
        <v>3238</v>
      </c>
      <c r="D67" s="1" t="s">
        <v>3127</v>
      </c>
      <c r="E67" s="1" t="s">
        <v>3239</v>
      </c>
      <c r="F67" s="1" t="s">
        <v>11</v>
      </c>
      <c r="G67" s="1">
        <v>2016</v>
      </c>
      <c r="H67" s="1" t="s">
        <v>3240</v>
      </c>
      <c r="I67" s="1" t="str">
        <f>HYPERLINK("http://dx.doi.org/10.1163/18759866-08504004","http://dx.doi.org/10.1163/18759866-08504004")</f>
        <v>http://dx.doi.org/10.1163/18759866-08504004</v>
      </c>
    </row>
    <row r="68" spans="1:9" ht="70" x14ac:dyDescent="0.15">
      <c r="A68" s="1" t="s">
        <v>608</v>
      </c>
      <c r="B68" s="5" t="s">
        <v>1547</v>
      </c>
      <c r="C68" s="1" t="s">
        <v>1548</v>
      </c>
      <c r="D68" s="1" t="s">
        <v>1549</v>
      </c>
      <c r="E68" s="1" t="s">
        <v>11</v>
      </c>
      <c r="F68" s="1" t="s">
        <v>11</v>
      </c>
      <c r="G68" s="1">
        <v>2011</v>
      </c>
      <c r="H68" s="1" t="s">
        <v>1550</v>
      </c>
      <c r="I68" s="1" t="str">
        <f>HYPERLINK("http://dx.doi.org/10.1007/978-94-007-0114-4_24","http://dx.doi.org/10.1007/978-94-007-0114-4_24")</f>
        <v>http://dx.doi.org/10.1007/978-94-007-0114-4_24</v>
      </c>
    </row>
    <row r="69" spans="1:9" ht="371" x14ac:dyDescent="0.15">
      <c r="A69" s="1" t="s">
        <v>9</v>
      </c>
      <c r="B69" s="5" t="s">
        <v>3700</v>
      </c>
      <c r="C69" s="1" t="s">
        <v>3701</v>
      </c>
      <c r="D69" s="1" t="s">
        <v>852</v>
      </c>
      <c r="E69" s="1" t="s">
        <v>3702</v>
      </c>
      <c r="F69" s="1" t="s">
        <v>33</v>
      </c>
      <c r="G69" s="1">
        <v>2020</v>
      </c>
      <c r="H69" s="1" t="s">
        <v>3703</v>
      </c>
      <c r="I69" s="1" t="str">
        <f>HYPERLINK("http://dx.doi.org/10.1007/s00338-020-01922-w","http://dx.doi.org/10.1007/s00338-020-01922-w")</f>
        <v>http://dx.doi.org/10.1007/s00338-020-01922-w</v>
      </c>
    </row>
    <row r="70" spans="1:9" ht="280" x14ac:dyDescent="0.15">
      <c r="A70" s="1" t="s">
        <v>9</v>
      </c>
      <c r="B70" s="5" t="s">
        <v>685</v>
      </c>
      <c r="C70" s="1" t="s">
        <v>686</v>
      </c>
      <c r="D70" s="1" t="s">
        <v>687</v>
      </c>
      <c r="E70" s="1" t="s">
        <v>688</v>
      </c>
      <c r="F70" s="1" t="s">
        <v>21</v>
      </c>
      <c r="G70" s="1">
        <v>2010</v>
      </c>
      <c r="H70" s="1" t="s">
        <v>689</v>
      </c>
      <c r="I70" s="1" t="str">
        <f>HYPERLINK("http://dx.doi.org/10.1093/bfgp/elq027","http://dx.doi.org/10.1093/bfgp/elq027")</f>
        <v>http://dx.doi.org/10.1093/bfgp/elq027</v>
      </c>
    </row>
    <row r="71" spans="1:9" ht="252" x14ac:dyDescent="0.15">
      <c r="A71" s="1" t="s">
        <v>9</v>
      </c>
      <c r="B71" s="5" t="s">
        <v>837</v>
      </c>
      <c r="C71" s="1" t="s">
        <v>838</v>
      </c>
      <c r="D71" s="1" t="s">
        <v>839</v>
      </c>
      <c r="E71" s="1" t="s">
        <v>840</v>
      </c>
      <c r="F71" s="1" t="s">
        <v>21</v>
      </c>
      <c r="G71" s="1">
        <v>2009</v>
      </c>
      <c r="H71" s="1" t="s">
        <v>841</v>
      </c>
      <c r="I71" s="1" t="str">
        <f>HYPERLINK("http://dx.doi.org/10.1111/j.1574-6941.2009.00764.x","http://dx.doi.org/10.1111/j.1574-6941.2009.00764.x")</f>
        <v>http://dx.doi.org/10.1111/j.1574-6941.2009.00764.x</v>
      </c>
    </row>
    <row r="72" spans="1:9" ht="252" x14ac:dyDescent="0.15">
      <c r="A72" s="1" t="s">
        <v>9</v>
      </c>
      <c r="B72" s="5" t="s">
        <v>2841</v>
      </c>
      <c r="C72" s="1" t="s">
        <v>2842</v>
      </c>
      <c r="D72" s="1" t="s">
        <v>643</v>
      </c>
      <c r="E72" s="1" t="s">
        <v>2843</v>
      </c>
      <c r="F72" s="1" t="s">
        <v>122</v>
      </c>
      <c r="G72" s="1">
        <v>2023</v>
      </c>
      <c r="H72" s="1" t="s">
        <v>2844</v>
      </c>
      <c r="I72" s="1" t="str">
        <f>HYPERLINK("http://dx.doi.org/10.1111/1462-2920.16366","http://dx.doi.org/10.1111/1462-2920.16366")</f>
        <v>http://dx.doi.org/10.1111/1462-2920.16366</v>
      </c>
    </row>
    <row r="73" spans="1:9" ht="210" x14ac:dyDescent="0.15">
      <c r="A73" s="1" t="s">
        <v>9</v>
      </c>
      <c r="B73" s="5" t="s">
        <v>2685</v>
      </c>
      <c r="C73" s="1" t="s">
        <v>2686</v>
      </c>
      <c r="D73" s="1" t="s">
        <v>54</v>
      </c>
      <c r="E73" s="1" t="s">
        <v>2687</v>
      </c>
      <c r="F73" s="1" t="s">
        <v>138</v>
      </c>
      <c r="G73" s="1">
        <v>2010</v>
      </c>
      <c r="H73" s="1" t="s">
        <v>2688</v>
      </c>
      <c r="I73" s="1" t="str">
        <f>HYPERLINK("http://dx.doi.org/10.1111/j.1365-294X.2009.04506.x","http://dx.doi.org/10.1111/j.1365-294X.2009.04506.x")</f>
        <v>http://dx.doi.org/10.1111/j.1365-294X.2009.04506.x</v>
      </c>
    </row>
    <row r="74" spans="1:9" ht="345" x14ac:dyDescent="0.15">
      <c r="A74" s="1" t="s">
        <v>9</v>
      </c>
      <c r="B74" s="5" t="s">
        <v>2147</v>
      </c>
      <c r="C74" s="1" t="s">
        <v>2148</v>
      </c>
      <c r="D74" s="1" t="s">
        <v>2149</v>
      </c>
      <c r="E74" s="1" t="s">
        <v>2150</v>
      </c>
      <c r="F74" s="1" t="s">
        <v>1788</v>
      </c>
      <c r="G74" s="1">
        <v>2025</v>
      </c>
      <c r="H74" s="1" t="s">
        <v>2151</v>
      </c>
      <c r="I74" s="1" t="str">
        <f>HYPERLINK("http://dx.doi.org/10.3389/fonc.2025.1547889","http://dx.doi.org/10.3389/fonc.2025.1547889")</f>
        <v>http://dx.doi.org/10.3389/fonc.2025.1547889</v>
      </c>
    </row>
    <row r="75" spans="1:9" ht="319" x14ac:dyDescent="0.15">
      <c r="A75" s="1" t="s">
        <v>9</v>
      </c>
      <c r="B75" s="5" t="s">
        <v>723</v>
      </c>
      <c r="C75" s="1" t="s">
        <v>724</v>
      </c>
      <c r="D75" s="1" t="s">
        <v>84</v>
      </c>
      <c r="E75" s="1" t="s">
        <v>725</v>
      </c>
      <c r="F75" s="1" t="s">
        <v>138</v>
      </c>
      <c r="G75" s="1">
        <v>2018</v>
      </c>
      <c r="H75" s="1" t="s">
        <v>726</v>
      </c>
      <c r="I75" s="1" t="str">
        <f>HYPERLINK("http://dx.doi.org/10.1093/gbe/evy019","http://dx.doi.org/10.1093/gbe/evy019")</f>
        <v>http://dx.doi.org/10.1093/gbe/evy019</v>
      </c>
    </row>
    <row r="76" spans="1:9" ht="397" x14ac:dyDescent="0.15">
      <c r="A76" s="1" t="s">
        <v>9</v>
      </c>
      <c r="B76" s="5" t="s">
        <v>2981</v>
      </c>
      <c r="C76" s="1" t="s">
        <v>2982</v>
      </c>
      <c r="D76" s="1" t="s">
        <v>1786</v>
      </c>
      <c r="E76" s="1" t="s">
        <v>2983</v>
      </c>
      <c r="F76" s="1" t="s">
        <v>428</v>
      </c>
      <c r="G76" s="1">
        <v>2019</v>
      </c>
      <c r="H76" s="1" t="s">
        <v>2984</v>
      </c>
      <c r="I76" s="1" t="str">
        <f>HYPERLINK("http://dx.doi.org/10.11646/zootaxa.4590.4.3","http://dx.doi.org/10.11646/zootaxa.4590.4.3")</f>
        <v>http://dx.doi.org/10.11646/zootaxa.4590.4.3</v>
      </c>
    </row>
    <row r="77" spans="1:9" ht="280" x14ac:dyDescent="0.15">
      <c r="A77" s="1" t="s">
        <v>9</v>
      </c>
      <c r="B77" s="5" t="s">
        <v>1863</v>
      </c>
      <c r="C77" s="1" t="s">
        <v>1864</v>
      </c>
      <c r="D77" s="1" t="s">
        <v>662</v>
      </c>
      <c r="E77" s="1" t="s">
        <v>1865</v>
      </c>
      <c r="F77" s="1" t="s">
        <v>68</v>
      </c>
      <c r="G77" s="1">
        <v>2022</v>
      </c>
      <c r="H77" s="1" t="s">
        <v>1866</v>
      </c>
      <c r="I77" s="1" t="str">
        <f>HYPERLINK("http://dx.doi.org/10.3390/md20070427","http://dx.doi.org/10.3390/md20070427")</f>
        <v>http://dx.doi.org/10.3390/md20070427</v>
      </c>
    </row>
    <row r="78" spans="1:9" ht="293" x14ac:dyDescent="0.15">
      <c r="A78" s="1" t="s">
        <v>9</v>
      </c>
      <c r="B78" s="5" t="s">
        <v>2468</v>
      </c>
      <c r="C78" s="1" t="s">
        <v>2469</v>
      </c>
      <c r="D78" s="1" t="s">
        <v>918</v>
      </c>
      <c r="E78" s="1" t="s">
        <v>2470</v>
      </c>
      <c r="F78" s="1" t="s">
        <v>112</v>
      </c>
      <c r="G78" s="1">
        <v>2020</v>
      </c>
      <c r="H78" s="1" t="s">
        <v>2471</v>
      </c>
      <c r="I78" s="1" t="str">
        <f>HYPERLINK("http://dx.doi.org/10.1016/j.dci.2019.103557","http://dx.doi.org/10.1016/j.dci.2019.103557")</f>
        <v>http://dx.doi.org/10.1016/j.dci.2019.103557</v>
      </c>
    </row>
    <row r="79" spans="1:9" ht="345" x14ac:dyDescent="0.15">
      <c r="A79" s="1" t="s">
        <v>9</v>
      </c>
      <c r="B79" s="5" t="s">
        <v>959</v>
      </c>
      <c r="C79" s="1" t="s">
        <v>960</v>
      </c>
      <c r="D79" s="1" t="s">
        <v>31</v>
      </c>
      <c r="E79" s="1" t="s">
        <v>961</v>
      </c>
      <c r="F79" s="1" t="s">
        <v>33</v>
      </c>
      <c r="G79" s="1">
        <v>2025</v>
      </c>
      <c r="H79" s="1" t="s">
        <v>962</v>
      </c>
      <c r="I79" s="1" t="str">
        <f>HYPERLINK("http://dx.doi.org/10.1007/s10126-025-10459-4","http://dx.doi.org/10.1007/s10126-025-10459-4")</f>
        <v>http://dx.doi.org/10.1007/s10126-025-10459-4</v>
      </c>
    </row>
    <row r="80" spans="1:9" ht="409.6" x14ac:dyDescent="0.15">
      <c r="A80" s="1" t="s">
        <v>9</v>
      </c>
      <c r="B80" s="5" t="s">
        <v>3370</v>
      </c>
      <c r="C80" s="1" t="s">
        <v>3371</v>
      </c>
      <c r="D80" s="1" t="s">
        <v>436</v>
      </c>
      <c r="E80" s="1" t="s">
        <v>3372</v>
      </c>
      <c r="F80" s="1" t="s">
        <v>138</v>
      </c>
      <c r="G80" s="1">
        <v>2002</v>
      </c>
      <c r="H80" s="1" t="s">
        <v>3373</v>
      </c>
      <c r="I80" s="1" t="str">
        <f>HYPERLINK("http://dx.doi.org/10.1038/sj.hdy.6800034","http://dx.doi.org/10.1038/sj.hdy.6800034")</f>
        <v>http://dx.doi.org/10.1038/sj.hdy.6800034</v>
      </c>
    </row>
    <row r="81" spans="1:9" ht="224" x14ac:dyDescent="0.15">
      <c r="A81" s="1" t="s">
        <v>9</v>
      </c>
      <c r="B81" s="5" t="s">
        <v>2267</v>
      </c>
      <c r="C81" s="1" t="s">
        <v>2268</v>
      </c>
      <c r="D81" s="1" t="s">
        <v>1139</v>
      </c>
      <c r="E81" s="1" t="s">
        <v>2269</v>
      </c>
      <c r="F81" s="1" t="s">
        <v>21</v>
      </c>
      <c r="G81" s="1">
        <v>2009</v>
      </c>
      <c r="H81" s="1" t="s">
        <v>2270</v>
      </c>
      <c r="I81" s="1" t="str">
        <f>HYPERLINK("http://dx.doi.org/10.1093/nar/gkp859","http://dx.doi.org/10.1093/nar/gkp859")</f>
        <v>http://dx.doi.org/10.1093/nar/gkp859</v>
      </c>
    </row>
    <row r="82" spans="1:9" ht="280" x14ac:dyDescent="0.15">
      <c r="A82" s="1" t="s">
        <v>9</v>
      </c>
      <c r="B82" s="5" t="s">
        <v>2765</v>
      </c>
      <c r="C82" s="1" t="s">
        <v>2766</v>
      </c>
      <c r="D82" s="1" t="s">
        <v>156</v>
      </c>
      <c r="E82" s="1" t="s">
        <v>2767</v>
      </c>
      <c r="F82" s="1" t="s">
        <v>2632</v>
      </c>
      <c r="G82" s="1">
        <v>2022</v>
      </c>
      <c r="H82" s="1" t="s">
        <v>2768</v>
      </c>
      <c r="I82" s="1" t="str">
        <f>HYPERLINK("http://dx.doi.org/10.1038/s41598-022-13594-3","http://dx.doi.org/10.1038/s41598-022-13594-3")</f>
        <v>http://dx.doi.org/10.1038/s41598-022-13594-3</v>
      </c>
    </row>
    <row r="83" spans="1:9" ht="306" x14ac:dyDescent="0.15">
      <c r="A83" s="1" t="s">
        <v>9</v>
      </c>
      <c r="B83" s="5" t="s">
        <v>3023</v>
      </c>
      <c r="C83" s="1" t="s">
        <v>3024</v>
      </c>
      <c r="D83" s="1" t="s">
        <v>648</v>
      </c>
      <c r="E83" s="1" t="s">
        <v>3025</v>
      </c>
      <c r="F83" s="1" t="s">
        <v>465</v>
      </c>
      <c r="G83" s="1">
        <v>2017</v>
      </c>
      <c r="H83" s="1" t="s">
        <v>3026</v>
      </c>
      <c r="I83" s="1" t="str">
        <f>HYPERLINK("http://dx.doi.org/10.1242/jeb.167734","http://dx.doi.org/10.1242/jeb.167734")</f>
        <v>http://dx.doi.org/10.1242/jeb.167734</v>
      </c>
    </row>
    <row r="84" spans="1:9" ht="224" x14ac:dyDescent="0.15">
      <c r="A84" s="1" t="s">
        <v>9</v>
      </c>
      <c r="B84" s="5" t="s">
        <v>3302</v>
      </c>
      <c r="C84" s="1" t="s">
        <v>3303</v>
      </c>
      <c r="D84" s="1" t="s">
        <v>1663</v>
      </c>
      <c r="E84" s="1" t="s">
        <v>3304</v>
      </c>
      <c r="F84" s="1" t="s">
        <v>122</v>
      </c>
      <c r="G84" s="1">
        <v>2022</v>
      </c>
      <c r="H84" s="1" t="s">
        <v>3305</v>
      </c>
      <c r="I84" s="1" t="str">
        <f>HYPERLINK("http://dx.doi.org/10.1016/j.dsr2.2022.105135","http://dx.doi.org/10.1016/j.dsr2.2022.105135")</f>
        <v>http://dx.doi.org/10.1016/j.dsr2.2022.105135</v>
      </c>
    </row>
    <row r="85" spans="1:9" ht="224" x14ac:dyDescent="0.15">
      <c r="A85" s="1" t="s">
        <v>9</v>
      </c>
      <c r="B85" s="5" t="s">
        <v>2990</v>
      </c>
      <c r="C85" s="1" t="s">
        <v>2991</v>
      </c>
      <c r="D85" s="1" t="s">
        <v>1511</v>
      </c>
      <c r="E85" s="1" t="s">
        <v>2992</v>
      </c>
      <c r="F85" s="1" t="s">
        <v>112</v>
      </c>
      <c r="G85" s="1">
        <v>2009</v>
      </c>
      <c r="H85" s="1" t="s">
        <v>2993</v>
      </c>
      <c r="I85" s="1" t="str">
        <f>HYPERLINK("http://dx.doi.org/10.1016/j.ympev.2008.11.020","http://dx.doi.org/10.1016/j.ympev.2008.11.020")</f>
        <v>http://dx.doi.org/10.1016/j.ympev.2008.11.020</v>
      </c>
    </row>
    <row r="86" spans="1:9" ht="409.6" x14ac:dyDescent="0.15">
      <c r="A86" s="1" t="s">
        <v>9</v>
      </c>
      <c r="B86" s="5" t="s">
        <v>897</v>
      </c>
      <c r="C86" s="1" t="s">
        <v>898</v>
      </c>
      <c r="D86" s="1" t="s">
        <v>595</v>
      </c>
      <c r="E86" s="1" t="s">
        <v>899</v>
      </c>
      <c r="F86" s="1" t="s">
        <v>513</v>
      </c>
      <c r="G86" s="1">
        <v>2011</v>
      </c>
      <c r="H86" s="1" t="s">
        <v>900</v>
      </c>
      <c r="I86" s="1" t="str">
        <f>HYPERLINK("http://dx.doi.org/10.1186/1471-2105-12-S9-S3","http://dx.doi.org/10.1186/1471-2105-12-S9-S3")</f>
        <v>http://dx.doi.org/10.1186/1471-2105-12-S9-S3</v>
      </c>
    </row>
    <row r="87" spans="1:9" ht="332" x14ac:dyDescent="0.15">
      <c r="A87" s="1" t="s">
        <v>9</v>
      </c>
      <c r="B87" s="5" t="s">
        <v>2152</v>
      </c>
      <c r="C87" s="1" t="s">
        <v>2153</v>
      </c>
      <c r="D87" s="1" t="s">
        <v>1753</v>
      </c>
      <c r="E87" s="1" t="s">
        <v>2154</v>
      </c>
      <c r="F87" s="1" t="s">
        <v>11</v>
      </c>
      <c r="G87" s="1">
        <v>2016</v>
      </c>
      <c r="H87" s="1" t="s">
        <v>2155</v>
      </c>
      <c r="I87" s="1" t="str">
        <f>HYPERLINK("http://dx.doi.org/10.1071/IS16024","http://dx.doi.org/10.1071/IS16024")</f>
        <v>http://dx.doi.org/10.1071/IS16024</v>
      </c>
    </row>
    <row r="88" spans="1:9" ht="358" x14ac:dyDescent="0.15">
      <c r="A88" s="1" t="s">
        <v>9</v>
      </c>
      <c r="B88" s="5" t="s">
        <v>3190</v>
      </c>
      <c r="C88" s="1" t="s">
        <v>3191</v>
      </c>
      <c r="D88" s="1" t="s">
        <v>3192</v>
      </c>
      <c r="E88" s="1" t="s">
        <v>3193</v>
      </c>
      <c r="F88" s="1" t="s">
        <v>11</v>
      </c>
      <c r="G88" s="1">
        <v>2023</v>
      </c>
      <c r="H88" s="1" t="s">
        <v>11</v>
      </c>
      <c r="I88" s="1" t="s">
        <v>11</v>
      </c>
    </row>
    <row r="89" spans="1:9" ht="319" x14ac:dyDescent="0.15">
      <c r="A89" s="1" t="s">
        <v>9</v>
      </c>
      <c r="B89" s="5" t="s">
        <v>1877</v>
      </c>
      <c r="C89" s="1" t="s">
        <v>1878</v>
      </c>
      <c r="D89" s="1" t="s">
        <v>110</v>
      </c>
      <c r="E89" s="1" t="s">
        <v>1879</v>
      </c>
      <c r="F89" s="1" t="s">
        <v>221</v>
      </c>
      <c r="G89" s="1">
        <v>2018</v>
      </c>
      <c r="H89" s="1" t="s">
        <v>1880</v>
      </c>
      <c r="I89" s="1" t="str">
        <f>HYPERLINK("http://dx.doi.org/10.1016/j.aquatox.2017.11.008","http://dx.doi.org/10.1016/j.aquatox.2017.11.008")</f>
        <v>http://dx.doi.org/10.1016/j.aquatox.2017.11.008</v>
      </c>
    </row>
    <row r="90" spans="1:9" ht="266" x14ac:dyDescent="0.15">
      <c r="A90" s="1" t="s">
        <v>9</v>
      </c>
      <c r="B90" s="5" t="s">
        <v>2174</v>
      </c>
      <c r="C90" s="1" t="s">
        <v>2175</v>
      </c>
      <c r="D90" s="1" t="s">
        <v>1139</v>
      </c>
      <c r="E90" s="1" t="s">
        <v>2176</v>
      </c>
      <c r="F90" s="1" t="s">
        <v>909</v>
      </c>
      <c r="G90" s="1">
        <v>2022</v>
      </c>
      <c r="H90" s="1" t="s">
        <v>2177</v>
      </c>
      <c r="I90" s="1" t="str">
        <f>HYPERLINK("http://dx.doi.org/10.1093/nar/gkab1036","http://dx.doi.org/10.1093/nar/gkab1036")</f>
        <v>http://dx.doi.org/10.1093/nar/gkab1036</v>
      </c>
    </row>
    <row r="91" spans="1:9" ht="252" x14ac:dyDescent="0.15">
      <c r="A91" s="1" t="s">
        <v>9</v>
      </c>
      <c r="B91" s="5" t="s">
        <v>2087</v>
      </c>
      <c r="C91" s="1" t="s">
        <v>2088</v>
      </c>
      <c r="D91" s="1" t="s">
        <v>1139</v>
      </c>
      <c r="E91" s="1" t="s">
        <v>2089</v>
      </c>
      <c r="F91" s="1" t="s">
        <v>11</v>
      </c>
      <c r="G91" s="1">
        <v>2014</v>
      </c>
      <c r="H91" s="1" t="s">
        <v>2090</v>
      </c>
      <c r="I91" s="1" t="str">
        <f>HYPERLINK("http://dx.doi.org/10.1093/nar/gku562","http://dx.doi.org/10.1093/nar/gku562")</f>
        <v>http://dx.doi.org/10.1093/nar/gku562</v>
      </c>
    </row>
    <row r="92" spans="1:9" ht="409.6" x14ac:dyDescent="0.15">
      <c r="A92" s="1" t="s">
        <v>9</v>
      </c>
      <c r="B92" s="5" t="s">
        <v>3006</v>
      </c>
      <c r="C92" s="1" t="s">
        <v>3007</v>
      </c>
      <c r="D92" s="1" t="s">
        <v>3008</v>
      </c>
      <c r="E92" s="1" t="s">
        <v>3009</v>
      </c>
      <c r="F92" s="1" t="s">
        <v>21</v>
      </c>
      <c r="G92" s="1">
        <v>2024</v>
      </c>
      <c r="H92" s="1" t="s">
        <v>3010</v>
      </c>
      <c r="I92" s="1" t="str">
        <f>HYPERLINK("http://dx.doi.org/10.1016/j.phymed.2024.156226","http://dx.doi.org/10.1016/j.phymed.2024.156226")</f>
        <v>http://dx.doi.org/10.1016/j.phymed.2024.156226</v>
      </c>
    </row>
    <row r="93" spans="1:9" ht="210" x14ac:dyDescent="0.15">
      <c r="A93" s="1" t="s">
        <v>9</v>
      </c>
      <c r="B93" s="5" t="s">
        <v>1936</v>
      </c>
      <c r="C93" s="1" t="s">
        <v>1937</v>
      </c>
      <c r="D93" s="1" t="s">
        <v>1663</v>
      </c>
      <c r="E93" s="1" t="s">
        <v>1938</v>
      </c>
      <c r="F93" s="1" t="s">
        <v>122</v>
      </c>
      <c r="G93" s="1">
        <v>2024</v>
      </c>
      <c r="H93" s="1" t="s">
        <v>1939</v>
      </c>
      <c r="I93" s="1" t="str">
        <f>HYPERLINK("http://dx.doi.org/10.1016/j.dsr2.2024.105390","http://dx.doi.org/10.1016/j.dsr2.2024.105390")</f>
        <v>http://dx.doi.org/10.1016/j.dsr2.2024.105390</v>
      </c>
    </row>
    <row r="94" spans="1:9" ht="266" x14ac:dyDescent="0.15">
      <c r="A94" s="1" t="s">
        <v>9</v>
      </c>
      <c r="B94" s="5" t="s">
        <v>1790</v>
      </c>
      <c r="C94" s="1" t="s">
        <v>1791</v>
      </c>
      <c r="D94" s="1" t="s">
        <v>1753</v>
      </c>
      <c r="E94" s="1" t="s">
        <v>1792</v>
      </c>
      <c r="F94" s="1" t="s">
        <v>11</v>
      </c>
      <c r="G94" s="1">
        <v>2019</v>
      </c>
      <c r="H94" s="1" t="s">
        <v>1793</v>
      </c>
      <c r="I94" s="1" t="str">
        <f>HYPERLINK("http://dx.doi.org/10.1071/IS18080","http://dx.doi.org/10.1071/IS18080")</f>
        <v>http://dx.doi.org/10.1071/IS18080</v>
      </c>
    </row>
    <row r="95" spans="1:9" ht="332" x14ac:dyDescent="0.15">
      <c r="A95" s="1" t="s">
        <v>9</v>
      </c>
      <c r="B95" s="5" t="s">
        <v>1661</v>
      </c>
      <c r="C95" s="1" t="s">
        <v>1662</v>
      </c>
      <c r="D95" s="1" t="s">
        <v>1663</v>
      </c>
      <c r="E95" s="1" t="s">
        <v>1664</v>
      </c>
      <c r="F95" s="1" t="s">
        <v>62</v>
      </c>
      <c r="G95" s="1">
        <v>2022</v>
      </c>
      <c r="H95" s="1" t="s">
        <v>1665</v>
      </c>
      <c r="I95" s="1" t="str">
        <f>HYPERLINK("http://dx.doi.org/10.1016/j.dsr2.2022.105081","http://dx.doi.org/10.1016/j.dsr2.2022.105081")</f>
        <v>http://dx.doi.org/10.1016/j.dsr2.2022.105081</v>
      </c>
    </row>
    <row r="96" spans="1:9" ht="98" x14ac:dyDescent="0.15">
      <c r="A96" s="1" t="s">
        <v>9</v>
      </c>
      <c r="B96" s="5" t="s">
        <v>2453</v>
      </c>
      <c r="C96" s="1" t="s">
        <v>2454</v>
      </c>
      <c r="D96" s="1" t="s">
        <v>1786</v>
      </c>
      <c r="E96" s="1" t="s">
        <v>2455</v>
      </c>
      <c r="F96" s="1" t="s">
        <v>2456</v>
      </c>
      <c r="G96" s="1">
        <v>2020</v>
      </c>
      <c r="H96" s="1" t="s">
        <v>2457</v>
      </c>
      <c r="I96" s="1" t="str">
        <f>HYPERLINK("http://dx.doi.org/10.11646/zootaxa.4808.2.10","http://dx.doi.org/10.11646/zootaxa.4808.2.10")</f>
        <v>http://dx.doi.org/10.11646/zootaxa.4808.2.10</v>
      </c>
    </row>
    <row r="97" spans="1:9" ht="332" x14ac:dyDescent="0.15">
      <c r="A97" s="1" t="s">
        <v>9</v>
      </c>
      <c r="B97" s="5" t="s">
        <v>824</v>
      </c>
      <c r="C97" s="1" t="s">
        <v>825</v>
      </c>
      <c r="D97" s="1" t="s">
        <v>48</v>
      </c>
      <c r="E97" s="1" t="s">
        <v>826</v>
      </c>
      <c r="F97" s="1" t="s">
        <v>827</v>
      </c>
      <c r="G97" s="1">
        <v>2021</v>
      </c>
      <c r="H97" s="1" t="s">
        <v>828</v>
      </c>
      <c r="I97" s="1" t="str">
        <f>HYPERLINK("http://dx.doi.org/10.1186/s12864-021-08114-y","http://dx.doi.org/10.1186/s12864-021-08114-y")</f>
        <v>http://dx.doi.org/10.1186/s12864-021-08114-y</v>
      </c>
    </row>
    <row r="98" spans="1:9" ht="319" x14ac:dyDescent="0.15">
      <c r="A98" s="1" t="s">
        <v>9</v>
      </c>
      <c r="B98" s="5" t="s">
        <v>1417</v>
      </c>
      <c r="C98" s="1" t="s">
        <v>1418</v>
      </c>
      <c r="D98" s="1" t="s">
        <v>1419</v>
      </c>
      <c r="E98" s="1" t="s">
        <v>1420</v>
      </c>
      <c r="F98" s="1" t="s">
        <v>106</v>
      </c>
      <c r="G98" s="1">
        <v>2021</v>
      </c>
      <c r="H98" s="1" t="s">
        <v>1421</v>
      </c>
      <c r="I98" s="1" t="str">
        <f>HYPERLINK("http://dx.doi.org/10.1128/JVI.02145-20","http://dx.doi.org/10.1128/JVI.02145-20")</f>
        <v>http://dx.doi.org/10.1128/JVI.02145-20</v>
      </c>
    </row>
    <row r="99" spans="1:9" ht="293" x14ac:dyDescent="0.15">
      <c r="A99" s="1" t="s">
        <v>9</v>
      </c>
      <c r="B99" s="5" t="s">
        <v>3015</v>
      </c>
      <c r="C99" s="1" t="s">
        <v>3016</v>
      </c>
      <c r="D99" s="1" t="s">
        <v>1358</v>
      </c>
      <c r="E99" s="1" t="s">
        <v>3017</v>
      </c>
      <c r="F99" s="1" t="s">
        <v>122</v>
      </c>
      <c r="G99" s="1">
        <v>2023</v>
      </c>
      <c r="H99" s="1" t="s">
        <v>3018</v>
      </c>
      <c r="I99" s="1" t="str">
        <f>HYPERLINK("http://dx.doi.org/10.2108/zs230009","http://dx.doi.org/10.2108/zs230009")</f>
        <v>http://dx.doi.org/10.2108/zs230009</v>
      </c>
    </row>
    <row r="100" spans="1:9" ht="409.6" x14ac:dyDescent="0.15">
      <c r="A100" s="1" t="s">
        <v>9</v>
      </c>
      <c r="B100" s="5" t="s">
        <v>2031</v>
      </c>
      <c r="C100" s="1" t="s">
        <v>2032</v>
      </c>
      <c r="D100" s="1" t="s">
        <v>2033</v>
      </c>
      <c r="E100" s="1" t="s">
        <v>2034</v>
      </c>
      <c r="F100" s="1" t="s">
        <v>21</v>
      </c>
      <c r="G100" s="1">
        <v>2020</v>
      </c>
      <c r="H100" s="1" t="s">
        <v>2035</v>
      </c>
      <c r="I100" s="1" t="str">
        <f>HYPERLINK("http://dx.doi.org/10.1111/brv.12640","http://dx.doi.org/10.1111/brv.12640")</f>
        <v>http://dx.doi.org/10.1111/brv.12640</v>
      </c>
    </row>
    <row r="101" spans="1:9" ht="252" x14ac:dyDescent="0.15">
      <c r="A101" s="1" t="s">
        <v>9</v>
      </c>
      <c r="B101" s="5" t="s">
        <v>2182</v>
      </c>
      <c r="C101" s="1" t="s">
        <v>2183</v>
      </c>
      <c r="D101" s="1" t="s">
        <v>2184</v>
      </c>
      <c r="E101" s="1" t="s">
        <v>2185</v>
      </c>
      <c r="F101" s="1" t="s">
        <v>112</v>
      </c>
      <c r="G101" s="1">
        <v>2023</v>
      </c>
      <c r="H101" s="1" t="s">
        <v>2186</v>
      </c>
      <c r="I101" s="1" t="str">
        <f>HYPERLINK("http://dx.doi.org/10.3390/d15030346","http://dx.doi.org/10.3390/d15030346")</f>
        <v>http://dx.doi.org/10.3390/d15030346</v>
      </c>
    </row>
    <row r="102" spans="1:9" ht="238" x14ac:dyDescent="0.15">
      <c r="A102" s="1" t="s">
        <v>9</v>
      </c>
      <c r="B102" s="5" t="s">
        <v>2402</v>
      </c>
      <c r="C102" s="1" t="s">
        <v>2403</v>
      </c>
      <c r="D102" s="1" t="s">
        <v>2404</v>
      </c>
      <c r="E102" s="1" t="s">
        <v>2405</v>
      </c>
      <c r="F102" s="1" t="s">
        <v>33</v>
      </c>
      <c r="G102" s="1">
        <v>2008</v>
      </c>
      <c r="H102" s="1" t="s">
        <v>2406</v>
      </c>
      <c r="I102" s="1" t="str">
        <f>HYPERLINK("http://dx.doi.org/10.1111/j.1365-2761.2008.00922.x","http://dx.doi.org/10.1111/j.1365-2761.2008.00922.x")</f>
        <v>http://dx.doi.org/10.1111/j.1365-2761.2008.00922.x</v>
      </c>
    </row>
    <row r="103" spans="1:9" ht="196" x14ac:dyDescent="0.15">
      <c r="A103" s="1" t="s">
        <v>9</v>
      </c>
      <c r="B103" s="5" t="s">
        <v>247</v>
      </c>
      <c r="C103" s="1" t="s">
        <v>248</v>
      </c>
      <c r="D103" s="1" t="s">
        <v>249</v>
      </c>
      <c r="E103" s="1" t="s">
        <v>250</v>
      </c>
      <c r="F103" s="1" t="s">
        <v>251</v>
      </c>
      <c r="G103" s="1">
        <v>2025</v>
      </c>
      <c r="H103" s="1" t="s">
        <v>252</v>
      </c>
      <c r="I103" s="1" t="str">
        <f>HYPERLINK("http://dx.doi.org/10.1101/2025.03.27.645822","http://dx.doi.org/10.1101/2025.03.27.645822")</f>
        <v>http://dx.doi.org/10.1101/2025.03.27.645822</v>
      </c>
    </row>
    <row r="104" spans="1:9" ht="332" x14ac:dyDescent="0.15">
      <c r="A104" s="1" t="s">
        <v>9</v>
      </c>
      <c r="B104" s="5" t="s">
        <v>353</v>
      </c>
      <c r="C104" s="1" t="s">
        <v>354</v>
      </c>
      <c r="D104" s="1" t="s">
        <v>311</v>
      </c>
      <c r="E104" s="1" t="s">
        <v>355</v>
      </c>
      <c r="F104" s="1" t="s">
        <v>106</v>
      </c>
      <c r="G104" s="1">
        <v>2020</v>
      </c>
      <c r="H104" s="1" t="s">
        <v>356</v>
      </c>
      <c r="I104" s="1" t="str">
        <f>HYPERLINK("http://dx.doi.org/10.2983/035.039.0114","http://dx.doi.org/10.2983/035.039.0114")</f>
        <v>http://dx.doi.org/10.2983/035.039.0114</v>
      </c>
    </row>
    <row r="105" spans="1:9" ht="409.6" x14ac:dyDescent="0.15">
      <c r="A105" s="1" t="s">
        <v>9</v>
      </c>
      <c r="B105" s="5" t="s">
        <v>1098</v>
      </c>
      <c r="C105" s="1" t="s">
        <v>1099</v>
      </c>
      <c r="D105" s="1" t="s">
        <v>946</v>
      </c>
      <c r="E105" s="1" t="s">
        <v>1100</v>
      </c>
      <c r="F105" s="1" t="s">
        <v>56</v>
      </c>
      <c r="G105" s="1">
        <v>2021</v>
      </c>
      <c r="H105" s="1" t="s">
        <v>1101</v>
      </c>
      <c r="I105" s="1" t="str">
        <f>HYPERLINK("http://dx.doi.org/10.3390/biology10090866","http://dx.doi.org/10.3390/biology10090866")</f>
        <v>http://dx.doi.org/10.3390/biology10090866</v>
      </c>
    </row>
    <row r="106" spans="1:9" ht="238" x14ac:dyDescent="0.15">
      <c r="A106" s="1" t="s">
        <v>9</v>
      </c>
      <c r="B106" s="5" t="s">
        <v>1117</v>
      </c>
      <c r="C106" s="1" t="s">
        <v>1118</v>
      </c>
      <c r="D106" s="1" t="s">
        <v>1119</v>
      </c>
      <c r="E106" s="1" t="s">
        <v>1120</v>
      </c>
      <c r="F106" s="1" t="s">
        <v>122</v>
      </c>
      <c r="G106" s="1">
        <v>2009</v>
      </c>
      <c r="H106" s="1" t="s">
        <v>1121</v>
      </c>
      <c r="I106" s="1" t="str">
        <f>HYPERLINK("http://dx.doi.org/10.1038/mt.2009.74","http://dx.doi.org/10.1038/mt.2009.74")</f>
        <v>http://dx.doi.org/10.1038/mt.2009.74</v>
      </c>
    </row>
    <row r="107" spans="1:9" ht="224" x14ac:dyDescent="0.15">
      <c r="A107" s="1" t="s">
        <v>9</v>
      </c>
      <c r="B107" s="5" t="s">
        <v>2853</v>
      </c>
      <c r="C107" s="1" t="s">
        <v>2854</v>
      </c>
      <c r="D107" s="1" t="s">
        <v>2855</v>
      </c>
      <c r="E107" s="1" t="s">
        <v>2856</v>
      </c>
      <c r="F107" s="1" t="s">
        <v>411</v>
      </c>
      <c r="G107" s="1">
        <v>2011</v>
      </c>
      <c r="H107" s="1" t="s">
        <v>2857</v>
      </c>
      <c r="I107" s="1" t="str">
        <f>HYPERLINK("http://dx.doi.org/10.2741/3841","http://dx.doi.org/10.2741/3841")</f>
        <v>http://dx.doi.org/10.2741/3841</v>
      </c>
    </row>
    <row r="108" spans="1:9" ht="306" x14ac:dyDescent="0.15">
      <c r="A108" s="1" t="s">
        <v>9</v>
      </c>
      <c r="B108" s="5" t="s">
        <v>1727</v>
      </c>
      <c r="C108" s="1" t="s">
        <v>1728</v>
      </c>
      <c r="D108" s="1" t="s">
        <v>1729</v>
      </c>
      <c r="E108" s="1" t="s">
        <v>1730</v>
      </c>
      <c r="F108" s="1" t="s">
        <v>21</v>
      </c>
      <c r="G108" s="1">
        <v>2008</v>
      </c>
      <c r="H108" s="1" t="s">
        <v>1731</v>
      </c>
      <c r="I108" s="1" t="str">
        <f>HYPERLINK("http://dx.doi.org/10.1016/j.antiviral.2008.07.005","http://dx.doi.org/10.1016/j.antiviral.2008.07.005")</f>
        <v>http://dx.doi.org/10.1016/j.antiviral.2008.07.005</v>
      </c>
    </row>
    <row r="109" spans="1:9" ht="384" x14ac:dyDescent="0.15">
      <c r="A109" s="1" t="s">
        <v>9</v>
      </c>
      <c r="B109" s="5" t="s">
        <v>2619</v>
      </c>
      <c r="C109" s="1" t="s">
        <v>2620</v>
      </c>
      <c r="D109" s="1" t="s">
        <v>2621</v>
      </c>
      <c r="E109" s="1" t="s">
        <v>2622</v>
      </c>
      <c r="F109" s="1" t="s">
        <v>68</v>
      </c>
      <c r="G109" s="1">
        <v>2015</v>
      </c>
      <c r="H109" s="1" t="s">
        <v>2623</v>
      </c>
      <c r="I109" s="1" t="str">
        <f>HYPERLINK("http://dx.doi.org/10.1093/sysbio/syv011","http://dx.doi.org/10.1093/sysbio/syv011")</f>
        <v>http://dx.doi.org/10.1093/sysbio/syv011</v>
      </c>
    </row>
    <row r="110" spans="1:9" ht="293" x14ac:dyDescent="0.15">
      <c r="A110" s="1" t="s">
        <v>9</v>
      </c>
      <c r="B110" s="5" t="s">
        <v>2676</v>
      </c>
      <c r="C110" s="1" t="s">
        <v>2677</v>
      </c>
      <c r="D110" s="1" t="s">
        <v>1836</v>
      </c>
      <c r="E110" s="1" t="s">
        <v>2678</v>
      </c>
      <c r="F110" s="1" t="s">
        <v>21</v>
      </c>
      <c r="G110" s="1">
        <v>2021</v>
      </c>
      <c r="H110" s="1" t="s">
        <v>2679</v>
      </c>
      <c r="I110" s="1" t="str">
        <f>HYPERLINK("http://dx.doi.org/10.1177/11779322211046729","http://dx.doi.org/10.1177/11779322211046729")</f>
        <v>http://dx.doi.org/10.1177/11779322211046729</v>
      </c>
    </row>
    <row r="111" spans="1:9" ht="345" x14ac:dyDescent="0.15">
      <c r="A111" s="1" t="s">
        <v>9</v>
      </c>
      <c r="B111" s="5" t="s">
        <v>3522</v>
      </c>
      <c r="C111" s="1" t="s">
        <v>3523</v>
      </c>
      <c r="D111" s="1" t="s">
        <v>25</v>
      </c>
      <c r="E111" s="1" t="s">
        <v>3524</v>
      </c>
      <c r="F111" s="1" t="s">
        <v>2515</v>
      </c>
      <c r="G111" s="1">
        <v>2022</v>
      </c>
      <c r="H111" s="1" t="s">
        <v>3525</v>
      </c>
      <c r="I111" s="1" t="str">
        <f>HYPERLINK("http://dx.doi.org/10.1093/molbev/msac172","http://dx.doi.org/10.1093/molbev/msac172")</f>
        <v>http://dx.doi.org/10.1093/molbev/msac172</v>
      </c>
    </row>
    <row r="112" spans="1:9" ht="280" x14ac:dyDescent="0.15">
      <c r="A112" s="1" t="s">
        <v>9</v>
      </c>
      <c r="B112" s="5" t="s">
        <v>1040</v>
      </c>
      <c r="C112" s="1" t="s">
        <v>1041</v>
      </c>
      <c r="D112" s="1" t="s">
        <v>1042</v>
      </c>
      <c r="E112" s="1" t="s">
        <v>1043</v>
      </c>
      <c r="F112" s="1" t="s">
        <v>21</v>
      </c>
      <c r="G112" s="1">
        <v>2022</v>
      </c>
      <c r="H112" s="1" t="s">
        <v>1044</v>
      </c>
      <c r="I112" s="1" t="str">
        <f>HYPERLINK("http://dx.doi.org/10.1038/s41559-022-01906-9","http://dx.doi.org/10.1038/s41559-022-01906-9")</f>
        <v>http://dx.doi.org/10.1038/s41559-022-01906-9</v>
      </c>
    </row>
    <row r="113" spans="1:9" ht="266" x14ac:dyDescent="0.15">
      <c r="A113" s="1" t="s">
        <v>9</v>
      </c>
      <c r="B113" s="5" t="s">
        <v>2818</v>
      </c>
      <c r="C113" s="1" t="s">
        <v>2819</v>
      </c>
      <c r="D113" s="1" t="s">
        <v>1723</v>
      </c>
      <c r="E113" s="1" t="s">
        <v>2820</v>
      </c>
      <c r="F113" s="1" t="s">
        <v>2821</v>
      </c>
      <c r="G113" s="1">
        <v>2018</v>
      </c>
      <c r="H113" s="1" t="s">
        <v>2822</v>
      </c>
      <c r="I113" s="1" t="str">
        <f>HYPERLINK("http://dx.doi.org/10.3897/zookeys.783.26179","http://dx.doi.org/10.3897/zookeys.783.26179")</f>
        <v>http://dx.doi.org/10.3897/zookeys.783.26179</v>
      </c>
    </row>
    <row r="114" spans="1:9" ht="332" x14ac:dyDescent="0.15">
      <c r="A114" s="1" t="s">
        <v>9</v>
      </c>
      <c r="B114" s="5" t="s">
        <v>1274</v>
      </c>
      <c r="C114" s="1" t="s">
        <v>1275</v>
      </c>
      <c r="D114" s="1" t="s">
        <v>72</v>
      </c>
      <c r="E114" s="1" t="s">
        <v>1276</v>
      </c>
      <c r="F114" s="1" t="s">
        <v>1277</v>
      </c>
      <c r="G114" s="1">
        <v>2024</v>
      </c>
      <c r="H114" s="1" t="s">
        <v>1278</v>
      </c>
      <c r="I114" s="1" t="str">
        <f>HYPERLINK("http://dx.doi.org/10.7717/peerj.16932","http://dx.doi.org/10.7717/peerj.16932")</f>
        <v>http://dx.doi.org/10.7717/peerj.16932</v>
      </c>
    </row>
    <row r="115" spans="1:9" ht="409.6" x14ac:dyDescent="0.15">
      <c r="A115" s="1" t="s">
        <v>9</v>
      </c>
      <c r="B115" s="5" t="s">
        <v>3614</v>
      </c>
      <c r="C115" s="1" t="s">
        <v>3615</v>
      </c>
      <c r="D115" s="1" t="s">
        <v>792</v>
      </c>
      <c r="E115" s="1" t="s">
        <v>3616</v>
      </c>
      <c r="F115" s="1" t="s">
        <v>68</v>
      </c>
      <c r="G115" s="1">
        <v>2020</v>
      </c>
      <c r="H115" s="1" t="s">
        <v>3617</v>
      </c>
      <c r="I115" s="1" t="str">
        <f>HYPERLINK("http://dx.doi.org/10.1371/journal.pgen.1008949","http://dx.doi.org/10.1371/journal.pgen.1008949")</f>
        <v>http://dx.doi.org/10.1371/journal.pgen.1008949</v>
      </c>
    </row>
    <row r="116" spans="1:9" ht="371" x14ac:dyDescent="0.15">
      <c r="A116" s="1" t="s">
        <v>9</v>
      </c>
      <c r="B116" s="5" t="s">
        <v>3762</v>
      </c>
      <c r="C116" s="1" t="s">
        <v>3763</v>
      </c>
      <c r="D116" s="1" t="s">
        <v>1511</v>
      </c>
      <c r="E116" s="1" t="s">
        <v>3764</v>
      </c>
      <c r="F116" s="1" t="s">
        <v>106</v>
      </c>
      <c r="G116" s="1">
        <v>2013</v>
      </c>
      <c r="H116" s="1" t="s">
        <v>3765</v>
      </c>
      <c r="I116" s="1" t="str">
        <f>HYPERLINK("http://dx.doi.org/10.1016/j.ympev.2013.01.011","http://dx.doi.org/10.1016/j.ympev.2013.01.011")</f>
        <v>http://dx.doi.org/10.1016/j.ympev.2013.01.011</v>
      </c>
    </row>
    <row r="117" spans="1:9" ht="252" x14ac:dyDescent="0.15">
      <c r="A117" s="1" t="s">
        <v>9</v>
      </c>
      <c r="B117" s="5" t="s">
        <v>2500</v>
      </c>
      <c r="C117" s="1" t="s">
        <v>2501</v>
      </c>
      <c r="D117" s="1" t="s">
        <v>2502</v>
      </c>
      <c r="E117" s="1" t="s">
        <v>2503</v>
      </c>
      <c r="F117" s="1" t="s">
        <v>33</v>
      </c>
      <c r="G117" s="1">
        <v>2005</v>
      </c>
      <c r="H117" s="1" t="s">
        <v>11</v>
      </c>
      <c r="I117" s="1" t="s">
        <v>11</v>
      </c>
    </row>
    <row r="118" spans="1:9" ht="238" x14ac:dyDescent="0.15">
      <c r="A118" s="1" t="s">
        <v>9</v>
      </c>
      <c r="B118" s="5" t="s">
        <v>656</v>
      </c>
      <c r="C118" s="1" t="s">
        <v>657</v>
      </c>
      <c r="D118" s="1" t="s">
        <v>281</v>
      </c>
      <c r="E118" s="1" t="s">
        <v>658</v>
      </c>
      <c r="F118" s="1" t="s">
        <v>138</v>
      </c>
      <c r="G118" s="1">
        <v>2019</v>
      </c>
      <c r="H118" s="1" t="s">
        <v>659</v>
      </c>
      <c r="I118" s="1" t="str">
        <f>HYPERLINK("http://dx.doi.org/10.1016/j.chemosphere.2018.10.137","http://dx.doi.org/10.1016/j.chemosphere.2018.10.137")</f>
        <v>http://dx.doi.org/10.1016/j.chemosphere.2018.10.137</v>
      </c>
    </row>
    <row r="119" spans="1:9" ht="280" x14ac:dyDescent="0.15">
      <c r="A119" s="1" t="s">
        <v>9</v>
      </c>
      <c r="B119" s="5" t="s">
        <v>103</v>
      </c>
      <c r="C119" s="1" t="s">
        <v>104</v>
      </c>
      <c r="D119" s="1" t="s">
        <v>54</v>
      </c>
      <c r="E119" s="1" t="s">
        <v>105</v>
      </c>
      <c r="F119" s="1" t="s">
        <v>106</v>
      </c>
      <c r="G119" s="1">
        <v>2016</v>
      </c>
      <c r="H119" s="1" t="s">
        <v>107</v>
      </c>
      <c r="I119" s="1" t="str">
        <f>HYPERLINK("http://dx.doi.org/10.1111/mec.13414","http://dx.doi.org/10.1111/mec.13414")</f>
        <v>http://dx.doi.org/10.1111/mec.13414</v>
      </c>
    </row>
    <row r="120" spans="1:9" ht="266" x14ac:dyDescent="0.15">
      <c r="A120" s="1" t="s">
        <v>9</v>
      </c>
      <c r="B120" s="5" t="s">
        <v>2629</v>
      </c>
      <c r="C120" s="1" t="s">
        <v>2630</v>
      </c>
      <c r="D120" s="1" t="s">
        <v>48</v>
      </c>
      <c r="E120" s="1" t="s">
        <v>2631</v>
      </c>
      <c r="F120" s="1" t="s">
        <v>2632</v>
      </c>
      <c r="G120" s="1">
        <v>2012</v>
      </c>
      <c r="H120" s="1" t="s">
        <v>2633</v>
      </c>
      <c r="I120" s="1" t="str">
        <f>HYPERLINK("http://dx.doi.org/10.1186/1471-2164-13-S3-S3","http://dx.doi.org/10.1186/1471-2164-13-S3-S3")</f>
        <v>http://dx.doi.org/10.1186/1471-2164-13-S3-S3</v>
      </c>
    </row>
    <row r="121" spans="1:9" ht="210" x14ac:dyDescent="0.15">
      <c r="A121" s="1" t="s">
        <v>9</v>
      </c>
      <c r="B121" s="5" t="s">
        <v>3975</v>
      </c>
      <c r="C121" s="1" t="s">
        <v>3976</v>
      </c>
      <c r="D121" s="1" t="s">
        <v>3977</v>
      </c>
      <c r="E121" s="1" t="s">
        <v>3978</v>
      </c>
      <c r="F121" s="1" t="s">
        <v>3973</v>
      </c>
      <c r="G121" s="1">
        <v>2005</v>
      </c>
      <c r="H121" s="1" t="s">
        <v>3979</v>
      </c>
      <c r="I121" s="1" t="str">
        <f>HYPERLINK("http://dx.doi.org/10.1016/j.molcel.2004.12.022","http://dx.doi.org/10.1016/j.molcel.2004.12.022")</f>
        <v>http://dx.doi.org/10.1016/j.molcel.2004.12.022</v>
      </c>
    </row>
    <row r="122" spans="1:9" ht="252" x14ac:dyDescent="0.15">
      <c r="A122" s="1" t="s">
        <v>9</v>
      </c>
      <c r="B122" s="5" t="s">
        <v>134</v>
      </c>
      <c r="C122" s="1" t="s">
        <v>135</v>
      </c>
      <c r="D122" s="1" t="s">
        <v>136</v>
      </c>
      <c r="E122" s="1" t="s">
        <v>137</v>
      </c>
      <c r="F122" s="1" t="s">
        <v>138</v>
      </c>
      <c r="G122" s="1">
        <v>2021</v>
      </c>
      <c r="H122" s="1" t="s">
        <v>139</v>
      </c>
      <c r="I122" s="1" t="str">
        <f>HYPERLINK("http://dx.doi.org/10.1111/1755-0998.13282","http://dx.doi.org/10.1111/1755-0998.13282")</f>
        <v>http://dx.doi.org/10.1111/1755-0998.13282</v>
      </c>
    </row>
    <row r="123" spans="1:9" ht="332" x14ac:dyDescent="0.15">
      <c r="A123" s="1" t="s">
        <v>9</v>
      </c>
      <c r="B123" s="5" t="s">
        <v>1531</v>
      </c>
      <c r="C123" s="1" t="s">
        <v>1532</v>
      </c>
      <c r="D123" s="1" t="s">
        <v>339</v>
      </c>
      <c r="E123" s="1" t="s">
        <v>1533</v>
      </c>
      <c r="F123" s="1" t="s">
        <v>106</v>
      </c>
      <c r="G123" s="1">
        <v>2023</v>
      </c>
      <c r="H123" s="1" t="s">
        <v>1534</v>
      </c>
      <c r="I123" s="1" t="str">
        <f>HYPERLINK("http://dx.doi.org/10.1007/s00227-023-04183-7","http://dx.doi.org/10.1007/s00227-023-04183-7")</f>
        <v>http://dx.doi.org/10.1007/s00227-023-04183-7</v>
      </c>
    </row>
    <row r="124" spans="1:9" ht="196" x14ac:dyDescent="0.15">
      <c r="A124" s="1" t="s">
        <v>9</v>
      </c>
      <c r="B124" s="5" t="s">
        <v>3453</v>
      </c>
      <c r="C124" s="1" t="s">
        <v>3454</v>
      </c>
      <c r="D124" s="1" t="s">
        <v>3455</v>
      </c>
      <c r="E124" s="1" t="s">
        <v>3456</v>
      </c>
      <c r="F124" s="1" t="s">
        <v>3457</v>
      </c>
      <c r="G124" s="1">
        <v>2023</v>
      </c>
      <c r="H124" s="1" t="s">
        <v>3458</v>
      </c>
      <c r="I124" s="1" t="str">
        <f>HYPERLINK("http://dx.doi.org/10.1039/d2sc05568f","http://dx.doi.org/10.1039/d2sc05568f")</f>
        <v>http://dx.doi.org/10.1039/d2sc05568f</v>
      </c>
    </row>
    <row r="125" spans="1:9" ht="252" x14ac:dyDescent="0.15">
      <c r="A125" s="1" t="s">
        <v>9</v>
      </c>
      <c r="B125" s="5" t="s">
        <v>3542</v>
      </c>
      <c r="C125" s="1" t="s">
        <v>3543</v>
      </c>
      <c r="D125" s="1" t="s">
        <v>225</v>
      </c>
      <c r="E125" s="1" t="s">
        <v>3544</v>
      </c>
      <c r="F125" s="1" t="s">
        <v>346</v>
      </c>
      <c r="G125" s="1">
        <v>2024</v>
      </c>
      <c r="H125" s="1" t="s">
        <v>3545</v>
      </c>
      <c r="I125" s="1" t="str">
        <f>HYPERLINK("http://dx.doi.org/10.1093/mollus/eyad027","http://dx.doi.org/10.1093/mollus/eyad027")</f>
        <v>http://dx.doi.org/10.1093/mollus/eyad027</v>
      </c>
    </row>
    <row r="126" spans="1:9" ht="319" x14ac:dyDescent="0.15">
      <c r="A126" s="1" t="s">
        <v>9</v>
      </c>
      <c r="B126" s="5" t="s">
        <v>820</v>
      </c>
      <c r="C126" s="1" t="s">
        <v>821</v>
      </c>
      <c r="D126" s="1" t="s">
        <v>54</v>
      </c>
      <c r="E126" s="1" t="s">
        <v>822</v>
      </c>
      <c r="F126" s="1" t="s">
        <v>21</v>
      </c>
      <c r="G126" s="1">
        <v>2020</v>
      </c>
      <c r="H126" s="1" t="s">
        <v>823</v>
      </c>
      <c r="I126" s="1" t="str">
        <f>HYPERLINK("http://dx.doi.org/10.1111/mec.15565","http://dx.doi.org/10.1111/mec.15565")</f>
        <v>http://dx.doi.org/10.1111/mec.15565</v>
      </c>
    </row>
    <row r="127" spans="1:9" ht="409.6" x14ac:dyDescent="0.15">
      <c r="A127" s="1" t="s">
        <v>9</v>
      </c>
      <c r="B127" s="5" t="s">
        <v>3949</v>
      </c>
      <c r="C127" s="1" t="s">
        <v>3950</v>
      </c>
      <c r="D127" s="1" t="s">
        <v>225</v>
      </c>
      <c r="E127" s="1" t="s">
        <v>3951</v>
      </c>
      <c r="F127" s="1" t="s">
        <v>209</v>
      </c>
      <c r="G127" s="1">
        <v>2018</v>
      </c>
      <c r="H127" s="1" t="s">
        <v>3952</v>
      </c>
      <c r="I127" s="1" t="str">
        <f>HYPERLINK("http://dx.doi.org/10.1093/mollus/eyy044","http://dx.doi.org/10.1093/mollus/eyy044")</f>
        <v>http://dx.doi.org/10.1093/mollus/eyy044</v>
      </c>
    </row>
    <row r="128" spans="1:9" ht="293" x14ac:dyDescent="0.15">
      <c r="A128" s="1" t="s">
        <v>9</v>
      </c>
      <c r="B128" s="5" t="s">
        <v>1930</v>
      </c>
      <c r="C128" s="1" t="s">
        <v>1931</v>
      </c>
      <c r="D128" s="1" t="s">
        <v>1932</v>
      </c>
      <c r="E128" s="1" t="s">
        <v>1933</v>
      </c>
      <c r="F128" s="1" t="s">
        <v>1934</v>
      </c>
      <c r="G128" s="1">
        <v>2020</v>
      </c>
      <c r="H128" s="1" t="s">
        <v>1935</v>
      </c>
      <c r="I128" s="1" t="str">
        <f>HYPERLINK("http://dx.doi.org/10.3389/fcimb.2020.00217","http://dx.doi.org/10.3389/fcimb.2020.00217")</f>
        <v>http://dx.doi.org/10.3389/fcimb.2020.00217</v>
      </c>
    </row>
    <row r="129" spans="1:9" ht="371" x14ac:dyDescent="0.15">
      <c r="A129" s="1" t="s">
        <v>9</v>
      </c>
      <c r="B129" s="5" t="s">
        <v>2973</v>
      </c>
      <c r="C129" s="1" t="s">
        <v>2974</v>
      </c>
      <c r="D129" s="1" t="s">
        <v>48</v>
      </c>
      <c r="E129" s="1" t="s">
        <v>2975</v>
      </c>
      <c r="F129" s="1" t="s">
        <v>2887</v>
      </c>
      <c r="G129" s="1">
        <v>2013</v>
      </c>
      <c r="H129" s="1" t="s">
        <v>2976</v>
      </c>
      <c r="I129" s="1" t="str">
        <f>HYPERLINK("http://dx.doi.org/10.1186/1471-2164-14-509","http://dx.doi.org/10.1186/1471-2164-14-509")</f>
        <v>http://dx.doi.org/10.1186/1471-2164-14-509</v>
      </c>
    </row>
    <row r="130" spans="1:9" ht="154" x14ac:dyDescent="0.15">
      <c r="A130" s="1" t="s">
        <v>9</v>
      </c>
      <c r="B130" s="5" t="s">
        <v>1526</v>
      </c>
      <c r="C130" s="1" t="s">
        <v>1527</v>
      </c>
      <c r="D130" s="1" t="s">
        <v>421</v>
      </c>
      <c r="E130" s="1" t="s">
        <v>1528</v>
      </c>
      <c r="F130" s="1" t="s">
        <v>1529</v>
      </c>
      <c r="G130" s="1">
        <v>2002</v>
      </c>
      <c r="H130" s="1" t="s">
        <v>1530</v>
      </c>
      <c r="I130" s="1" t="str">
        <f>HYPERLINK("http://dx.doi.org/10.1002/ijc.10609","http://dx.doi.org/10.1002/ijc.10609")</f>
        <v>http://dx.doi.org/10.1002/ijc.10609</v>
      </c>
    </row>
    <row r="131" spans="1:9" ht="306" x14ac:dyDescent="0.15">
      <c r="A131" s="1" t="s">
        <v>9</v>
      </c>
      <c r="B131" s="5" t="s">
        <v>3172</v>
      </c>
      <c r="C131" s="1" t="s">
        <v>3173</v>
      </c>
      <c r="D131" s="1" t="s">
        <v>894</v>
      </c>
      <c r="E131" s="1" t="s">
        <v>3174</v>
      </c>
      <c r="F131" s="1" t="s">
        <v>3175</v>
      </c>
      <c r="G131" s="1">
        <v>2009</v>
      </c>
      <c r="H131" s="1" t="s">
        <v>3176</v>
      </c>
      <c r="I131" s="1" t="str">
        <f>HYPERLINK("http://dx.doi.org/10.1016/j.margen.2009.11.001","http://dx.doi.org/10.1016/j.margen.2009.11.001")</f>
        <v>http://dx.doi.org/10.1016/j.margen.2009.11.001</v>
      </c>
    </row>
    <row r="132" spans="1:9" ht="306" x14ac:dyDescent="0.15">
      <c r="A132" s="1" t="s">
        <v>15</v>
      </c>
      <c r="B132" s="5" t="s">
        <v>2004</v>
      </c>
      <c r="C132" s="1" t="s">
        <v>2005</v>
      </c>
      <c r="D132" s="1" t="s">
        <v>2006</v>
      </c>
      <c r="E132" s="1" t="s">
        <v>2007</v>
      </c>
      <c r="F132" s="1" t="s">
        <v>11</v>
      </c>
      <c r="G132" s="1">
        <v>2017</v>
      </c>
      <c r="H132" s="1" t="s">
        <v>2008</v>
      </c>
      <c r="I132" s="1" t="str">
        <f>HYPERLINK("http://dx.doi.org/10.1007/978-3-319-52945-5_1","http://dx.doi.org/10.1007/978-3-319-52945-5_1")</f>
        <v>http://dx.doi.org/10.1007/978-3-319-52945-5_1</v>
      </c>
    </row>
    <row r="133" spans="1:9" ht="319" x14ac:dyDescent="0.15">
      <c r="A133" s="1" t="s">
        <v>9</v>
      </c>
      <c r="B133" s="5" t="s">
        <v>3156</v>
      </c>
      <c r="C133" s="1" t="s">
        <v>3157</v>
      </c>
      <c r="D133" s="1" t="s">
        <v>281</v>
      </c>
      <c r="E133" s="1" t="s">
        <v>3158</v>
      </c>
      <c r="F133" s="1" t="s">
        <v>96</v>
      </c>
      <c r="G133" s="1">
        <v>2019</v>
      </c>
      <c r="H133" s="1" t="s">
        <v>3159</v>
      </c>
      <c r="I133" s="1" t="str">
        <f>HYPERLINK("http://dx.doi.org/10.1016/j.chemosphere.2019.05.196","http://dx.doi.org/10.1016/j.chemosphere.2019.05.196")</f>
        <v>http://dx.doi.org/10.1016/j.chemosphere.2019.05.196</v>
      </c>
    </row>
    <row r="134" spans="1:9" ht="252" x14ac:dyDescent="0.15">
      <c r="A134" s="1" t="s">
        <v>9</v>
      </c>
      <c r="B134" s="5" t="s">
        <v>3356</v>
      </c>
      <c r="C134" s="1" t="s">
        <v>3357</v>
      </c>
      <c r="D134" s="1" t="s">
        <v>3358</v>
      </c>
      <c r="E134" s="1" t="s">
        <v>3359</v>
      </c>
      <c r="F134" s="1" t="s">
        <v>550</v>
      </c>
      <c r="G134" s="1">
        <v>2002</v>
      </c>
      <c r="H134" s="1" t="s">
        <v>11</v>
      </c>
      <c r="I134" s="1" t="s">
        <v>11</v>
      </c>
    </row>
    <row r="135" spans="1:9" ht="196" x14ac:dyDescent="0.15">
      <c r="A135" s="1" t="s">
        <v>9</v>
      </c>
      <c r="B135" s="5" t="s">
        <v>174</v>
      </c>
      <c r="C135" s="1" t="s">
        <v>175</v>
      </c>
      <c r="D135" s="1" t="s">
        <v>25</v>
      </c>
      <c r="E135" s="1" t="s">
        <v>176</v>
      </c>
      <c r="F135" s="1" t="s">
        <v>122</v>
      </c>
      <c r="G135" s="1">
        <v>2008</v>
      </c>
      <c r="H135" s="1" t="s">
        <v>177</v>
      </c>
      <c r="I135" s="1" t="str">
        <f>HYPERLINK("http://dx.doi.org/10.1093/molbev/msn110","http://dx.doi.org/10.1093/molbev/msn110")</f>
        <v>http://dx.doi.org/10.1093/molbev/msn110</v>
      </c>
    </row>
    <row r="136" spans="1:9" ht="409.6" x14ac:dyDescent="0.15">
      <c r="A136" s="1" t="s">
        <v>9</v>
      </c>
      <c r="B136" s="5" t="s">
        <v>1151</v>
      </c>
      <c r="C136" s="1" t="s">
        <v>1152</v>
      </c>
      <c r="D136" s="1" t="s">
        <v>48</v>
      </c>
      <c r="E136" s="1" t="s">
        <v>1153</v>
      </c>
      <c r="F136" s="1" t="s">
        <v>1154</v>
      </c>
      <c r="G136" s="1">
        <v>2009</v>
      </c>
      <c r="H136" s="1" t="s">
        <v>1155</v>
      </c>
      <c r="I136" s="1" t="str">
        <f>HYPERLINK("http://dx.doi.org/10.1186/1471-2164-10-58","http://dx.doi.org/10.1186/1471-2164-10-58")</f>
        <v>http://dx.doi.org/10.1186/1471-2164-10-58</v>
      </c>
    </row>
    <row r="137" spans="1:9" ht="196" x14ac:dyDescent="0.15">
      <c r="A137" s="1" t="s">
        <v>9</v>
      </c>
      <c r="B137" s="5" t="s">
        <v>2168</v>
      </c>
      <c r="C137" s="1" t="s">
        <v>2169</v>
      </c>
      <c r="D137" s="1" t="s">
        <v>2170</v>
      </c>
      <c r="E137" s="1" t="s">
        <v>2171</v>
      </c>
      <c r="F137" s="1" t="s">
        <v>2172</v>
      </c>
      <c r="G137" s="1">
        <v>2023</v>
      </c>
      <c r="H137" s="1" t="s">
        <v>2173</v>
      </c>
      <c r="I137" s="1" t="str">
        <f>HYPERLINK("http://dx.doi.org/10.3389/fphar.2023.1119620","http://dx.doi.org/10.3389/fphar.2023.1119620")</f>
        <v>http://dx.doi.org/10.3389/fphar.2023.1119620</v>
      </c>
    </row>
    <row r="138" spans="1:9" ht="384" x14ac:dyDescent="0.15">
      <c r="A138" s="1" t="s">
        <v>9</v>
      </c>
      <c r="B138" s="5" t="s">
        <v>1922</v>
      </c>
      <c r="C138" s="1" t="s">
        <v>1923</v>
      </c>
      <c r="D138" s="1" t="s">
        <v>918</v>
      </c>
      <c r="E138" s="1" t="s">
        <v>1924</v>
      </c>
      <c r="F138" s="1" t="s">
        <v>11</v>
      </c>
      <c r="G138" s="1">
        <v>2005</v>
      </c>
      <c r="H138" s="1" t="s">
        <v>1925</v>
      </c>
      <c r="I138" s="1" t="str">
        <f>HYPERLINK("http://dx.doi.org/10.1016/j.dci.2005.03.011","http://dx.doi.org/10.1016/j.dci.2005.03.011")</f>
        <v>http://dx.doi.org/10.1016/j.dci.2005.03.011</v>
      </c>
    </row>
    <row r="139" spans="1:9" ht="409.6" x14ac:dyDescent="0.15">
      <c r="A139" s="1" t="s">
        <v>9</v>
      </c>
      <c r="B139" s="5" t="s">
        <v>3678</v>
      </c>
      <c r="C139" s="1" t="s">
        <v>3679</v>
      </c>
      <c r="D139" s="1" t="s">
        <v>3680</v>
      </c>
      <c r="E139" s="1" t="s">
        <v>3681</v>
      </c>
      <c r="F139" s="1" t="s">
        <v>2279</v>
      </c>
      <c r="G139" s="1">
        <v>2022</v>
      </c>
      <c r="H139" s="1" t="s">
        <v>3682</v>
      </c>
      <c r="I139" s="1" t="str">
        <f>HYPERLINK("http://dx.doi.org/10.1186/s12933-022-01517-5","http://dx.doi.org/10.1186/s12933-022-01517-5")</f>
        <v>http://dx.doi.org/10.1186/s12933-022-01517-5</v>
      </c>
    </row>
    <row r="140" spans="1:9" ht="409.6" x14ac:dyDescent="0.15">
      <c r="A140" s="1" t="s">
        <v>9</v>
      </c>
      <c r="B140" s="5" t="s">
        <v>911</v>
      </c>
      <c r="C140" s="1" t="s">
        <v>912</v>
      </c>
      <c r="D140" s="1" t="s">
        <v>913</v>
      </c>
      <c r="E140" s="1" t="s">
        <v>914</v>
      </c>
      <c r="F140" s="1" t="s">
        <v>56</v>
      </c>
      <c r="G140" s="1">
        <v>2024</v>
      </c>
      <c r="H140" s="1" t="s">
        <v>915</v>
      </c>
      <c r="I140" s="1" t="str">
        <f>HYPERLINK("http://dx.doi.org/10.3390/jox14030069","http://dx.doi.org/10.3390/jox14030069")</f>
        <v>http://dx.doi.org/10.3390/jox14030069</v>
      </c>
    </row>
    <row r="141" spans="1:9" ht="238" x14ac:dyDescent="0.15">
      <c r="A141" s="1" t="s">
        <v>9</v>
      </c>
      <c r="B141" s="5" t="s">
        <v>3011</v>
      </c>
      <c r="C141" s="1" t="s">
        <v>3012</v>
      </c>
      <c r="D141" s="1" t="s">
        <v>951</v>
      </c>
      <c r="E141" s="1" t="s">
        <v>3013</v>
      </c>
      <c r="F141" s="1" t="s">
        <v>209</v>
      </c>
      <c r="G141" s="1">
        <v>2022</v>
      </c>
      <c r="H141" s="1" t="s">
        <v>3014</v>
      </c>
      <c r="I141" s="1" t="str">
        <f>HYPERLINK("http://dx.doi.org/10.3390/ijms232112790","http://dx.doi.org/10.3390/ijms232112790")</f>
        <v>http://dx.doi.org/10.3390/ijms232112790</v>
      </c>
    </row>
    <row r="142" spans="1:9" ht="252" x14ac:dyDescent="0.15">
      <c r="A142" s="1" t="s">
        <v>9</v>
      </c>
      <c r="B142" s="5" t="s">
        <v>3740</v>
      </c>
      <c r="C142" s="1" t="s">
        <v>3741</v>
      </c>
      <c r="D142" s="1" t="s">
        <v>225</v>
      </c>
      <c r="E142" s="1" t="s">
        <v>3742</v>
      </c>
      <c r="F142" s="1" t="s">
        <v>112</v>
      </c>
      <c r="G142" s="1">
        <v>2021</v>
      </c>
      <c r="H142" s="1" t="s">
        <v>3743</v>
      </c>
      <c r="I142" s="1" t="str">
        <f>HYPERLINK("http://dx.doi.org/10.1093/mollus/eyaa031","http://dx.doi.org/10.1093/mollus/eyaa031")</f>
        <v>http://dx.doi.org/10.1093/mollus/eyaa031</v>
      </c>
    </row>
    <row r="143" spans="1:9" ht="306" x14ac:dyDescent="0.15">
      <c r="A143" s="1" t="s">
        <v>9</v>
      </c>
      <c r="B143" s="5" t="s">
        <v>3121</v>
      </c>
      <c r="C143" s="1" t="s">
        <v>3122</v>
      </c>
      <c r="D143" s="1" t="s">
        <v>321</v>
      </c>
      <c r="E143" s="1" t="s">
        <v>3123</v>
      </c>
      <c r="F143" s="1" t="s">
        <v>86</v>
      </c>
      <c r="G143" s="1">
        <v>2020</v>
      </c>
      <c r="H143" s="1" t="s">
        <v>3124</v>
      </c>
      <c r="I143" s="1" t="str">
        <f>HYPERLINK("http://dx.doi.org/10.1371/journal.pone.0228062","http://dx.doi.org/10.1371/journal.pone.0228062")</f>
        <v>http://dx.doi.org/10.1371/journal.pone.0228062</v>
      </c>
    </row>
    <row r="144" spans="1:9" ht="306" x14ac:dyDescent="0.15">
      <c r="A144" s="1" t="s">
        <v>9</v>
      </c>
      <c r="B144" s="5" t="s">
        <v>1940</v>
      </c>
      <c r="C144" s="1" t="s">
        <v>1941</v>
      </c>
      <c r="D144" s="1" t="s">
        <v>1458</v>
      </c>
      <c r="E144" s="1" t="s">
        <v>1942</v>
      </c>
      <c r="F144" s="1" t="s">
        <v>1943</v>
      </c>
      <c r="G144" s="1">
        <v>2010</v>
      </c>
      <c r="H144" s="1" t="s">
        <v>1944</v>
      </c>
      <c r="I144" s="1" t="str">
        <f>HYPERLINK("http://dx.doi.org/10.1073/pnas.1007615107","http://dx.doi.org/10.1073/pnas.1007615107")</f>
        <v>http://dx.doi.org/10.1073/pnas.1007615107</v>
      </c>
    </row>
    <row r="145" spans="1:9" ht="210" x14ac:dyDescent="0.15">
      <c r="A145" s="1" t="s">
        <v>9</v>
      </c>
      <c r="B145" s="5" t="s">
        <v>705</v>
      </c>
      <c r="C145" s="1" t="s">
        <v>706</v>
      </c>
      <c r="D145" s="1" t="s">
        <v>662</v>
      </c>
      <c r="E145" s="1" t="s">
        <v>707</v>
      </c>
      <c r="F145" s="1" t="s">
        <v>21</v>
      </c>
      <c r="G145" s="1">
        <v>2018</v>
      </c>
      <c r="H145" s="1" t="s">
        <v>708</v>
      </c>
      <c r="I145" s="1" t="str">
        <f>HYPERLINK("http://dx.doi.org/10.3390/md16120518","http://dx.doi.org/10.3390/md16120518")</f>
        <v>http://dx.doi.org/10.3390/md16120518</v>
      </c>
    </row>
    <row r="146" spans="1:9" ht="293" x14ac:dyDescent="0.15">
      <c r="A146" s="1" t="s">
        <v>9</v>
      </c>
      <c r="B146" s="5" t="s">
        <v>804</v>
      </c>
      <c r="C146" s="1" t="s">
        <v>805</v>
      </c>
      <c r="D146" s="1" t="s">
        <v>806</v>
      </c>
      <c r="E146" s="1" t="s">
        <v>807</v>
      </c>
      <c r="F146" s="1" t="s">
        <v>808</v>
      </c>
      <c r="G146" s="1">
        <v>2016</v>
      </c>
      <c r="H146" s="1" t="s">
        <v>809</v>
      </c>
      <c r="I146" s="1" t="str">
        <f>HYPERLINK("http://dx.doi.org/10.18632/oncotarget.8210","http://dx.doi.org/10.18632/oncotarget.8210")</f>
        <v>http://dx.doi.org/10.18632/oncotarget.8210</v>
      </c>
    </row>
    <row r="147" spans="1:9" ht="319" x14ac:dyDescent="0.15">
      <c r="A147" s="1" t="s">
        <v>9</v>
      </c>
      <c r="B147" s="5" t="s">
        <v>3908</v>
      </c>
      <c r="C147" s="1" t="s">
        <v>3909</v>
      </c>
      <c r="D147" s="1" t="s">
        <v>3910</v>
      </c>
      <c r="E147" s="1" t="s">
        <v>3911</v>
      </c>
      <c r="F147" s="1" t="s">
        <v>68</v>
      </c>
      <c r="G147" s="1">
        <v>2006</v>
      </c>
      <c r="H147" s="1" t="s">
        <v>3912</v>
      </c>
      <c r="I147" s="1" t="str">
        <f>HYPERLINK("http://dx.doi.org/10.1534/genetics.106.058719","http://dx.doi.org/10.1534/genetics.106.058719")</f>
        <v>http://dx.doi.org/10.1534/genetics.106.058719</v>
      </c>
    </row>
    <row r="148" spans="1:9" ht="196" x14ac:dyDescent="0.15">
      <c r="A148" s="1" t="s">
        <v>9</v>
      </c>
      <c r="B148" s="5" t="s">
        <v>501</v>
      </c>
      <c r="C148" s="1" t="s">
        <v>502</v>
      </c>
      <c r="D148" s="1" t="s">
        <v>503</v>
      </c>
      <c r="E148" s="1" t="s">
        <v>504</v>
      </c>
      <c r="F148" s="1" t="s">
        <v>33</v>
      </c>
      <c r="G148" s="1">
        <v>2016</v>
      </c>
      <c r="H148" s="1" t="s">
        <v>505</v>
      </c>
      <c r="I148" s="1" t="str">
        <f>HYPERLINK("http://dx.doi.org/10.1007/s00359-016-1086-z","http://dx.doi.org/10.1007/s00359-016-1086-z")</f>
        <v>http://dx.doi.org/10.1007/s00359-016-1086-z</v>
      </c>
    </row>
    <row r="149" spans="1:9" ht="98" x14ac:dyDescent="0.15">
      <c r="A149" s="1" t="s">
        <v>608</v>
      </c>
      <c r="B149" s="5" t="s">
        <v>2394</v>
      </c>
      <c r="C149" s="1" t="s">
        <v>2395</v>
      </c>
      <c r="D149" s="1" t="s">
        <v>2396</v>
      </c>
      <c r="E149" s="1" t="s">
        <v>11</v>
      </c>
      <c r="F149" s="1" t="s">
        <v>11</v>
      </c>
      <c r="G149" s="1">
        <v>2015</v>
      </c>
      <c r="H149" s="1" t="s">
        <v>11</v>
      </c>
      <c r="I149" s="1" t="s">
        <v>11</v>
      </c>
    </row>
    <row r="150" spans="1:9" ht="358" x14ac:dyDescent="0.15">
      <c r="A150" s="1" t="s">
        <v>9</v>
      </c>
      <c r="B150" s="5" t="s">
        <v>1687</v>
      </c>
      <c r="C150" s="1" t="s">
        <v>1688</v>
      </c>
      <c r="D150" s="1" t="s">
        <v>595</v>
      </c>
      <c r="E150" s="1" t="s">
        <v>1689</v>
      </c>
      <c r="F150" s="1" t="s">
        <v>1690</v>
      </c>
      <c r="G150" s="1">
        <v>2024</v>
      </c>
      <c r="H150" s="1" t="s">
        <v>1691</v>
      </c>
      <c r="I150" s="1" t="str">
        <f>HYPERLINK("http://dx.doi.org/10.1186/s12859-024-05668-y","http://dx.doi.org/10.1186/s12859-024-05668-y")</f>
        <v>http://dx.doi.org/10.1186/s12859-024-05668-y</v>
      </c>
    </row>
    <row r="151" spans="1:9" ht="238" x14ac:dyDescent="0.15">
      <c r="A151" s="1" t="s">
        <v>9</v>
      </c>
      <c r="B151" s="5" t="s">
        <v>2091</v>
      </c>
      <c r="C151" s="1" t="s">
        <v>2092</v>
      </c>
      <c r="D151" s="1" t="s">
        <v>1786</v>
      </c>
      <c r="E151" s="1" t="s">
        <v>2093</v>
      </c>
      <c r="F151" s="1" t="s">
        <v>2094</v>
      </c>
      <c r="G151" s="1">
        <v>2023</v>
      </c>
      <c r="H151" s="1" t="s">
        <v>2095</v>
      </c>
      <c r="I151" s="1" t="str">
        <f>HYPERLINK("http://dx.doi.org/10.11646/zootaxa.5387.1.1","http://dx.doi.org/10.11646/zootaxa.5387.1.1")</f>
        <v>http://dx.doi.org/10.11646/zootaxa.5387.1.1</v>
      </c>
    </row>
    <row r="152" spans="1:9" ht="332" x14ac:dyDescent="0.15">
      <c r="A152" s="1" t="s">
        <v>9</v>
      </c>
      <c r="B152" s="5" t="s">
        <v>743</v>
      </c>
      <c r="C152" s="1" t="s">
        <v>744</v>
      </c>
      <c r="D152" s="1" t="s">
        <v>78</v>
      </c>
      <c r="E152" s="1" t="s">
        <v>745</v>
      </c>
      <c r="F152" s="1" t="s">
        <v>11</v>
      </c>
      <c r="G152" s="1">
        <v>2016</v>
      </c>
      <c r="H152" s="1" t="s">
        <v>746</v>
      </c>
      <c r="I152" s="1" t="str">
        <f>HYPERLINK("http://dx.doi.org/10.3389/fmars.2016.00148","http://dx.doi.org/10.3389/fmars.2016.00148")</f>
        <v>http://dx.doi.org/10.3389/fmars.2016.00148</v>
      </c>
    </row>
    <row r="153" spans="1:9" ht="319" x14ac:dyDescent="0.15">
      <c r="A153" s="1" t="s">
        <v>9</v>
      </c>
      <c r="B153" s="5" t="s">
        <v>3477</v>
      </c>
      <c r="C153" s="1" t="s">
        <v>3478</v>
      </c>
      <c r="D153" s="1" t="s">
        <v>3479</v>
      </c>
      <c r="E153" s="1" t="s">
        <v>3480</v>
      </c>
      <c r="F153" s="1" t="s">
        <v>221</v>
      </c>
      <c r="G153" s="1">
        <v>2021</v>
      </c>
      <c r="H153" s="1" t="s">
        <v>3481</v>
      </c>
      <c r="I153" s="1" t="str">
        <f>HYPERLINK("http://dx.doi.org/10.1093/g3journal/jkaa025","http://dx.doi.org/10.1093/g3journal/jkaa025")</f>
        <v>http://dx.doi.org/10.1093/g3journal/jkaa025</v>
      </c>
    </row>
    <row r="154" spans="1:9" ht="252" x14ac:dyDescent="0.15">
      <c r="A154" s="1" t="s">
        <v>9</v>
      </c>
      <c r="B154" s="5" t="s">
        <v>3550</v>
      </c>
      <c r="C154" s="1" t="s">
        <v>3551</v>
      </c>
      <c r="D154" s="1" t="s">
        <v>372</v>
      </c>
      <c r="E154" s="1" t="s">
        <v>3552</v>
      </c>
      <c r="F154" s="1" t="s">
        <v>1902</v>
      </c>
      <c r="G154" s="1">
        <v>2022</v>
      </c>
      <c r="H154" s="1" t="s">
        <v>3553</v>
      </c>
      <c r="I154" s="1" t="str">
        <f>HYPERLINK("http://dx.doi.org/10.1038/s41467-022-28107-z","http://dx.doi.org/10.1038/s41467-022-28107-z")</f>
        <v>http://dx.doi.org/10.1038/s41467-022-28107-z</v>
      </c>
    </row>
    <row r="155" spans="1:9" ht="238" x14ac:dyDescent="0.15">
      <c r="A155" s="1" t="s">
        <v>9</v>
      </c>
      <c r="B155" s="5" t="s">
        <v>1778</v>
      </c>
      <c r="C155" s="1" t="s">
        <v>1779</v>
      </c>
      <c r="D155" s="1" t="s">
        <v>1780</v>
      </c>
      <c r="E155" s="1" t="s">
        <v>1781</v>
      </c>
      <c r="F155" s="1" t="s">
        <v>1782</v>
      </c>
      <c r="G155" s="1">
        <v>2024</v>
      </c>
      <c r="H155" s="1" t="s">
        <v>1783</v>
      </c>
      <c r="I155" s="1" t="str">
        <f>HYPERLINK("http://dx.doi.org/10.1093/dnares/dsae020","http://dx.doi.org/10.1093/dnares/dsae020")</f>
        <v>http://dx.doi.org/10.1093/dnares/dsae020</v>
      </c>
    </row>
    <row r="156" spans="1:9" ht="319" x14ac:dyDescent="0.15">
      <c r="A156" s="1" t="s">
        <v>9</v>
      </c>
      <c r="B156" s="5" t="s">
        <v>1626</v>
      </c>
      <c r="C156" s="1" t="s">
        <v>1627</v>
      </c>
      <c r="D156" s="1" t="s">
        <v>1628</v>
      </c>
      <c r="E156" s="1" t="s">
        <v>1629</v>
      </c>
      <c r="F156" s="1" t="s">
        <v>1630</v>
      </c>
      <c r="G156" s="1">
        <v>2025</v>
      </c>
      <c r="H156" s="1" t="s">
        <v>1631</v>
      </c>
      <c r="I156" s="1" t="str">
        <f>HYPERLINK("http://dx.doi.org/10.1007/s13127-025-00672-3","http://dx.doi.org/10.1007/s13127-025-00672-3")</f>
        <v>http://dx.doi.org/10.1007/s13127-025-00672-3</v>
      </c>
    </row>
    <row r="157" spans="1:9" ht="293" x14ac:dyDescent="0.15">
      <c r="A157" s="1" t="s">
        <v>9</v>
      </c>
      <c r="B157" s="5" t="s">
        <v>3036</v>
      </c>
      <c r="C157" s="1" t="s">
        <v>3037</v>
      </c>
      <c r="D157" s="1" t="s">
        <v>372</v>
      </c>
      <c r="E157" s="1" t="s">
        <v>3038</v>
      </c>
      <c r="F157" s="1" t="s">
        <v>2692</v>
      </c>
      <c r="G157" s="1">
        <v>2025</v>
      </c>
      <c r="H157" s="1" t="s">
        <v>3039</v>
      </c>
      <c r="I157" s="1" t="str">
        <f>HYPERLINK("http://dx.doi.org/10.1038/s41467-025-58979-w","http://dx.doi.org/10.1038/s41467-025-58979-w")</f>
        <v>http://dx.doi.org/10.1038/s41467-025-58979-w</v>
      </c>
    </row>
    <row r="158" spans="1:9" ht="238" x14ac:dyDescent="0.15">
      <c r="A158" s="1" t="s">
        <v>9</v>
      </c>
      <c r="B158" s="5" t="s">
        <v>3432</v>
      </c>
      <c r="C158" s="1" t="s">
        <v>3433</v>
      </c>
      <c r="D158" s="1" t="s">
        <v>3434</v>
      </c>
      <c r="E158" s="1" t="s">
        <v>3435</v>
      </c>
      <c r="F158" s="1" t="s">
        <v>209</v>
      </c>
      <c r="G158" s="1">
        <v>2015</v>
      </c>
      <c r="H158" s="1" t="s">
        <v>3436</v>
      </c>
      <c r="I158" s="1" t="str">
        <f>HYPERLINK("http://dx.doi.org/10.1111/jzs.12108","http://dx.doi.org/10.1111/jzs.12108")</f>
        <v>http://dx.doi.org/10.1111/jzs.12108</v>
      </c>
    </row>
    <row r="159" spans="1:9" ht="210" x14ac:dyDescent="0.15">
      <c r="A159" s="1" t="s">
        <v>9</v>
      </c>
      <c r="B159" s="5" t="s">
        <v>1036</v>
      </c>
      <c r="C159" s="1" t="s">
        <v>1037</v>
      </c>
      <c r="D159" s="1" t="s">
        <v>350</v>
      </c>
      <c r="E159" s="1" t="s">
        <v>1038</v>
      </c>
      <c r="F159" s="1" t="s">
        <v>33</v>
      </c>
      <c r="G159" s="1">
        <v>2018</v>
      </c>
      <c r="H159" s="1" t="s">
        <v>1039</v>
      </c>
      <c r="I159" s="1" t="str">
        <f>HYPERLINK("http://dx.doi.org/10.3390/genes9060299","http://dx.doi.org/10.3390/genes9060299")</f>
        <v>http://dx.doi.org/10.3390/genes9060299</v>
      </c>
    </row>
    <row r="160" spans="1:9" ht="224" x14ac:dyDescent="0.15">
      <c r="A160" s="1" t="s">
        <v>9</v>
      </c>
      <c r="B160" s="5" t="s">
        <v>2472</v>
      </c>
      <c r="C160" s="1" t="s">
        <v>2473</v>
      </c>
      <c r="D160" s="1" t="s">
        <v>2474</v>
      </c>
      <c r="E160" s="1" t="s">
        <v>2475</v>
      </c>
      <c r="F160" s="1" t="s">
        <v>56</v>
      </c>
      <c r="G160" s="1">
        <v>2017</v>
      </c>
      <c r="H160" s="1" t="s">
        <v>2476</v>
      </c>
      <c r="I160" s="1" t="str">
        <f>HYPERLINK("http://dx.doi.org/10.1016/j.jnc.2017.07.005","http://dx.doi.org/10.1016/j.jnc.2017.07.005")</f>
        <v>http://dx.doi.org/10.1016/j.jnc.2017.07.005</v>
      </c>
    </row>
    <row r="161" spans="1:9" ht="358" x14ac:dyDescent="0.15">
      <c r="A161" s="1" t="s">
        <v>9</v>
      </c>
      <c r="B161" s="5" t="s">
        <v>2648</v>
      </c>
      <c r="C161" s="1" t="s">
        <v>2649</v>
      </c>
      <c r="D161" s="1" t="s">
        <v>54</v>
      </c>
      <c r="E161" s="1" t="s">
        <v>2650</v>
      </c>
      <c r="F161" s="1" t="s">
        <v>56</v>
      </c>
      <c r="G161" s="1">
        <v>2016</v>
      </c>
      <c r="H161" s="1" t="s">
        <v>2651</v>
      </c>
      <c r="I161" s="1" t="str">
        <f>HYPERLINK("http://dx.doi.org/10.1111/mec.13775","http://dx.doi.org/10.1111/mec.13775")</f>
        <v>http://dx.doi.org/10.1111/mec.13775</v>
      </c>
    </row>
    <row r="162" spans="1:9" ht="168" x14ac:dyDescent="0.15">
      <c r="A162" s="1" t="s">
        <v>9</v>
      </c>
      <c r="B162" s="5" t="s">
        <v>3618</v>
      </c>
      <c r="C162" s="1" t="s">
        <v>3619</v>
      </c>
      <c r="D162" s="1" t="s">
        <v>1139</v>
      </c>
      <c r="E162" s="1" t="s">
        <v>3620</v>
      </c>
      <c r="F162" s="1" t="s">
        <v>209</v>
      </c>
      <c r="G162" s="1">
        <v>2012</v>
      </c>
      <c r="H162" s="1" t="s">
        <v>3621</v>
      </c>
      <c r="I162" s="1" t="str">
        <f>HYPERLINK("http://dx.doi.org/10.1093/nar/gks801","http://dx.doi.org/10.1093/nar/gks801")</f>
        <v>http://dx.doi.org/10.1093/nar/gks801</v>
      </c>
    </row>
    <row r="163" spans="1:9" ht="293" x14ac:dyDescent="0.15">
      <c r="A163" s="1" t="s">
        <v>9</v>
      </c>
      <c r="B163" s="5" t="s">
        <v>3932</v>
      </c>
      <c r="C163" s="1" t="s">
        <v>3933</v>
      </c>
      <c r="D163" s="1" t="s">
        <v>3934</v>
      </c>
      <c r="E163" s="1" t="s">
        <v>3935</v>
      </c>
      <c r="F163" s="1" t="s">
        <v>3936</v>
      </c>
      <c r="G163" s="1">
        <v>2023</v>
      </c>
      <c r="H163" s="1" t="s">
        <v>3937</v>
      </c>
      <c r="I163" s="1" t="str">
        <f>HYPERLINK("http://dx.doi.org/10.1051/parasite/2023016","http://dx.doi.org/10.1051/parasite/2023016")</f>
        <v>http://dx.doi.org/10.1051/parasite/2023016</v>
      </c>
    </row>
    <row r="164" spans="1:9" ht="252" x14ac:dyDescent="0.15">
      <c r="A164" s="1" t="s">
        <v>9</v>
      </c>
      <c r="B164" s="5" t="s">
        <v>3923</v>
      </c>
      <c r="C164" s="1" t="s">
        <v>3924</v>
      </c>
      <c r="D164" s="1" t="s">
        <v>3479</v>
      </c>
      <c r="E164" s="1" t="s">
        <v>3925</v>
      </c>
      <c r="F164" s="1" t="s">
        <v>460</v>
      </c>
      <c r="G164" s="1">
        <v>2013</v>
      </c>
      <c r="H164" s="1" t="s">
        <v>3926</v>
      </c>
      <c r="I164" s="1" t="str">
        <f>HYPERLINK("http://dx.doi.org/10.1534/g3.113.005561","http://dx.doi.org/10.1534/g3.113.005561")</f>
        <v>http://dx.doi.org/10.1534/g3.113.005561</v>
      </c>
    </row>
    <row r="165" spans="1:9" ht="210" x14ac:dyDescent="0.15">
      <c r="A165" s="1" t="s">
        <v>9</v>
      </c>
      <c r="B165" s="5" t="s">
        <v>2902</v>
      </c>
      <c r="C165" s="1" t="s">
        <v>2903</v>
      </c>
      <c r="D165" s="1" t="s">
        <v>2904</v>
      </c>
      <c r="E165" s="1" t="s">
        <v>2905</v>
      </c>
      <c r="F165" s="1" t="s">
        <v>11</v>
      </c>
      <c r="G165" s="1">
        <v>2002</v>
      </c>
      <c r="H165" s="1" t="s">
        <v>2906</v>
      </c>
      <c r="I165" s="1" t="str">
        <f>HYPERLINK("http://dx.doi.org/10.1385/CBB:37:1:01","http://dx.doi.org/10.1385/CBB:37:1:01")</f>
        <v>http://dx.doi.org/10.1385/CBB:37:1:01</v>
      </c>
    </row>
    <row r="166" spans="1:9" ht="210" x14ac:dyDescent="0.15">
      <c r="A166" s="1" t="s">
        <v>9</v>
      </c>
      <c r="B166" s="5" t="s">
        <v>933</v>
      </c>
      <c r="C166" s="1" t="s">
        <v>934</v>
      </c>
      <c r="D166" s="1" t="s">
        <v>935</v>
      </c>
      <c r="E166" s="1" t="s">
        <v>936</v>
      </c>
      <c r="F166" s="1" t="s">
        <v>56</v>
      </c>
      <c r="G166" s="1">
        <v>2009</v>
      </c>
      <c r="H166" s="1" t="s">
        <v>937</v>
      </c>
      <c r="I166" s="1" t="str">
        <f>HYPERLINK("http://dx.doi.org/10.3892/ijmm_00000234","http://dx.doi.org/10.3892/ijmm_00000234")</f>
        <v>http://dx.doi.org/10.3892/ijmm_00000234</v>
      </c>
    </row>
    <row r="167" spans="1:9" ht="306" x14ac:dyDescent="0.15">
      <c r="A167" s="1" t="s">
        <v>9</v>
      </c>
      <c r="B167" s="5" t="s">
        <v>3437</v>
      </c>
      <c r="C167" s="1" t="s">
        <v>3438</v>
      </c>
      <c r="D167" s="1" t="s">
        <v>1753</v>
      </c>
      <c r="E167" s="1" t="s">
        <v>3439</v>
      </c>
      <c r="F167" s="1" t="s">
        <v>11</v>
      </c>
      <c r="G167" s="1">
        <v>2013</v>
      </c>
      <c r="H167" s="1" t="s">
        <v>3440</v>
      </c>
      <c r="I167" s="1" t="str">
        <f>HYPERLINK("http://dx.doi.org/10.1071/IS12031","http://dx.doi.org/10.1071/IS12031")</f>
        <v>http://dx.doi.org/10.1071/IS12031</v>
      </c>
    </row>
    <row r="168" spans="1:9" ht="238" x14ac:dyDescent="0.15">
      <c r="A168" s="1" t="s">
        <v>9</v>
      </c>
      <c r="B168" s="5" t="s">
        <v>3649</v>
      </c>
      <c r="C168" s="1" t="s">
        <v>3650</v>
      </c>
      <c r="D168" s="1" t="s">
        <v>3651</v>
      </c>
      <c r="E168" s="1" t="s">
        <v>3652</v>
      </c>
      <c r="F168" s="1" t="s">
        <v>96</v>
      </c>
      <c r="G168" s="1">
        <v>2009</v>
      </c>
      <c r="H168" s="1" t="s">
        <v>3653</v>
      </c>
      <c r="I168" s="1" t="str">
        <f>HYPERLINK("http://dx.doi.org/10.1111/j.1471-4159.2009.06296.x","http://dx.doi.org/10.1111/j.1471-4159.2009.06296.x")</f>
        <v>http://dx.doi.org/10.1111/j.1471-4159.2009.06296.x</v>
      </c>
    </row>
    <row r="169" spans="1:9" ht="371" x14ac:dyDescent="0.15">
      <c r="A169" s="1" t="s">
        <v>9</v>
      </c>
      <c r="B169" s="5" t="s">
        <v>1965</v>
      </c>
      <c r="C169" s="1" t="s">
        <v>1966</v>
      </c>
      <c r="D169" s="1" t="s">
        <v>316</v>
      </c>
      <c r="E169" s="1" t="s">
        <v>1967</v>
      </c>
      <c r="F169" s="1" t="s">
        <v>96</v>
      </c>
      <c r="G169" s="1">
        <v>2015</v>
      </c>
      <c r="H169" s="1" t="s">
        <v>1968</v>
      </c>
      <c r="I169" s="1" t="str">
        <f>HYPERLINK("http://dx.doi.org/10.1016/j.jip.2015.05.007","http://dx.doi.org/10.1016/j.jip.2015.05.007")</f>
        <v>http://dx.doi.org/10.1016/j.jip.2015.05.007</v>
      </c>
    </row>
    <row r="170" spans="1:9" ht="319" x14ac:dyDescent="0.15">
      <c r="A170" s="1" t="s">
        <v>9</v>
      </c>
      <c r="B170" s="5" t="s">
        <v>2721</v>
      </c>
      <c r="C170" s="1" t="s">
        <v>2722</v>
      </c>
      <c r="D170" s="1" t="s">
        <v>321</v>
      </c>
      <c r="E170" s="1" t="s">
        <v>2723</v>
      </c>
      <c r="F170" s="1" t="s">
        <v>2724</v>
      </c>
      <c r="G170" s="1">
        <v>2012</v>
      </c>
      <c r="H170" s="1" t="s">
        <v>2725</v>
      </c>
      <c r="I170" s="1" t="str">
        <f>HYPERLINK("http://dx.doi.org/10.1371/journal.pone.0030006","http://dx.doi.org/10.1371/journal.pone.0030006")</f>
        <v>http://dx.doi.org/10.1371/journal.pone.0030006</v>
      </c>
    </row>
    <row r="171" spans="1:9" ht="238" x14ac:dyDescent="0.15">
      <c r="A171" s="1" t="s">
        <v>9</v>
      </c>
      <c r="B171" s="5" t="s">
        <v>2426</v>
      </c>
      <c r="C171" s="1" t="s">
        <v>2427</v>
      </c>
      <c r="D171" s="1" t="s">
        <v>2428</v>
      </c>
      <c r="E171" s="1" t="s">
        <v>2429</v>
      </c>
      <c r="F171" s="1" t="s">
        <v>209</v>
      </c>
      <c r="G171" s="1">
        <v>2013</v>
      </c>
      <c r="H171" s="1" t="s">
        <v>2430</v>
      </c>
      <c r="I171" s="1" t="str">
        <f>HYPERLINK("http://dx.doi.org/10.1017/S0025315413000465","http://dx.doi.org/10.1017/S0025315413000465")</f>
        <v>http://dx.doi.org/10.1017/S0025315413000465</v>
      </c>
    </row>
    <row r="172" spans="1:9" ht="345" x14ac:dyDescent="0.15">
      <c r="A172" s="1" t="s">
        <v>9</v>
      </c>
      <c r="B172" s="5" t="s">
        <v>3622</v>
      </c>
      <c r="C172" s="1" t="s">
        <v>3623</v>
      </c>
      <c r="D172" s="1" t="s">
        <v>321</v>
      </c>
      <c r="E172" s="1" t="s">
        <v>3624</v>
      </c>
      <c r="F172" s="1" t="s">
        <v>1842</v>
      </c>
      <c r="G172" s="1">
        <v>2017</v>
      </c>
      <c r="H172" s="1" t="s">
        <v>3625</v>
      </c>
      <c r="I172" s="1" t="str">
        <f>HYPERLINK("http://dx.doi.org/10.1371/journal.pone.0181884","http://dx.doi.org/10.1371/journal.pone.0181884")</f>
        <v>http://dx.doi.org/10.1371/journal.pone.0181884</v>
      </c>
    </row>
    <row r="173" spans="1:9" ht="306" x14ac:dyDescent="0.15">
      <c r="A173" s="1" t="s">
        <v>9</v>
      </c>
      <c r="B173" s="5" t="s">
        <v>3735</v>
      </c>
      <c r="C173" s="1" t="s">
        <v>3736</v>
      </c>
      <c r="D173" s="1" t="s">
        <v>3737</v>
      </c>
      <c r="E173" s="1" t="s">
        <v>3738</v>
      </c>
      <c r="F173" s="1" t="s">
        <v>221</v>
      </c>
      <c r="G173" s="1">
        <v>2026</v>
      </c>
      <c r="H173" s="1" t="s">
        <v>3739</v>
      </c>
      <c r="I173" s="1" t="str">
        <f>HYPERLINK("http://dx.doi.org/10.1016/j.pestbp.2025.106718","http://dx.doi.org/10.1016/j.pestbp.2025.106718")</f>
        <v>http://dx.doi.org/10.1016/j.pestbp.2025.106718</v>
      </c>
    </row>
    <row r="174" spans="1:9" ht="409.6" x14ac:dyDescent="0.15">
      <c r="A174" s="1" t="s">
        <v>9</v>
      </c>
      <c r="B174" s="5" t="s">
        <v>2837</v>
      </c>
      <c r="C174" s="1" t="s">
        <v>2838</v>
      </c>
      <c r="D174" s="1" t="s">
        <v>1024</v>
      </c>
      <c r="E174" s="1" t="s">
        <v>2839</v>
      </c>
      <c r="F174" s="1" t="s">
        <v>2216</v>
      </c>
      <c r="G174" s="1">
        <v>2012</v>
      </c>
      <c r="H174" s="1" t="s">
        <v>2840</v>
      </c>
      <c r="I174" s="1" t="str">
        <f>HYPERLINK("http://dx.doi.org/10.1186/1471-2148-12-172","http://dx.doi.org/10.1186/1471-2148-12-172")</f>
        <v>http://dx.doi.org/10.1186/1471-2148-12-172</v>
      </c>
    </row>
    <row r="175" spans="1:9" ht="182" x14ac:dyDescent="0.15">
      <c r="A175" s="1" t="s">
        <v>9</v>
      </c>
      <c r="B175" s="5" t="s">
        <v>2243</v>
      </c>
      <c r="C175" s="1" t="s">
        <v>2244</v>
      </c>
      <c r="D175" s="1" t="s">
        <v>2245</v>
      </c>
      <c r="E175" s="1" t="s">
        <v>2246</v>
      </c>
      <c r="F175" s="1" t="s">
        <v>1782</v>
      </c>
      <c r="G175" s="1">
        <v>2002</v>
      </c>
      <c r="H175" s="1" t="s">
        <v>2247</v>
      </c>
      <c r="I175" s="1" t="str">
        <f>HYPERLINK("http://dx.doi.org/10.1016/S0022-2836(02)00598-3","http://dx.doi.org/10.1016/S0022-2836(02)00598-3")</f>
        <v>http://dx.doi.org/10.1016/S0022-2836(02)00598-3</v>
      </c>
    </row>
    <row r="176" spans="1:9" ht="332" x14ac:dyDescent="0.15">
      <c r="A176" s="1" t="s">
        <v>9</v>
      </c>
      <c r="B176" s="5" t="s">
        <v>298</v>
      </c>
      <c r="C176" s="1" t="s">
        <v>299</v>
      </c>
      <c r="D176" s="1" t="s">
        <v>300</v>
      </c>
      <c r="E176" s="1" t="s">
        <v>301</v>
      </c>
      <c r="F176" s="1" t="s">
        <v>302</v>
      </c>
      <c r="G176" s="1">
        <v>2023</v>
      </c>
      <c r="H176" s="1" t="s">
        <v>303</v>
      </c>
      <c r="I176" s="1" t="str">
        <f>HYPERLINK("http://dx.doi.org/10.1016/j.scitotenv.2022.161096","http://dx.doi.org/10.1016/j.scitotenv.2022.161096")</f>
        <v>http://dx.doi.org/10.1016/j.scitotenv.2022.161096</v>
      </c>
    </row>
    <row r="177" spans="1:9" ht="319" x14ac:dyDescent="0.15">
      <c r="A177" s="1" t="s">
        <v>9</v>
      </c>
      <c r="B177" s="5" t="s">
        <v>3903</v>
      </c>
      <c r="C177" s="1" t="s">
        <v>3904</v>
      </c>
      <c r="D177" s="1" t="s">
        <v>3905</v>
      </c>
      <c r="E177" s="1" t="s">
        <v>3906</v>
      </c>
      <c r="F177" s="1" t="s">
        <v>678</v>
      </c>
      <c r="G177" s="1">
        <v>2021</v>
      </c>
      <c r="H177" s="1" t="s">
        <v>3907</v>
      </c>
      <c r="I177" s="1" t="str">
        <f>HYPERLINK("http://dx.doi.org/10.3389/fevo.2021.637421","http://dx.doi.org/10.3389/fevo.2021.637421")</f>
        <v>http://dx.doi.org/10.3389/fevo.2021.637421</v>
      </c>
    </row>
    <row r="178" spans="1:9" ht="384" x14ac:dyDescent="0.15">
      <c r="A178" s="1" t="s">
        <v>9</v>
      </c>
      <c r="B178" s="5" t="s">
        <v>1060</v>
      </c>
      <c r="C178" s="1" t="s">
        <v>1061</v>
      </c>
      <c r="D178" s="1" t="s">
        <v>48</v>
      </c>
      <c r="E178" s="1" t="s">
        <v>1062</v>
      </c>
      <c r="F178" s="1" t="s">
        <v>1063</v>
      </c>
      <c r="G178" s="1">
        <v>2013</v>
      </c>
      <c r="H178" s="1" t="s">
        <v>1064</v>
      </c>
      <c r="I178" s="1" t="str">
        <f>HYPERLINK("http://dx.doi.org/10.1186/1471-2164-14-228","http://dx.doi.org/10.1186/1471-2164-14-228")</f>
        <v>http://dx.doi.org/10.1186/1471-2164-14-228</v>
      </c>
    </row>
    <row r="179" spans="1:9" ht="266" x14ac:dyDescent="0.15">
      <c r="A179" s="1" t="s">
        <v>9</v>
      </c>
      <c r="B179" s="5" t="s">
        <v>3221</v>
      </c>
      <c r="C179" s="1" t="s">
        <v>3222</v>
      </c>
      <c r="D179" s="1" t="s">
        <v>1738</v>
      </c>
      <c r="E179" s="1" t="s">
        <v>3223</v>
      </c>
      <c r="F179" s="1" t="s">
        <v>209</v>
      </c>
      <c r="G179" s="1">
        <v>2017</v>
      </c>
      <c r="H179" s="1" t="s">
        <v>3224</v>
      </c>
      <c r="I179" s="1" t="str">
        <f>HYPERLINK("http://dx.doi.org/10.1111/zsc.12247","http://dx.doi.org/10.1111/zsc.12247")</f>
        <v>http://dx.doi.org/10.1111/zsc.12247</v>
      </c>
    </row>
    <row r="180" spans="1:9" ht="252" x14ac:dyDescent="0.15">
      <c r="A180" s="1" t="s">
        <v>9</v>
      </c>
      <c r="B180" s="5" t="s">
        <v>1816</v>
      </c>
      <c r="C180" s="1" t="s">
        <v>1817</v>
      </c>
      <c r="D180" s="1" t="s">
        <v>711</v>
      </c>
      <c r="E180" s="1" t="s">
        <v>1818</v>
      </c>
      <c r="F180" s="1" t="s">
        <v>33</v>
      </c>
      <c r="G180" s="1">
        <v>2001</v>
      </c>
      <c r="H180" s="1" t="s">
        <v>1819</v>
      </c>
      <c r="I180" s="1" t="str">
        <f>HYPERLINK("http://dx.doi.org/10.1139/bcb-79-3-349","http://dx.doi.org/10.1139/bcb-79-3-349")</f>
        <v>http://dx.doi.org/10.1139/bcb-79-3-349</v>
      </c>
    </row>
    <row r="181" spans="1:9" ht="196" x14ac:dyDescent="0.15">
      <c r="A181" s="1" t="s">
        <v>9</v>
      </c>
      <c r="B181" s="5" t="s">
        <v>1181</v>
      </c>
      <c r="C181" s="1" t="s">
        <v>1182</v>
      </c>
      <c r="D181" s="1" t="s">
        <v>156</v>
      </c>
      <c r="E181" s="1" t="s">
        <v>1183</v>
      </c>
      <c r="F181" s="1" t="s">
        <v>1184</v>
      </c>
      <c r="G181" s="1">
        <v>2017</v>
      </c>
      <c r="H181" s="1" t="s">
        <v>1185</v>
      </c>
      <c r="I181" s="1" t="str">
        <f>HYPERLINK("http://dx.doi.org/10.1038/s41598-017-11442-3","http://dx.doi.org/10.1038/s41598-017-11442-3")</f>
        <v>http://dx.doi.org/10.1038/s41598-017-11442-3</v>
      </c>
    </row>
    <row r="182" spans="1:9" ht="224" x14ac:dyDescent="0.15">
      <c r="A182" s="1" t="s">
        <v>9</v>
      </c>
      <c r="B182" s="5" t="s">
        <v>2218</v>
      </c>
      <c r="C182" s="1" t="s">
        <v>2219</v>
      </c>
      <c r="D182" s="1" t="s">
        <v>2220</v>
      </c>
      <c r="E182" s="1" t="s">
        <v>2221</v>
      </c>
      <c r="F182" s="1" t="s">
        <v>2222</v>
      </c>
      <c r="G182" s="1">
        <v>2008</v>
      </c>
      <c r="H182" s="1" t="s">
        <v>2223</v>
      </c>
      <c r="I182" s="1" t="str">
        <f>HYPERLINK("http://dx.doi.org/10.1038/nature07415","http://dx.doi.org/10.1038/nature07415")</f>
        <v>http://dx.doi.org/10.1038/nature07415</v>
      </c>
    </row>
    <row r="183" spans="1:9" ht="384" x14ac:dyDescent="0.15">
      <c r="A183" s="1" t="s">
        <v>9</v>
      </c>
      <c r="B183" s="5" t="s">
        <v>3402</v>
      </c>
      <c r="C183" s="1" t="s">
        <v>3403</v>
      </c>
      <c r="D183" s="1" t="s">
        <v>1753</v>
      </c>
      <c r="E183" s="1" t="s">
        <v>3404</v>
      </c>
      <c r="F183" s="1" t="s">
        <v>11</v>
      </c>
      <c r="G183" s="1">
        <v>2024</v>
      </c>
      <c r="H183" s="1" t="s">
        <v>3405</v>
      </c>
      <c r="I183" s="1" t="str">
        <f>HYPERLINK("http://dx.doi.org/10.1071/IS24032","http://dx.doi.org/10.1071/IS24032")</f>
        <v>http://dx.doi.org/10.1071/IS24032</v>
      </c>
    </row>
    <row r="184" spans="1:9" ht="168" x14ac:dyDescent="0.15">
      <c r="A184" s="1" t="s">
        <v>9</v>
      </c>
      <c r="B184" s="5" t="s">
        <v>3194</v>
      </c>
      <c r="C184" s="1" t="s">
        <v>3195</v>
      </c>
      <c r="D184" s="1" t="s">
        <v>3196</v>
      </c>
      <c r="E184" s="1" t="s">
        <v>3197</v>
      </c>
      <c r="F184" s="1" t="s">
        <v>112</v>
      </c>
      <c r="G184" s="1">
        <v>2005</v>
      </c>
      <c r="H184" s="1" t="s">
        <v>3198</v>
      </c>
      <c r="I184" s="1" t="str">
        <f>HYPERLINK("http://dx.doi.org/10.1016/j.devcel.2004.12.019","http://dx.doi.org/10.1016/j.devcel.2004.12.019")</f>
        <v>http://dx.doi.org/10.1016/j.devcel.2004.12.019</v>
      </c>
    </row>
    <row r="185" spans="1:9" ht="397" x14ac:dyDescent="0.15">
      <c r="A185" s="1" t="s">
        <v>9</v>
      </c>
      <c r="B185" s="5" t="s">
        <v>3606</v>
      </c>
      <c r="C185" s="1" t="s">
        <v>3607</v>
      </c>
      <c r="D185" s="1" t="s">
        <v>585</v>
      </c>
      <c r="E185" s="1" t="s">
        <v>3608</v>
      </c>
      <c r="F185" s="1" t="s">
        <v>2094</v>
      </c>
      <c r="G185" s="1">
        <v>2022</v>
      </c>
      <c r="H185" s="1" t="s">
        <v>3609</v>
      </c>
      <c r="I185" s="1" t="str">
        <f>HYPERLINK("http://dx.doi.org/10.3389/fimmu.2022.1088149","http://dx.doi.org/10.3389/fimmu.2022.1088149")</f>
        <v>http://dx.doi.org/10.3389/fimmu.2022.1088149</v>
      </c>
    </row>
    <row r="186" spans="1:9" ht="266" x14ac:dyDescent="0.15">
      <c r="A186" s="1" t="s">
        <v>9</v>
      </c>
      <c r="B186" s="5" t="s">
        <v>3441</v>
      </c>
      <c r="C186" s="1" t="s">
        <v>3442</v>
      </c>
      <c r="D186" s="1" t="s">
        <v>1723</v>
      </c>
      <c r="E186" s="1" t="s">
        <v>3443</v>
      </c>
      <c r="F186" s="1" t="s">
        <v>11</v>
      </c>
      <c r="G186" s="1">
        <v>2024</v>
      </c>
      <c r="H186" s="1" t="s">
        <v>3444</v>
      </c>
      <c r="I186" s="1" t="str">
        <f>HYPERLINK("http://dx.doi.org/10.3897/zookeys.1219.134005","http://dx.doi.org/10.3897/zookeys.1219.134005")</f>
        <v>http://dx.doi.org/10.3897/zookeys.1219.134005</v>
      </c>
    </row>
    <row r="187" spans="1:9" ht="224" x14ac:dyDescent="0.15">
      <c r="A187" s="1" t="s">
        <v>9</v>
      </c>
      <c r="B187" s="5" t="s">
        <v>3696</v>
      </c>
      <c r="C187" s="1" t="s">
        <v>3697</v>
      </c>
      <c r="D187" s="1" t="s">
        <v>619</v>
      </c>
      <c r="E187" s="1" t="s">
        <v>3698</v>
      </c>
      <c r="F187" s="1" t="s">
        <v>56</v>
      </c>
      <c r="G187" s="1">
        <v>2021</v>
      </c>
      <c r="H187" s="1" t="s">
        <v>3699</v>
      </c>
      <c r="I187" s="1" t="str">
        <f>HYPERLINK("http://dx.doi.org/10.3791/62713","http://dx.doi.org/10.3791/62713")</f>
        <v>http://dx.doi.org/10.3791/62713</v>
      </c>
    </row>
    <row r="188" spans="1:9" ht="332" x14ac:dyDescent="0.15">
      <c r="A188" s="1" t="s">
        <v>9</v>
      </c>
      <c r="B188" s="5" t="s">
        <v>2950</v>
      </c>
      <c r="C188" s="1" t="s">
        <v>2951</v>
      </c>
      <c r="D188" s="1" t="s">
        <v>1713</v>
      </c>
      <c r="E188" s="1" t="s">
        <v>2952</v>
      </c>
      <c r="F188" s="1" t="s">
        <v>2953</v>
      </c>
      <c r="G188" s="1">
        <v>2020</v>
      </c>
      <c r="H188" s="1" t="s">
        <v>2954</v>
      </c>
      <c r="I188" s="1" t="str">
        <f>HYPERLINK("http://dx.doi.org/10.1186/s12935-020-01501-7","http://dx.doi.org/10.1186/s12935-020-01501-7")</f>
        <v>http://dx.doi.org/10.1186/s12935-020-01501-7</v>
      </c>
    </row>
    <row r="189" spans="1:9" ht="319" x14ac:dyDescent="0.15">
      <c r="A189" s="1" t="s">
        <v>9</v>
      </c>
      <c r="B189" s="5" t="s">
        <v>1347</v>
      </c>
      <c r="C189" s="1" t="s">
        <v>1348</v>
      </c>
      <c r="D189" s="1" t="s">
        <v>156</v>
      </c>
      <c r="E189" s="1" t="s">
        <v>1349</v>
      </c>
      <c r="F189" s="1" t="s">
        <v>1350</v>
      </c>
      <c r="G189" s="1">
        <v>2025</v>
      </c>
      <c r="H189" s="1" t="s">
        <v>1351</v>
      </c>
      <c r="I189" s="1" t="str">
        <f>HYPERLINK("http://dx.doi.org/10.1038/s41598-025-15145-y","http://dx.doi.org/10.1038/s41598-025-15145-y")</f>
        <v>http://dx.doi.org/10.1038/s41598-025-15145-y</v>
      </c>
    </row>
    <row r="190" spans="1:9" ht="280" x14ac:dyDescent="0.15">
      <c r="A190" s="1" t="s">
        <v>9</v>
      </c>
      <c r="B190" s="5" t="s">
        <v>3233</v>
      </c>
      <c r="C190" s="1" t="s">
        <v>3234</v>
      </c>
      <c r="D190" s="1" t="s">
        <v>3114</v>
      </c>
      <c r="E190" s="1" t="s">
        <v>3235</v>
      </c>
      <c r="F190" s="1" t="s">
        <v>122</v>
      </c>
      <c r="G190" s="1">
        <v>2020</v>
      </c>
      <c r="H190" s="1" t="s">
        <v>3236</v>
      </c>
      <c r="I190" s="1" t="str">
        <f>HYPERLINK("http://dx.doi.org/10.1016/j.biopha.2020.110072","http://dx.doi.org/10.1016/j.biopha.2020.110072")</f>
        <v>http://dx.doi.org/10.1016/j.biopha.2020.110072</v>
      </c>
    </row>
    <row r="191" spans="1:9" ht="345" x14ac:dyDescent="0.15">
      <c r="A191" s="1" t="s">
        <v>9</v>
      </c>
      <c r="B191" s="5" t="s">
        <v>566</v>
      </c>
      <c r="C191" s="1" t="s">
        <v>567</v>
      </c>
      <c r="D191" s="1" t="s">
        <v>300</v>
      </c>
      <c r="E191" s="1" t="s">
        <v>568</v>
      </c>
      <c r="F191" s="1" t="s">
        <v>302</v>
      </c>
      <c r="G191" s="1">
        <v>2018</v>
      </c>
      <c r="H191" s="1" t="s">
        <v>569</v>
      </c>
      <c r="I191" s="1" t="str">
        <f>HYPERLINK("http://dx.doi.org/10.1016/j.scitotenv.2017.09.264","http://dx.doi.org/10.1016/j.scitotenv.2017.09.264")</f>
        <v>http://dx.doi.org/10.1016/j.scitotenv.2017.09.264</v>
      </c>
    </row>
    <row r="192" spans="1:9" ht="224" x14ac:dyDescent="0.15">
      <c r="A192" s="1" t="s">
        <v>9</v>
      </c>
      <c r="B192" s="5" t="s">
        <v>3160</v>
      </c>
      <c r="C192" s="1" t="s">
        <v>3161</v>
      </c>
      <c r="D192" s="1" t="s">
        <v>2794</v>
      </c>
      <c r="E192" s="1" t="s">
        <v>3162</v>
      </c>
      <c r="F192" s="1" t="s">
        <v>33</v>
      </c>
      <c r="G192" s="1">
        <v>2021</v>
      </c>
      <c r="H192" s="1" t="s">
        <v>3163</v>
      </c>
      <c r="I192" s="1" t="str">
        <f>HYPERLINK("http://dx.doi.org/10.1007/s00436-021-07158-z","http://dx.doi.org/10.1007/s00436-021-07158-z")</f>
        <v>http://dx.doi.org/10.1007/s00436-021-07158-z</v>
      </c>
    </row>
    <row r="193" spans="1:9" ht="345" x14ac:dyDescent="0.15">
      <c r="A193" s="1" t="s">
        <v>9</v>
      </c>
      <c r="B193" s="5" t="s">
        <v>1161</v>
      </c>
      <c r="C193" s="1" t="s">
        <v>1162</v>
      </c>
      <c r="D193" s="1" t="s">
        <v>151</v>
      </c>
      <c r="E193" s="1" t="s">
        <v>1163</v>
      </c>
      <c r="F193" s="1" t="s">
        <v>138</v>
      </c>
      <c r="G193" s="1">
        <v>2025</v>
      </c>
      <c r="H193" s="1" t="s">
        <v>1164</v>
      </c>
      <c r="I193" s="1" t="str">
        <f>HYPERLINK("http://dx.doi.org/10.1002/ece3.70953","http://dx.doi.org/10.1002/ece3.70953")</f>
        <v>http://dx.doi.org/10.1002/ece3.70953</v>
      </c>
    </row>
    <row r="194" spans="1:9" ht="345" x14ac:dyDescent="0.15">
      <c r="A194" s="1" t="s">
        <v>9</v>
      </c>
      <c r="B194" s="5" t="s">
        <v>846</v>
      </c>
      <c r="C194" s="1" t="s">
        <v>847</v>
      </c>
      <c r="D194" s="1" t="s">
        <v>54</v>
      </c>
      <c r="E194" s="1" t="s">
        <v>848</v>
      </c>
      <c r="F194" s="1" t="s">
        <v>96</v>
      </c>
      <c r="G194" s="1">
        <v>2022</v>
      </c>
      <c r="H194" s="1" t="s">
        <v>849</v>
      </c>
      <c r="I194" s="1" t="str">
        <f>HYPERLINK("http://dx.doi.org/10.1111/mec.16644","http://dx.doi.org/10.1111/mec.16644")</f>
        <v>http://dx.doi.org/10.1111/mec.16644</v>
      </c>
    </row>
    <row r="195" spans="1:9" ht="371" x14ac:dyDescent="0.15">
      <c r="A195" s="1" t="s">
        <v>9</v>
      </c>
      <c r="B195" s="5" t="s">
        <v>2849</v>
      </c>
      <c r="C195" s="1" t="s">
        <v>2850</v>
      </c>
      <c r="D195" s="1" t="s">
        <v>2851</v>
      </c>
      <c r="E195" s="1" t="s">
        <v>2852</v>
      </c>
      <c r="F195" s="1" t="s">
        <v>221</v>
      </c>
      <c r="G195" s="1">
        <v>2014</v>
      </c>
      <c r="H195" s="1" t="s">
        <v>11</v>
      </c>
      <c r="I195" s="1" t="s">
        <v>11</v>
      </c>
    </row>
    <row r="196" spans="1:9" ht="358" x14ac:dyDescent="0.15">
      <c r="A196" s="1" t="s">
        <v>9</v>
      </c>
      <c r="B196" s="5" t="s">
        <v>3913</v>
      </c>
      <c r="C196" s="1" t="s">
        <v>3914</v>
      </c>
      <c r="D196" s="1" t="s">
        <v>1511</v>
      </c>
      <c r="E196" s="1" t="s">
        <v>3915</v>
      </c>
      <c r="F196" s="1" t="s">
        <v>68</v>
      </c>
      <c r="G196" s="1">
        <v>2015</v>
      </c>
      <c r="H196" s="1" t="s">
        <v>3916</v>
      </c>
      <c r="I196" s="1" t="str">
        <f>HYPERLINK("http://dx.doi.org/10.1016/j.ympev.2015.03.015","http://dx.doi.org/10.1016/j.ympev.2015.03.015")</f>
        <v>http://dx.doi.org/10.1016/j.ympev.2015.03.015</v>
      </c>
    </row>
    <row r="197" spans="1:9" ht="332" x14ac:dyDescent="0.15">
      <c r="A197" s="1" t="s">
        <v>9</v>
      </c>
      <c r="B197" s="5" t="s">
        <v>1050</v>
      </c>
      <c r="C197" s="1" t="s">
        <v>1051</v>
      </c>
      <c r="D197" s="1" t="s">
        <v>1052</v>
      </c>
      <c r="E197" s="1" t="s">
        <v>1053</v>
      </c>
      <c r="F197" s="1" t="s">
        <v>33</v>
      </c>
      <c r="G197" s="1">
        <v>2024</v>
      </c>
      <c r="H197" s="1" t="s">
        <v>1054</v>
      </c>
      <c r="I197" s="1" t="str">
        <f>HYPERLINK("http://dx.doi.org/10.1002/aqc.4172","http://dx.doi.org/10.1002/aqc.4172")</f>
        <v>http://dx.doi.org/10.1002/aqc.4172</v>
      </c>
    </row>
    <row r="198" spans="1:9" ht="409.6" x14ac:dyDescent="0.15">
      <c r="A198" s="1" t="s">
        <v>9</v>
      </c>
      <c r="B198" s="5" t="s">
        <v>2577</v>
      </c>
      <c r="C198" s="1" t="s">
        <v>2578</v>
      </c>
      <c r="D198" s="1" t="s">
        <v>2579</v>
      </c>
      <c r="E198" s="1" t="s">
        <v>2580</v>
      </c>
      <c r="F198" s="1" t="s">
        <v>2581</v>
      </c>
      <c r="G198" s="1">
        <v>2021</v>
      </c>
      <c r="H198" s="1" t="s">
        <v>2582</v>
      </c>
      <c r="I198" s="1" t="str">
        <f>HYPERLINK("http://dx.doi.org/10.1155/2021/6662897","http://dx.doi.org/10.1155/2021/6662897")</f>
        <v>http://dx.doi.org/10.1155/2021/6662897</v>
      </c>
    </row>
    <row r="199" spans="1:9" ht="280" x14ac:dyDescent="0.15">
      <c r="A199" s="1" t="s">
        <v>9</v>
      </c>
      <c r="B199" s="5" t="s">
        <v>3531</v>
      </c>
      <c r="C199" s="1" t="s">
        <v>3532</v>
      </c>
      <c r="D199" s="1" t="s">
        <v>3533</v>
      </c>
      <c r="E199" s="1" t="s">
        <v>3534</v>
      </c>
      <c r="F199" s="1" t="s">
        <v>138</v>
      </c>
      <c r="G199" s="1">
        <v>2013</v>
      </c>
      <c r="H199" s="1" t="s">
        <v>3535</v>
      </c>
      <c r="I199" s="1" t="str">
        <f>HYPERLINK("http://dx.doi.org/10.1007/s10530-012-0294-x","http://dx.doi.org/10.1007/s10530-012-0294-x")</f>
        <v>http://dx.doi.org/10.1007/s10530-012-0294-x</v>
      </c>
    </row>
    <row r="200" spans="1:9" ht="306" x14ac:dyDescent="0.15">
      <c r="A200" s="1" t="s">
        <v>9</v>
      </c>
      <c r="B200" s="5" t="s">
        <v>3704</v>
      </c>
      <c r="C200" s="1" t="s">
        <v>3705</v>
      </c>
      <c r="D200" s="1" t="s">
        <v>3706</v>
      </c>
      <c r="E200" s="1" t="s">
        <v>3707</v>
      </c>
      <c r="F200" s="1" t="s">
        <v>209</v>
      </c>
      <c r="G200" s="1">
        <v>2022</v>
      </c>
      <c r="H200" s="1" t="s">
        <v>3708</v>
      </c>
      <c r="I200" s="1" t="str">
        <f>HYPERLINK("http://dx.doi.org/10.1096/fj.202101225RR","http://dx.doi.org/10.1096/fj.202101225RR")</f>
        <v>http://dx.doi.org/10.1096/fj.202101225RR</v>
      </c>
    </row>
    <row r="201" spans="1:9" ht="409.6" x14ac:dyDescent="0.15">
      <c r="A201" s="1" t="s">
        <v>9</v>
      </c>
      <c r="B201" s="5" t="s">
        <v>3297</v>
      </c>
      <c r="C201" s="1" t="s">
        <v>3298</v>
      </c>
      <c r="D201" s="1" t="s">
        <v>48</v>
      </c>
      <c r="E201" s="3" t="s">
        <v>3299</v>
      </c>
      <c r="F201" s="1" t="s">
        <v>3300</v>
      </c>
      <c r="G201" s="1">
        <v>2008</v>
      </c>
      <c r="H201" s="1" t="s">
        <v>3301</v>
      </c>
      <c r="I201" s="1" t="str">
        <f>HYPERLINK("http://dx.doi.org/10.1186/1471-2164-9-248","http://dx.doi.org/10.1186/1471-2164-9-248")</f>
        <v>http://dx.doi.org/10.1186/1471-2164-9-248</v>
      </c>
    </row>
    <row r="202" spans="1:9" ht="224" x14ac:dyDescent="0.15">
      <c r="A202" s="1" t="s">
        <v>9</v>
      </c>
      <c r="B202" s="5" t="s">
        <v>3044</v>
      </c>
      <c r="C202" s="1" t="s">
        <v>3045</v>
      </c>
      <c r="D202" s="1" t="s">
        <v>3046</v>
      </c>
      <c r="E202" s="1" t="s">
        <v>3047</v>
      </c>
      <c r="F202" s="1" t="s">
        <v>21</v>
      </c>
      <c r="G202" s="1">
        <v>2009</v>
      </c>
      <c r="H202" s="1" t="s">
        <v>3048</v>
      </c>
      <c r="I202" s="1" t="str">
        <f>HYPERLINK("http://dx.doi.org/10.1111/j.1365-3024.2009.01150.x","http://dx.doi.org/10.1111/j.1365-3024.2009.01150.x")</f>
        <v>http://dx.doi.org/10.1111/j.1365-3024.2009.01150.x</v>
      </c>
    </row>
    <row r="203" spans="1:9" ht="224" x14ac:dyDescent="0.15">
      <c r="A203" s="1" t="s">
        <v>9</v>
      </c>
      <c r="B203" s="5" t="s">
        <v>2521</v>
      </c>
      <c r="C203" s="1" t="s">
        <v>2522</v>
      </c>
      <c r="D203" s="1" t="s">
        <v>2523</v>
      </c>
      <c r="E203" s="1" t="s">
        <v>2524</v>
      </c>
      <c r="F203" s="1" t="s">
        <v>11</v>
      </c>
      <c r="G203" s="1">
        <v>2012</v>
      </c>
      <c r="H203" s="1" t="s">
        <v>2525</v>
      </c>
      <c r="I203" s="1" t="str">
        <f>HYPERLINK("http://dx.doi.org/10.1039/c2ob25909e","http://dx.doi.org/10.1039/c2ob25909e")</f>
        <v>http://dx.doi.org/10.1039/c2ob25909e</v>
      </c>
    </row>
    <row r="204" spans="1:9" ht="409.6" x14ac:dyDescent="0.15">
      <c r="A204" s="1" t="s">
        <v>9</v>
      </c>
      <c r="B204" s="5" t="s">
        <v>3965</v>
      </c>
      <c r="C204" s="1" t="s">
        <v>3966</v>
      </c>
      <c r="D204" s="1" t="s">
        <v>634</v>
      </c>
      <c r="E204" s="1" t="s">
        <v>3967</v>
      </c>
      <c r="F204" s="1" t="s">
        <v>21</v>
      </c>
      <c r="G204" s="1">
        <v>2006</v>
      </c>
      <c r="H204" s="1" t="s">
        <v>3968</v>
      </c>
      <c r="I204" s="1" t="str">
        <f>HYPERLINK("http://dx.doi.org/10.1093/icb/icl023","http://dx.doi.org/10.1093/icb/icl023")</f>
        <v>http://dx.doi.org/10.1093/icb/icl023</v>
      </c>
    </row>
    <row r="205" spans="1:9" ht="293" x14ac:dyDescent="0.15">
      <c r="A205" s="1" t="s">
        <v>9</v>
      </c>
      <c r="B205" s="5" t="s">
        <v>963</v>
      </c>
      <c r="C205" s="1" t="s">
        <v>964</v>
      </c>
      <c r="D205" s="1" t="s">
        <v>965</v>
      </c>
      <c r="E205" s="1" t="s">
        <v>966</v>
      </c>
      <c r="F205" s="1" t="s">
        <v>411</v>
      </c>
      <c r="G205" s="1">
        <v>2019</v>
      </c>
      <c r="H205" s="1" t="s">
        <v>967</v>
      </c>
      <c r="I205" s="1" t="str">
        <f>HYPERLINK("http://dx.doi.org/10.1086/703186","http://dx.doi.org/10.1086/703186")</f>
        <v>http://dx.doi.org/10.1086/703186</v>
      </c>
    </row>
    <row r="206" spans="1:9" ht="397" x14ac:dyDescent="0.15">
      <c r="A206" s="1" t="s">
        <v>9</v>
      </c>
      <c r="B206" s="5" t="s">
        <v>304</v>
      </c>
      <c r="C206" s="1" t="s">
        <v>305</v>
      </c>
      <c r="D206" s="1" t="s">
        <v>306</v>
      </c>
      <c r="E206" s="1" t="s">
        <v>307</v>
      </c>
      <c r="F206" s="1" t="s">
        <v>122</v>
      </c>
      <c r="G206" s="1">
        <v>2019</v>
      </c>
      <c r="H206" s="1" t="s">
        <v>308</v>
      </c>
      <c r="I206" s="1" t="str">
        <f>HYPERLINK("http://dx.doi.org/10.1007/s11033-019-04821-8","http://dx.doi.org/10.1007/s11033-019-04821-8")</f>
        <v>http://dx.doi.org/10.1007/s11033-019-04821-8</v>
      </c>
    </row>
    <row r="207" spans="1:9" ht="319" x14ac:dyDescent="0.15">
      <c r="A207" s="1" t="s">
        <v>9</v>
      </c>
      <c r="B207" s="5" t="s">
        <v>1706</v>
      </c>
      <c r="C207" s="1" t="s">
        <v>1707</v>
      </c>
      <c r="D207" s="1" t="s">
        <v>1188</v>
      </c>
      <c r="E207" s="1" t="s">
        <v>1708</v>
      </c>
      <c r="F207" s="1" t="s">
        <v>1709</v>
      </c>
      <c r="G207" s="1">
        <v>2024</v>
      </c>
      <c r="H207" s="1" t="s">
        <v>1710</v>
      </c>
      <c r="I207" s="1" t="str">
        <f>HYPERLINK("http://dx.doi.org/10.1155/2024/4118218","http://dx.doi.org/10.1155/2024/4118218")</f>
        <v>http://dx.doi.org/10.1155/2024/4118218</v>
      </c>
    </row>
    <row r="208" spans="1:9" ht="154" x14ac:dyDescent="0.15">
      <c r="A208" s="1" t="s">
        <v>9</v>
      </c>
      <c r="B208" s="5" t="s">
        <v>2731</v>
      </c>
      <c r="C208" s="1" t="s">
        <v>2732</v>
      </c>
      <c r="D208" s="1" t="s">
        <v>2733</v>
      </c>
      <c r="E208" s="1" t="s">
        <v>2734</v>
      </c>
      <c r="F208" s="1" t="s">
        <v>2735</v>
      </c>
      <c r="G208" s="1">
        <v>2020</v>
      </c>
      <c r="H208" s="1" t="s">
        <v>2736</v>
      </c>
      <c r="I208" s="1" t="str">
        <f>HYPERLINK("http://dx.doi.org/10.2988/PBSW-D-20-00006","http://dx.doi.org/10.2988/PBSW-D-20-00006")</f>
        <v>http://dx.doi.org/10.2988/PBSW-D-20-00006</v>
      </c>
    </row>
    <row r="209" spans="1:9" ht="196" x14ac:dyDescent="0.15">
      <c r="A209" s="1" t="s">
        <v>9</v>
      </c>
      <c r="B209" s="5" t="s">
        <v>1356</v>
      </c>
      <c r="C209" s="1" t="s">
        <v>1357</v>
      </c>
      <c r="D209" s="1" t="s">
        <v>1358</v>
      </c>
      <c r="E209" s="1" t="s">
        <v>1359</v>
      </c>
      <c r="F209" s="1" t="s">
        <v>138</v>
      </c>
      <c r="G209" s="1">
        <v>2022</v>
      </c>
      <c r="H209" s="1" t="s">
        <v>1360</v>
      </c>
      <c r="I209" s="1" t="str">
        <f>HYPERLINK("http://dx.doi.org/10.2108/zs210075","http://dx.doi.org/10.2108/zs210075")</f>
        <v>http://dx.doi.org/10.2108/zs210075</v>
      </c>
    </row>
    <row r="210" spans="1:9" ht="196" x14ac:dyDescent="0.15">
      <c r="A210" s="1" t="s">
        <v>9</v>
      </c>
      <c r="B210" s="5" t="s">
        <v>1356</v>
      </c>
      <c r="C210" s="1" t="s">
        <v>2694</v>
      </c>
      <c r="D210" s="1" t="s">
        <v>1358</v>
      </c>
      <c r="E210" s="1" t="s">
        <v>2695</v>
      </c>
      <c r="F210" s="1" t="s">
        <v>96</v>
      </c>
      <c r="G210" s="1">
        <v>2020</v>
      </c>
      <c r="H210" s="1" t="s">
        <v>2696</v>
      </c>
      <c r="I210" s="1" t="str">
        <f>HYPERLINK("http://dx.doi.org/10.2108/zs200001","http://dx.doi.org/10.2108/zs200001")</f>
        <v>http://dx.doi.org/10.2108/zs200001</v>
      </c>
    </row>
    <row r="211" spans="1:9" ht="409.6" x14ac:dyDescent="0.15">
      <c r="A211" s="1" t="s">
        <v>9</v>
      </c>
      <c r="B211" s="5" t="s">
        <v>2884</v>
      </c>
      <c r="C211" s="1" t="s">
        <v>2885</v>
      </c>
      <c r="D211" s="1" t="s">
        <v>78</v>
      </c>
      <c r="E211" s="1" t="s">
        <v>2886</v>
      </c>
      <c r="F211" s="1" t="s">
        <v>2887</v>
      </c>
      <c r="G211" s="1">
        <v>2022</v>
      </c>
      <c r="H211" s="1" t="s">
        <v>2888</v>
      </c>
      <c r="I211" s="1" t="str">
        <f>HYPERLINK("http://dx.doi.org/10.3389/fmars.2022.906383","http://dx.doi.org/10.3389/fmars.2022.906383")</f>
        <v>http://dx.doi.org/10.3389/fmars.2022.906383</v>
      </c>
    </row>
    <row r="212" spans="1:9" ht="280" x14ac:dyDescent="0.15">
      <c r="A212" s="1" t="s">
        <v>9</v>
      </c>
      <c r="B212" s="5" t="s">
        <v>1721</v>
      </c>
      <c r="C212" s="1" t="s">
        <v>1722</v>
      </c>
      <c r="D212" s="1" t="s">
        <v>1723</v>
      </c>
      <c r="E212" s="1" t="s">
        <v>1724</v>
      </c>
      <c r="F212" s="1" t="s">
        <v>1725</v>
      </c>
      <c r="G212" s="1">
        <v>2023</v>
      </c>
      <c r="H212" s="1" t="s">
        <v>1726</v>
      </c>
      <c r="I212" s="1" t="str">
        <f>HYPERLINK("http://dx.doi.org/10.3897/zookeys.1146.95004","http://dx.doi.org/10.3897/zookeys.1146.95004")</f>
        <v>http://dx.doi.org/10.3897/zookeys.1146.95004</v>
      </c>
    </row>
    <row r="213" spans="1:9" ht="196" x14ac:dyDescent="0.15">
      <c r="A213" s="1" t="s">
        <v>9</v>
      </c>
      <c r="B213" s="5" t="s">
        <v>1893</v>
      </c>
      <c r="C213" s="1" t="s">
        <v>1894</v>
      </c>
      <c r="D213" s="1" t="s">
        <v>1442</v>
      </c>
      <c r="E213" s="1" t="s">
        <v>1895</v>
      </c>
      <c r="F213" s="1" t="s">
        <v>1896</v>
      </c>
      <c r="G213" s="1">
        <v>2025</v>
      </c>
      <c r="H213" s="1" t="s">
        <v>1897</v>
      </c>
      <c r="I213" s="1" t="str">
        <f>HYPERLINK("http://dx.doi.org/10.1080/14772000.2025.2504484","http://dx.doi.org/10.1080/14772000.2025.2504484")</f>
        <v>http://dx.doi.org/10.1080/14772000.2025.2504484</v>
      </c>
    </row>
    <row r="214" spans="1:9" ht="409.6" x14ac:dyDescent="0.15">
      <c r="A214" s="1" t="s">
        <v>9</v>
      </c>
      <c r="B214" s="5" t="s">
        <v>651</v>
      </c>
      <c r="C214" s="1" t="s">
        <v>652</v>
      </c>
      <c r="D214" s="1" t="s">
        <v>653</v>
      </c>
      <c r="E214" s="1" t="s">
        <v>654</v>
      </c>
      <c r="F214" s="1" t="s">
        <v>62</v>
      </c>
      <c r="G214" s="1">
        <v>2019</v>
      </c>
      <c r="H214" s="1" t="s">
        <v>655</v>
      </c>
      <c r="I214" s="1" t="str">
        <f>HYPERLINK("http://dx.doi.org/10.1371/journal.pntd.0007397","http://dx.doi.org/10.1371/journal.pntd.0007397")</f>
        <v>http://dx.doi.org/10.1371/journal.pntd.0007397</v>
      </c>
    </row>
    <row r="215" spans="1:9" ht="306" x14ac:dyDescent="0.15">
      <c r="A215" s="1" t="s">
        <v>9</v>
      </c>
      <c r="B215" s="5" t="s">
        <v>2302</v>
      </c>
      <c r="C215" s="1" t="s">
        <v>2303</v>
      </c>
      <c r="D215" s="1" t="s">
        <v>2304</v>
      </c>
      <c r="E215" s="1" t="s">
        <v>2305</v>
      </c>
      <c r="F215" s="1" t="s">
        <v>21</v>
      </c>
      <c r="G215" s="1">
        <v>2008</v>
      </c>
      <c r="H215" s="1" t="s">
        <v>2306</v>
      </c>
      <c r="I215" s="1" t="str">
        <f>HYPERLINK("http://dx.doi.org/10.1007/s00210-008-0330-7","http://dx.doi.org/10.1007/s00210-008-0330-7")</f>
        <v>http://dx.doi.org/10.1007/s00210-008-0330-7</v>
      </c>
    </row>
    <row r="216" spans="1:9" ht="384" x14ac:dyDescent="0.15">
      <c r="A216" s="1" t="s">
        <v>9</v>
      </c>
      <c r="B216" s="5" t="s">
        <v>1492</v>
      </c>
      <c r="C216" s="1" t="s">
        <v>1493</v>
      </c>
      <c r="D216" s="1" t="s">
        <v>142</v>
      </c>
      <c r="E216" s="1" t="s">
        <v>1494</v>
      </c>
      <c r="F216" s="1" t="s">
        <v>209</v>
      </c>
      <c r="G216" s="1">
        <v>2019</v>
      </c>
      <c r="H216" s="1" t="s">
        <v>1495</v>
      </c>
      <c r="I216" s="1" t="str">
        <f>HYPERLINK("http://dx.doi.org/10.1016/j.fsi.2019.08.070","http://dx.doi.org/10.1016/j.fsi.2019.08.070")</f>
        <v>http://dx.doi.org/10.1016/j.fsi.2019.08.070</v>
      </c>
    </row>
    <row r="217" spans="1:9" ht="224" x14ac:dyDescent="0.15">
      <c r="A217" s="1" t="s">
        <v>9</v>
      </c>
      <c r="B217" s="5" t="s">
        <v>1655</v>
      </c>
      <c r="C217" s="1" t="s">
        <v>1656</v>
      </c>
      <c r="D217" s="1" t="s">
        <v>1657</v>
      </c>
      <c r="E217" s="1" t="s">
        <v>1658</v>
      </c>
      <c r="F217" s="1" t="s">
        <v>1659</v>
      </c>
      <c r="G217" s="1">
        <v>2021</v>
      </c>
      <c r="H217" s="1" t="s">
        <v>1660</v>
      </c>
      <c r="I217" s="1" t="str">
        <f>HYPERLINK("http://dx.doi.org/10.1080/15476286.2020.1867798","http://dx.doi.org/10.1080/15476286.2020.1867798")</f>
        <v>http://dx.doi.org/10.1080/15476286.2020.1867798</v>
      </c>
    </row>
    <row r="218" spans="1:9" ht="409.6" x14ac:dyDescent="0.15">
      <c r="A218" s="1" t="s">
        <v>9</v>
      </c>
      <c r="B218" s="5" t="s">
        <v>1259</v>
      </c>
      <c r="C218" s="1" t="s">
        <v>1260</v>
      </c>
      <c r="D218" s="1" t="s">
        <v>321</v>
      </c>
      <c r="E218" s="1" t="s">
        <v>1261</v>
      </c>
      <c r="F218" s="1" t="s">
        <v>1262</v>
      </c>
      <c r="G218" s="1">
        <v>2018</v>
      </c>
      <c r="H218" s="1" t="s">
        <v>1263</v>
      </c>
      <c r="I218" s="1" t="str">
        <f>HYPERLINK("http://dx.doi.org/10.1371/journal.pone.0207771","http://dx.doi.org/10.1371/journal.pone.0207771")</f>
        <v>http://dx.doi.org/10.1371/journal.pone.0207771</v>
      </c>
    </row>
    <row r="219" spans="1:9" ht="266" x14ac:dyDescent="0.15">
      <c r="A219" s="1" t="s">
        <v>9</v>
      </c>
      <c r="B219" s="5" t="s">
        <v>419</v>
      </c>
      <c r="C219" s="1" t="s">
        <v>420</v>
      </c>
      <c r="D219" s="1" t="s">
        <v>421</v>
      </c>
      <c r="E219" s="1" t="s">
        <v>422</v>
      </c>
      <c r="F219" s="1" t="s">
        <v>423</v>
      </c>
      <c r="G219" s="1">
        <v>2003</v>
      </c>
      <c r="H219" s="1" t="s">
        <v>424</v>
      </c>
      <c r="I219" s="1" t="str">
        <f>HYPERLINK("http://dx.doi.org/10.1002/ijc.11006","http://dx.doi.org/10.1002/ijc.11006")</f>
        <v>http://dx.doi.org/10.1002/ijc.11006</v>
      </c>
    </row>
    <row r="220" spans="1:9" ht="319" x14ac:dyDescent="0.15">
      <c r="A220" s="1" t="s">
        <v>9</v>
      </c>
      <c r="B220" s="5" t="s">
        <v>1812</v>
      </c>
      <c r="C220" s="1" t="s">
        <v>1813</v>
      </c>
      <c r="D220" s="1" t="s">
        <v>498</v>
      </c>
      <c r="E220" s="1" t="s">
        <v>1814</v>
      </c>
      <c r="F220" s="1" t="s">
        <v>21</v>
      </c>
      <c r="G220" s="1">
        <v>2024</v>
      </c>
      <c r="H220" s="1" t="s">
        <v>1815</v>
      </c>
      <c r="I220" s="1" t="str">
        <f>HYPERLINK("http://dx.doi.org/10.1016/j.aqrep.2024.102354","http://dx.doi.org/10.1016/j.aqrep.2024.102354")</f>
        <v>http://dx.doi.org/10.1016/j.aqrep.2024.102354</v>
      </c>
    </row>
    <row r="221" spans="1:9" ht="238" x14ac:dyDescent="0.15">
      <c r="A221" s="1" t="s">
        <v>9</v>
      </c>
      <c r="B221" s="5" t="s">
        <v>3588</v>
      </c>
      <c r="C221" s="1" t="s">
        <v>3589</v>
      </c>
      <c r="D221" s="1" t="s">
        <v>3114</v>
      </c>
      <c r="E221" s="1" t="s">
        <v>3590</v>
      </c>
      <c r="F221" s="1" t="s">
        <v>56</v>
      </c>
      <c r="G221" s="1">
        <v>2020</v>
      </c>
      <c r="H221" s="1" t="s">
        <v>3591</v>
      </c>
      <c r="I221" s="1" t="str">
        <f>HYPERLINK("http://dx.doi.org/10.1016/j.biopha.2020.110365","http://dx.doi.org/10.1016/j.biopha.2020.110365")</f>
        <v>http://dx.doi.org/10.1016/j.biopha.2020.110365</v>
      </c>
    </row>
    <row r="222" spans="1:9" ht="409.6" x14ac:dyDescent="0.15">
      <c r="A222" s="1" t="s">
        <v>9</v>
      </c>
      <c r="B222" s="5" t="s">
        <v>2116</v>
      </c>
      <c r="C222" s="1" t="s">
        <v>2117</v>
      </c>
      <c r="D222" s="1" t="s">
        <v>2118</v>
      </c>
      <c r="E222" s="1" t="s">
        <v>2119</v>
      </c>
      <c r="F222" s="1" t="s">
        <v>221</v>
      </c>
      <c r="G222" s="1">
        <v>2013</v>
      </c>
      <c r="H222" s="1" t="s">
        <v>2120</v>
      </c>
      <c r="I222" s="1" t="str">
        <f>HYPERLINK("http://dx.doi.org/10.1890/11-2255.1","http://dx.doi.org/10.1890/11-2255.1")</f>
        <v>http://dx.doi.org/10.1890/11-2255.1</v>
      </c>
    </row>
    <row r="223" spans="1:9" ht="168" x14ac:dyDescent="0.15">
      <c r="A223" s="1" t="s">
        <v>9</v>
      </c>
      <c r="B223" s="5" t="s">
        <v>1539</v>
      </c>
      <c r="C223" s="1" t="s">
        <v>1540</v>
      </c>
      <c r="D223" s="1" t="s">
        <v>25</v>
      </c>
      <c r="E223" s="1" t="s">
        <v>1541</v>
      </c>
      <c r="F223" s="1" t="s">
        <v>138</v>
      </c>
      <c r="G223" s="1">
        <v>2009</v>
      </c>
      <c r="H223" s="1" t="s">
        <v>1542</v>
      </c>
      <c r="I223" s="1" t="str">
        <f>HYPERLINK("http://dx.doi.org/10.1093/molbev/msn260","http://dx.doi.org/10.1093/molbev/msn260")</f>
        <v>http://dx.doi.org/10.1093/molbev/msn260</v>
      </c>
    </row>
    <row r="224" spans="1:9" ht="371" x14ac:dyDescent="0.15">
      <c r="A224" s="1" t="s">
        <v>9</v>
      </c>
      <c r="B224" s="5" t="s">
        <v>751</v>
      </c>
      <c r="C224" s="1" t="s">
        <v>752</v>
      </c>
      <c r="D224" s="1" t="s">
        <v>753</v>
      </c>
      <c r="E224" s="1" t="s">
        <v>754</v>
      </c>
      <c r="F224" s="1" t="s">
        <v>755</v>
      </c>
      <c r="G224" s="1">
        <v>2025</v>
      </c>
      <c r="H224" s="1" t="s">
        <v>756</v>
      </c>
      <c r="I224" s="1" t="str">
        <f>HYPERLINK("http://dx.doi.org/10.1080/15287394.2025.2564186","http://dx.doi.org/10.1080/15287394.2025.2564186")</f>
        <v>http://dx.doi.org/10.1080/15287394.2025.2564186</v>
      </c>
    </row>
    <row r="225" spans="1:9" ht="196" x14ac:dyDescent="0.15">
      <c r="A225" s="1" t="s">
        <v>608</v>
      </c>
      <c r="B225" s="5" t="s">
        <v>609</v>
      </c>
      <c r="C225" s="1" t="s">
        <v>610</v>
      </c>
      <c r="D225" s="1" t="s">
        <v>611</v>
      </c>
      <c r="E225" s="1" t="s">
        <v>612</v>
      </c>
      <c r="F225" s="1" t="s">
        <v>11</v>
      </c>
      <c r="G225" s="1">
        <v>2010</v>
      </c>
      <c r="H225" s="1" t="s">
        <v>11</v>
      </c>
      <c r="I225" s="1" t="s">
        <v>11</v>
      </c>
    </row>
    <row r="226" spans="1:9" ht="306" x14ac:dyDescent="0.15">
      <c r="A226" s="1" t="s">
        <v>9</v>
      </c>
      <c r="B226" s="5" t="s">
        <v>2858</v>
      </c>
      <c r="C226" s="1" t="s">
        <v>2859</v>
      </c>
      <c r="D226" s="1" t="s">
        <v>2860</v>
      </c>
      <c r="E226" s="1" t="s">
        <v>2861</v>
      </c>
      <c r="F226" s="1" t="s">
        <v>122</v>
      </c>
      <c r="G226" s="1">
        <v>2019</v>
      </c>
      <c r="H226" s="1" t="s">
        <v>2862</v>
      </c>
      <c r="I226" s="1" t="str">
        <f>HYPERLINK("http://dx.doi.org/10.1021/acschemneuro.9b00346","http://dx.doi.org/10.1021/acschemneuro.9b00346")</f>
        <v>http://dx.doi.org/10.1021/acschemneuro.9b00346</v>
      </c>
    </row>
    <row r="227" spans="1:9" ht="280" x14ac:dyDescent="0.15">
      <c r="A227" s="1" t="s">
        <v>9</v>
      </c>
      <c r="B227" s="5" t="s">
        <v>2742</v>
      </c>
      <c r="C227" s="1" t="s">
        <v>2743</v>
      </c>
      <c r="D227" s="1" t="s">
        <v>2744</v>
      </c>
      <c r="E227" s="1" t="s">
        <v>2745</v>
      </c>
      <c r="F227" s="1" t="s">
        <v>39</v>
      </c>
      <c r="G227" s="1">
        <v>2021</v>
      </c>
      <c r="H227" s="1" t="s">
        <v>2746</v>
      </c>
      <c r="I227" s="1" t="str">
        <f>HYPERLINK("http://dx.doi.org/10.1080/24750263.2021.1953624","http://dx.doi.org/10.1080/24750263.2021.1953624")</f>
        <v>http://dx.doi.org/10.1080/24750263.2021.1953624</v>
      </c>
    </row>
    <row r="228" spans="1:9" ht="224" x14ac:dyDescent="0.15">
      <c r="A228" s="1" t="s">
        <v>9</v>
      </c>
      <c r="B228" s="5" t="s">
        <v>3758</v>
      </c>
      <c r="C228" s="1" t="s">
        <v>3759</v>
      </c>
      <c r="D228" s="1" t="s">
        <v>2184</v>
      </c>
      <c r="E228" s="1" t="s">
        <v>3760</v>
      </c>
      <c r="F228" s="1" t="s">
        <v>138</v>
      </c>
      <c r="G228" s="1">
        <v>2020</v>
      </c>
      <c r="H228" s="1" t="s">
        <v>3761</v>
      </c>
      <c r="I228" s="1" t="str">
        <f>HYPERLINK("http://dx.doi.org/10.3390/d12020062","http://dx.doi.org/10.3390/d12020062")</f>
        <v>http://dx.doi.org/10.3390/d12020062</v>
      </c>
    </row>
    <row r="229" spans="1:9" ht="266" x14ac:dyDescent="0.15">
      <c r="A229" s="1" t="s">
        <v>9</v>
      </c>
      <c r="B229" s="5" t="s">
        <v>3019</v>
      </c>
      <c r="C229" s="1" t="s">
        <v>3020</v>
      </c>
      <c r="D229" s="1" t="s">
        <v>648</v>
      </c>
      <c r="E229" s="1" t="s">
        <v>3021</v>
      </c>
      <c r="F229" s="1" t="s">
        <v>56</v>
      </c>
      <c r="G229" s="1">
        <v>2014</v>
      </c>
      <c r="H229" s="1" t="s">
        <v>3022</v>
      </c>
      <c r="I229" s="1" t="str">
        <f>HYPERLINK("http://dx.doi.org/10.1242/jeb.106575","http://dx.doi.org/10.1242/jeb.106575")</f>
        <v>http://dx.doi.org/10.1242/jeb.106575</v>
      </c>
    </row>
    <row r="230" spans="1:9" ht="371" x14ac:dyDescent="0.15">
      <c r="A230" s="1" t="s">
        <v>9</v>
      </c>
      <c r="B230" s="5" t="s">
        <v>989</v>
      </c>
      <c r="C230" s="1" t="s">
        <v>990</v>
      </c>
      <c r="D230" s="1" t="s">
        <v>991</v>
      </c>
      <c r="E230" s="1" t="s">
        <v>992</v>
      </c>
      <c r="F230" s="1" t="s">
        <v>33</v>
      </c>
      <c r="G230" s="1">
        <v>2014</v>
      </c>
      <c r="H230" s="1" t="s">
        <v>993</v>
      </c>
      <c r="I230" s="1" t="str">
        <f>HYPERLINK("http://dx.doi.org/10.1111/1365-2435.12195","http://dx.doi.org/10.1111/1365-2435.12195")</f>
        <v>http://dx.doi.org/10.1111/1365-2435.12195</v>
      </c>
    </row>
    <row r="231" spans="1:9" ht="266" x14ac:dyDescent="0.15">
      <c r="A231" s="1" t="s">
        <v>9</v>
      </c>
      <c r="B231" s="5" t="s">
        <v>3185</v>
      </c>
      <c r="C231" s="1" t="s">
        <v>3186</v>
      </c>
      <c r="D231" s="1" t="s">
        <v>3187</v>
      </c>
      <c r="E231" s="1" t="s">
        <v>3188</v>
      </c>
      <c r="F231" s="1" t="s">
        <v>96</v>
      </c>
      <c r="G231" s="1">
        <v>2024</v>
      </c>
      <c r="H231" s="1" t="s">
        <v>3189</v>
      </c>
      <c r="I231" s="1" t="str">
        <f>HYPERLINK("http://dx.doi.org/10.1038/s41401-024-01296-7","http://dx.doi.org/10.1038/s41401-024-01296-7")</f>
        <v>http://dx.doi.org/10.1038/s41401-024-01296-7</v>
      </c>
    </row>
    <row r="232" spans="1:9" ht="293" x14ac:dyDescent="0.15">
      <c r="A232" s="1" t="s">
        <v>9</v>
      </c>
      <c r="B232" s="5" t="s">
        <v>1632</v>
      </c>
      <c r="C232" s="1" t="s">
        <v>1633</v>
      </c>
      <c r="D232" s="1" t="s">
        <v>1511</v>
      </c>
      <c r="E232" s="1" t="s">
        <v>1634</v>
      </c>
      <c r="F232" s="1" t="s">
        <v>68</v>
      </c>
      <c r="G232" s="1">
        <v>2016</v>
      </c>
      <c r="H232" s="1" t="s">
        <v>1635</v>
      </c>
      <c r="I232" s="1" t="str">
        <f>HYPERLINK("http://dx.doi.org/10.1016/j.ympev.2016.04.003","http://dx.doi.org/10.1016/j.ympev.2016.04.003")</f>
        <v>http://dx.doi.org/10.1016/j.ympev.2016.04.003</v>
      </c>
    </row>
    <row r="233" spans="1:9" ht="210" x14ac:dyDescent="0.15">
      <c r="A233" s="1" t="s">
        <v>9</v>
      </c>
      <c r="B233" s="5" t="s">
        <v>439</v>
      </c>
      <c r="C233" s="1" t="s">
        <v>440</v>
      </c>
      <c r="D233" s="1" t="s">
        <v>441</v>
      </c>
      <c r="E233" s="1" t="s">
        <v>442</v>
      </c>
      <c r="F233" s="1" t="s">
        <v>112</v>
      </c>
      <c r="G233" s="1">
        <v>2022</v>
      </c>
      <c r="H233" s="1" t="s">
        <v>443</v>
      </c>
      <c r="I233" s="1" t="str">
        <f>HYPERLINK("http://dx.doi.org/10.1016/j.ygeno.2022.110309","http://dx.doi.org/10.1016/j.ygeno.2022.110309")</f>
        <v>http://dx.doi.org/10.1016/j.ygeno.2022.110309</v>
      </c>
    </row>
    <row r="234" spans="1:9" ht="397" x14ac:dyDescent="0.15">
      <c r="A234" s="1" t="s">
        <v>9</v>
      </c>
      <c r="B234" s="5" t="s">
        <v>3718</v>
      </c>
      <c r="C234" s="1" t="s">
        <v>3719</v>
      </c>
      <c r="D234" s="1" t="s">
        <v>3720</v>
      </c>
      <c r="E234" s="1" t="s">
        <v>3721</v>
      </c>
      <c r="F234" s="1" t="s">
        <v>112</v>
      </c>
      <c r="G234" s="1">
        <v>2020</v>
      </c>
      <c r="H234" s="1" t="s">
        <v>3722</v>
      </c>
      <c r="I234" s="1" t="str">
        <f>HYPERLINK("http://dx.doi.org/10.1111/1759-7714.13306","http://dx.doi.org/10.1111/1759-7714.13306")</f>
        <v>http://dx.doi.org/10.1111/1759-7714.13306</v>
      </c>
    </row>
    <row r="235" spans="1:9" ht="224" x14ac:dyDescent="0.15">
      <c r="A235" s="1" t="s">
        <v>9</v>
      </c>
      <c r="B235" s="5" t="s">
        <v>3771</v>
      </c>
      <c r="C235" s="1" t="s">
        <v>3772</v>
      </c>
      <c r="D235" s="1" t="s">
        <v>2184</v>
      </c>
      <c r="E235" s="1" t="s">
        <v>3773</v>
      </c>
      <c r="F235" s="1" t="s">
        <v>138</v>
      </c>
      <c r="G235" s="1">
        <v>2023</v>
      </c>
      <c r="H235" s="1" t="s">
        <v>3774</v>
      </c>
      <c r="I235" s="1" t="str">
        <f>HYPERLINK("http://dx.doi.org/10.3390/d15020226","http://dx.doi.org/10.3390/d15020226")</f>
        <v>http://dx.doi.org/10.3390/d15020226</v>
      </c>
    </row>
    <row r="236" spans="1:9" ht="409.6" x14ac:dyDescent="0.15">
      <c r="A236" s="1" t="s">
        <v>9</v>
      </c>
      <c r="B236" s="5" t="s">
        <v>1769</v>
      </c>
      <c r="C236" s="1" t="s">
        <v>1770</v>
      </c>
      <c r="D236" s="1" t="s">
        <v>1771</v>
      </c>
      <c r="E236" s="1" t="s">
        <v>1772</v>
      </c>
      <c r="F236" s="1" t="s">
        <v>56</v>
      </c>
      <c r="G236" s="1">
        <v>2022</v>
      </c>
      <c r="H236" s="1" t="s">
        <v>1773</v>
      </c>
      <c r="I236" s="1" t="str">
        <f>HYPERLINK("http://dx.doi.org/10.3390/cancers14174183","http://dx.doi.org/10.3390/cancers14174183")</f>
        <v>http://dx.doi.org/10.3390/cancers14174183</v>
      </c>
    </row>
    <row r="237" spans="1:9" ht="266" x14ac:dyDescent="0.15">
      <c r="A237" s="1" t="s">
        <v>9</v>
      </c>
      <c r="B237" s="5" t="s">
        <v>1126</v>
      </c>
      <c r="C237" s="1" t="s">
        <v>1127</v>
      </c>
      <c r="D237" s="1" t="s">
        <v>1128</v>
      </c>
      <c r="E237" s="1" t="s">
        <v>1129</v>
      </c>
      <c r="F237" s="1" t="s">
        <v>138</v>
      </c>
      <c r="G237" s="1">
        <v>2019</v>
      </c>
      <c r="H237" s="1" t="s">
        <v>1130</v>
      </c>
      <c r="I237" s="1" t="str">
        <f>HYPERLINK("http://dx.doi.org/10.1111/1744-7917.12558","http://dx.doi.org/10.1111/1744-7917.12558")</f>
        <v>http://dx.doi.org/10.1111/1744-7917.12558</v>
      </c>
    </row>
    <row r="238" spans="1:9" ht="293" x14ac:dyDescent="0.15">
      <c r="A238" s="1" t="s">
        <v>9</v>
      </c>
      <c r="B238" s="5" t="s">
        <v>1112</v>
      </c>
      <c r="C238" s="1" t="s">
        <v>1113</v>
      </c>
      <c r="D238" s="1" t="s">
        <v>1114</v>
      </c>
      <c r="E238" s="1" t="s">
        <v>1115</v>
      </c>
      <c r="F238" s="1" t="s">
        <v>203</v>
      </c>
      <c r="G238" s="1">
        <v>2017</v>
      </c>
      <c r="H238" s="1" t="s">
        <v>1116</v>
      </c>
      <c r="I238" s="1" t="str">
        <f>HYPERLINK("http://dx.doi.org/10.1093/gigascience/gix031","http://dx.doi.org/10.1093/gigascience/gix031")</f>
        <v>http://dx.doi.org/10.1093/gigascience/gix031</v>
      </c>
    </row>
    <row r="239" spans="1:9" ht="182" x14ac:dyDescent="0.15">
      <c r="A239" s="1" t="s">
        <v>9</v>
      </c>
      <c r="B239" s="5" t="s">
        <v>3709</v>
      </c>
      <c r="C239" s="1" t="s">
        <v>3710</v>
      </c>
      <c r="D239" s="1" t="s">
        <v>662</v>
      </c>
      <c r="E239" s="1" t="s">
        <v>3711</v>
      </c>
      <c r="F239" s="1" t="s">
        <v>221</v>
      </c>
      <c r="G239" s="1">
        <v>2024</v>
      </c>
      <c r="H239" s="1" t="s">
        <v>3712</v>
      </c>
      <c r="I239" s="1" t="str">
        <f>HYPERLINK("http://dx.doi.org/10.3390/md22010015","http://dx.doi.org/10.3390/md22010015")</f>
        <v>http://dx.doi.org/10.3390/md22010015</v>
      </c>
    </row>
    <row r="240" spans="1:9" ht="293" x14ac:dyDescent="0.15">
      <c r="A240" s="1" t="s">
        <v>9</v>
      </c>
      <c r="B240" s="5" t="s">
        <v>228</v>
      </c>
      <c r="C240" s="1" t="s">
        <v>229</v>
      </c>
      <c r="D240" s="1" t="s">
        <v>207</v>
      </c>
      <c r="E240" s="1" t="s">
        <v>230</v>
      </c>
      <c r="F240" s="1" t="s">
        <v>56</v>
      </c>
      <c r="G240" s="1">
        <v>2017</v>
      </c>
      <c r="H240" s="1" t="s">
        <v>231</v>
      </c>
      <c r="I240" s="1" t="str">
        <f>HYPERLINK("http://dx.doi.org/10.1007/s13258-017-0563-2","http://dx.doi.org/10.1007/s13258-017-0563-2")</f>
        <v>http://dx.doi.org/10.1007/s13258-017-0563-2</v>
      </c>
    </row>
    <row r="241" spans="1:9" ht="358" x14ac:dyDescent="0.15">
      <c r="A241" s="1" t="s">
        <v>9</v>
      </c>
      <c r="B241" s="5" t="s">
        <v>552</v>
      </c>
      <c r="C241" s="1" t="s">
        <v>553</v>
      </c>
      <c r="D241" s="1" t="s">
        <v>90</v>
      </c>
      <c r="E241" s="1" t="s">
        <v>554</v>
      </c>
      <c r="F241" s="1" t="s">
        <v>56</v>
      </c>
      <c r="G241" s="1">
        <v>2020</v>
      </c>
      <c r="H241" s="1" t="s">
        <v>555</v>
      </c>
      <c r="I241" s="1" t="str">
        <f>HYPERLINK("http://dx.doi.org/10.1016/j.cbd.2020.100683","http://dx.doi.org/10.1016/j.cbd.2020.100683")</f>
        <v>http://dx.doi.org/10.1016/j.cbd.2020.100683</v>
      </c>
    </row>
    <row r="242" spans="1:9" ht="224" x14ac:dyDescent="0.15">
      <c r="A242" s="1" t="s">
        <v>9</v>
      </c>
      <c r="B242" s="5" t="s">
        <v>1945</v>
      </c>
      <c r="C242" s="1" t="s">
        <v>1946</v>
      </c>
      <c r="D242" s="1" t="s">
        <v>1947</v>
      </c>
      <c r="E242" s="1" t="s">
        <v>1948</v>
      </c>
      <c r="F242" s="1" t="s">
        <v>11</v>
      </c>
      <c r="G242" s="1">
        <v>2015</v>
      </c>
      <c r="H242" s="1" t="s">
        <v>1949</v>
      </c>
      <c r="I242" s="1" t="str">
        <f>HYPERLINK("http://dx.doi.org/10.4238/2015.December.23.27","http://dx.doi.org/10.4238/2015.December.23.27")</f>
        <v>http://dx.doi.org/10.4238/2015.December.23.27</v>
      </c>
    </row>
    <row r="243" spans="1:9" ht="252" x14ac:dyDescent="0.15">
      <c r="A243" s="1" t="s">
        <v>9</v>
      </c>
      <c r="B243" s="5" t="s">
        <v>3999</v>
      </c>
      <c r="C243" s="1" t="s">
        <v>4000</v>
      </c>
      <c r="D243" s="1" t="s">
        <v>4001</v>
      </c>
      <c r="E243" s="1" t="s">
        <v>4002</v>
      </c>
      <c r="F243" s="1" t="s">
        <v>96</v>
      </c>
      <c r="G243" s="1">
        <v>2021</v>
      </c>
      <c r="H243" s="1" t="s">
        <v>4003</v>
      </c>
      <c r="I243" s="1" t="str">
        <f>HYPERLINK("http://dx.doi.org/10.1111/anu.13305","http://dx.doi.org/10.1111/anu.13305")</f>
        <v>http://dx.doi.org/10.1111/anu.13305</v>
      </c>
    </row>
    <row r="244" spans="1:9" ht="224" x14ac:dyDescent="0.15">
      <c r="A244" s="1" t="s">
        <v>9</v>
      </c>
      <c r="B244" s="5" t="s">
        <v>3563</v>
      </c>
      <c r="C244" s="1" t="s">
        <v>3564</v>
      </c>
      <c r="D244" s="1" t="s">
        <v>3127</v>
      </c>
      <c r="E244" s="1" t="s">
        <v>3565</v>
      </c>
      <c r="F244" s="1" t="s">
        <v>11</v>
      </c>
      <c r="G244" s="1">
        <v>2017</v>
      </c>
      <c r="H244" s="1" t="s">
        <v>11</v>
      </c>
      <c r="I244" s="1" t="s">
        <v>11</v>
      </c>
    </row>
    <row r="245" spans="1:9" ht="280" x14ac:dyDescent="0.15">
      <c r="A245" s="1" t="s">
        <v>9</v>
      </c>
      <c r="B245" s="5" t="s">
        <v>3306</v>
      </c>
      <c r="C245" s="1" t="s">
        <v>3307</v>
      </c>
      <c r="D245" s="1" t="s">
        <v>1358</v>
      </c>
      <c r="E245" s="1" t="s">
        <v>3308</v>
      </c>
      <c r="F245" s="1" t="s">
        <v>21</v>
      </c>
      <c r="G245" s="1">
        <v>2015</v>
      </c>
      <c r="H245" s="1" t="s">
        <v>3309</v>
      </c>
      <c r="I245" s="1" t="str">
        <f>HYPERLINK("http://dx.doi.org/10.2108/zs140250","http://dx.doi.org/10.2108/zs140250")</f>
        <v>http://dx.doi.org/10.2108/zs140250</v>
      </c>
    </row>
    <row r="246" spans="1:9" ht="196" x14ac:dyDescent="0.15">
      <c r="A246" s="1" t="s">
        <v>9</v>
      </c>
      <c r="B246" s="5" t="s">
        <v>3546</v>
      </c>
      <c r="C246" s="1" t="s">
        <v>3547</v>
      </c>
      <c r="D246" s="1" t="s">
        <v>3548</v>
      </c>
      <c r="E246" s="1" t="s">
        <v>3549</v>
      </c>
      <c r="F246" s="1" t="s">
        <v>3295</v>
      </c>
      <c r="G246" s="1">
        <v>2000</v>
      </c>
      <c r="H246" s="1" t="s">
        <v>11</v>
      </c>
      <c r="I246" s="1" t="s">
        <v>11</v>
      </c>
    </row>
    <row r="247" spans="1:9" ht="293" x14ac:dyDescent="0.15">
      <c r="A247" s="1" t="s">
        <v>9</v>
      </c>
      <c r="B247" s="5" t="s">
        <v>1426</v>
      </c>
      <c r="C247" s="1" t="s">
        <v>1427</v>
      </c>
      <c r="D247" s="1" t="s">
        <v>1428</v>
      </c>
      <c r="E247" s="1" t="s">
        <v>1429</v>
      </c>
      <c r="F247" s="1" t="s">
        <v>11</v>
      </c>
      <c r="G247" s="1">
        <v>2023</v>
      </c>
      <c r="H247" s="1" t="s">
        <v>1430</v>
      </c>
      <c r="I247" s="1" t="str">
        <f>HYPERLINK("http://dx.doi.org/10.12681/mms.29072","http://dx.doi.org/10.12681/mms.29072")</f>
        <v>http://dx.doi.org/10.12681/mms.29072</v>
      </c>
    </row>
    <row r="248" spans="1:9" ht="306" x14ac:dyDescent="0.15">
      <c r="A248" s="1" t="s">
        <v>9</v>
      </c>
      <c r="B248" s="5" t="s">
        <v>973</v>
      </c>
      <c r="C248" s="1" t="s">
        <v>974</v>
      </c>
      <c r="D248" s="1" t="s">
        <v>60</v>
      </c>
      <c r="E248" s="1" t="s">
        <v>975</v>
      </c>
      <c r="F248" s="1" t="s">
        <v>138</v>
      </c>
      <c r="G248" s="1">
        <v>2024</v>
      </c>
      <c r="H248" s="1" t="s">
        <v>976</v>
      </c>
      <c r="I248" s="1" t="str">
        <f>HYPERLINK("http://dx.doi.org/10.1111/eva.13655","http://dx.doi.org/10.1111/eva.13655")</f>
        <v>http://dx.doi.org/10.1111/eva.13655</v>
      </c>
    </row>
    <row r="249" spans="1:9" ht="409.6" x14ac:dyDescent="0.15">
      <c r="A249" s="1" t="s">
        <v>9</v>
      </c>
      <c r="B249" s="5" t="s">
        <v>2707</v>
      </c>
      <c r="C249" s="1" t="s">
        <v>2708</v>
      </c>
      <c r="D249" s="1" t="s">
        <v>225</v>
      </c>
      <c r="E249" s="1" t="s">
        <v>2709</v>
      </c>
      <c r="F249" s="1" t="s">
        <v>209</v>
      </c>
      <c r="G249" s="1">
        <v>2009</v>
      </c>
      <c r="H249" s="1" t="s">
        <v>2710</v>
      </c>
      <c r="I249" s="1" t="str">
        <f>HYPERLINK("http://dx.doi.org/10.1093/mollus/eyp037","http://dx.doi.org/10.1093/mollus/eyp037")</f>
        <v>http://dx.doi.org/10.1093/mollus/eyp037</v>
      </c>
    </row>
    <row r="250" spans="1:9" ht="266" x14ac:dyDescent="0.15">
      <c r="A250" s="1" t="s">
        <v>9</v>
      </c>
      <c r="B250" s="5" t="s">
        <v>2052</v>
      </c>
      <c r="C250" s="1" t="s">
        <v>2053</v>
      </c>
      <c r="D250" s="1" t="s">
        <v>1479</v>
      </c>
      <c r="E250" s="1" t="s">
        <v>2054</v>
      </c>
      <c r="F250" s="1" t="s">
        <v>2055</v>
      </c>
      <c r="G250" s="1">
        <v>2022</v>
      </c>
      <c r="H250" s="1" t="s">
        <v>2056</v>
      </c>
      <c r="I250" s="1" t="str">
        <f>HYPERLINK("http://dx.doi.org/10.1093/zoolinnean/zlab031","http://dx.doi.org/10.1093/zoolinnean/zlab031")</f>
        <v>http://dx.doi.org/10.1093/zoolinnean/zlab031</v>
      </c>
    </row>
    <row r="251" spans="1:9" ht="319" x14ac:dyDescent="0.15">
      <c r="A251" s="1" t="s">
        <v>9</v>
      </c>
      <c r="B251" s="5" t="s">
        <v>2868</v>
      </c>
      <c r="C251" s="1" t="s">
        <v>2869</v>
      </c>
      <c r="D251" s="1" t="s">
        <v>1511</v>
      </c>
      <c r="E251" s="1" t="s">
        <v>2870</v>
      </c>
      <c r="F251" s="1" t="s">
        <v>122</v>
      </c>
      <c r="G251" s="1">
        <v>2006</v>
      </c>
      <c r="H251" s="1" t="s">
        <v>2871</v>
      </c>
      <c r="I251" s="1" t="str">
        <f>HYPERLINK("http://dx.doi.org/10.1016/j.ympev.2006.02.006","http://dx.doi.org/10.1016/j.ympev.2006.02.006")</f>
        <v>http://dx.doi.org/10.1016/j.ympev.2006.02.006</v>
      </c>
    </row>
    <row r="252" spans="1:9" ht="238" x14ac:dyDescent="0.15">
      <c r="A252" s="1" t="s">
        <v>9</v>
      </c>
      <c r="B252" s="5" t="s">
        <v>3775</v>
      </c>
      <c r="C252" s="1" t="s">
        <v>3776</v>
      </c>
      <c r="D252" s="1" t="s">
        <v>3777</v>
      </c>
      <c r="E252" s="1" t="s">
        <v>3778</v>
      </c>
      <c r="F252" s="1" t="s">
        <v>33</v>
      </c>
      <c r="G252" s="1">
        <v>2018</v>
      </c>
      <c r="H252" s="1" t="s">
        <v>3779</v>
      </c>
      <c r="I252" s="1" t="str">
        <f>HYPERLINK("http://dx.doi.org/10.1134/S1022795418060078","http://dx.doi.org/10.1134/S1022795418060078")</f>
        <v>http://dx.doi.org/10.1134/S1022795418060078</v>
      </c>
    </row>
    <row r="253" spans="1:9" ht="224" x14ac:dyDescent="0.15">
      <c r="A253" s="1" t="s">
        <v>9</v>
      </c>
      <c r="B253" s="5" t="s">
        <v>2994</v>
      </c>
      <c r="C253" s="1" t="s">
        <v>2995</v>
      </c>
      <c r="D253" s="1" t="s">
        <v>2368</v>
      </c>
      <c r="E253" s="1" t="s">
        <v>2996</v>
      </c>
      <c r="F253" s="1" t="s">
        <v>122</v>
      </c>
      <c r="G253" s="1">
        <v>2000</v>
      </c>
      <c r="H253" s="1" t="s">
        <v>11</v>
      </c>
      <c r="I253" s="1" t="s">
        <v>11</v>
      </c>
    </row>
    <row r="254" spans="1:9" ht="252" x14ac:dyDescent="0.15">
      <c r="A254" s="1" t="s">
        <v>9</v>
      </c>
      <c r="B254" s="5" t="s">
        <v>622</v>
      </c>
      <c r="C254" s="1" t="s">
        <v>623</v>
      </c>
      <c r="D254" s="1" t="s">
        <v>372</v>
      </c>
      <c r="E254" s="1" t="s">
        <v>624</v>
      </c>
      <c r="F254" s="1" t="s">
        <v>625</v>
      </c>
      <c r="G254" s="1">
        <v>2020</v>
      </c>
      <c r="H254" s="1" t="s">
        <v>626</v>
      </c>
      <c r="I254" s="1" t="str">
        <f>HYPERLINK("http://dx.doi.org/10.1038/s41467-020-17397-w","http://dx.doi.org/10.1038/s41467-020-17397-w")</f>
        <v>http://dx.doi.org/10.1038/s41467-020-17397-w</v>
      </c>
    </row>
    <row r="255" spans="1:9" ht="280" x14ac:dyDescent="0.15">
      <c r="A255" s="1" t="s">
        <v>9</v>
      </c>
      <c r="B255" s="5" t="s">
        <v>3789</v>
      </c>
      <c r="C255" s="1" t="s">
        <v>3790</v>
      </c>
      <c r="D255" s="1" t="s">
        <v>3791</v>
      </c>
      <c r="E255" s="1" t="s">
        <v>3792</v>
      </c>
      <c r="F255" s="1" t="s">
        <v>3793</v>
      </c>
      <c r="G255" s="1">
        <v>2024</v>
      </c>
      <c r="H255" s="1" t="s">
        <v>3794</v>
      </c>
      <c r="I255" s="1" t="str">
        <f>HYPERLINK("http://dx.doi.org/10.7717/peerj.18517","http://dx.doi.org/10.7717/peerj.18517")</f>
        <v>http://dx.doi.org/10.7717/peerj.18517</v>
      </c>
    </row>
    <row r="256" spans="1:9" ht="280" x14ac:dyDescent="0.15">
      <c r="A256" s="1" t="s">
        <v>9</v>
      </c>
      <c r="B256" s="5" t="s">
        <v>3766</v>
      </c>
      <c r="C256" s="1" t="s">
        <v>3767</v>
      </c>
      <c r="D256" s="1" t="s">
        <v>3768</v>
      </c>
      <c r="E256" s="1" t="s">
        <v>3769</v>
      </c>
      <c r="F256" s="1" t="s">
        <v>138</v>
      </c>
      <c r="G256" s="1">
        <v>2015</v>
      </c>
      <c r="H256" s="1" t="s">
        <v>3770</v>
      </c>
      <c r="I256" s="1" t="str">
        <f>HYPERLINK("http://dx.doi.org/10.1016/j.bbagen.2014.11.007","http://dx.doi.org/10.1016/j.bbagen.2014.11.007")</f>
        <v>http://dx.doi.org/10.1016/j.bbagen.2014.11.007</v>
      </c>
    </row>
    <row r="257" spans="1:9" ht="280" x14ac:dyDescent="0.15">
      <c r="A257" s="1" t="s">
        <v>9</v>
      </c>
      <c r="B257" s="5" t="s">
        <v>3142</v>
      </c>
      <c r="C257" s="1" t="s">
        <v>3143</v>
      </c>
      <c r="D257" s="1" t="s">
        <v>333</v>
      </c>
      <c r="E257" s="1" t="s">
        <v>3144</v>
      </c>
      <c r="F257" s="1" t="s">
        <v>3145</v>
      </c>
      <c r="G257" s="1">
        <v>2020</v>
      </c>
      <c r="H257" s="1" t="s">
        <v>3146</v>
      </c>
      <c r="I257" s="1" t="str">
        <f>HYPERLINK("http://dx.doi.org/10.3389/fphys.2020.574654","http://dx.doi.org/10.3389/fphys.2020.574654")</f>
        <v>http://dx.doi.org/10.3389/fphys.2020.574654</v>
      </c>
    </row>
    <row r="258" spans="1:9" ht="210" x14ac:dyDescent="0.15">
      <c r="A258" s="1" t="s">
        <v>15</v>
      </c>
      <c r="B258" s="5" t="s">
        <v>1483</v>
      </c>
      <c r="C258" s="1" t="s">
        <v>1484</v>
      </c>
      <c r="D258" s="1" t="s">
        <v>1485</v>
      </c>
      <c r="E258" s="1" t="s">
        <v>1486</v>
      </c>
      <c r="F258" s="1" t="s">
        <v>11</v>
      </c>
      <c r="G258" s="1">
        <v>2016</v>
      </c>
      <c r="H258" s="1" t="s">
        <v>1487</v>
      </c>
      <c r="I258" s="1" t="str">
        <f>HYPERLINK("http://dx.doi.org/10.1007/978-3-319-28068-4_10","http://dx.doi.org/10.1007/978-3-319-28068-4_10")</f>
        <v>http://dx.doi.org/10.1007/978-3-319-28068-4_10</v>
      </c>
    </row>
    <row r="259" spans="1:9" ht="345" x14ac:dyDescent="0.15">
      <c r="A259" s="1" t="s">
        <v>9</v>
      </c>
      <c r="B259" s="5" t="s">
        <v>3610</v>
      </c>
      <c r="C259" s="1" t="s">
        <v>3611</v>
      </c>
      <c r="D259" s="1" t="s">
        <v>956</v>
      </c>
      <c r="E259" s="1" t="s">
        <v>3612</v>
      </c>
      <c r="F259" s="1" t="s">
        <v>56</v>
      </c>
      <c r="G259" s="1">
        <v>2018</v>
      </c>
      <c r="H259" s="1" t="s">
        <v>3613</v>
      </c>
      <c r="I259" s="1" t="str">
        <f>HYPERLINK("http://dx.doi.org/10.1111/jbi.13393","http://dx.doi.org/10.1111/jbi.13393")</f>
        <v>http://dx.doi.org/10.1111/jbi.13393</v>
      </c>
    </row>
    <row r="260" spans="1:9" ht="409.6" x14ac:dyDescent="0.15">
      <c r="A260" s="1" t="s">
        <v>9</v>
      </c>
      <c r="B260" s="5" t="s">
        <v>1798</v>
      </c>
      <c r="C260" s="1" t="s">
        <v>1799</v>
      </c>
      <c r="D260" s="1" t="s">
        <v>956</v>
      </c>
      <c r="E260" s="1" t="s">
        <v>1800</v>
      </c>
      <c r="F260" s="1" t="s">
        <v>221</v>
      </c>
      <c r="G260" s="1">
        <v>2013</v>
      </c>
      <c r="H260" s="1" t="s">
        <v>1801</v>
      </c>
      <c r="I260" s="1" t="str">
        <f>HYPERLINK("http://dx.doi.org/10.1111/j.1365-2699.2012.02771.x","http://dx.doi.org/10.1111/j.1365-2699.2012.02771.x")</f>
        <v>http://dx.doi.org/10.1111/j.1365-2699.2012.02771.x</v>
      </c>
    </row>
    <row r="261" spans="1:9" ht="332" x14ac:dyDescent="0.15">
      <c r="A261" s="1" t="s">
        <v>9</v>
      </c>
      <c r="B261" s="5" t="s">
        <v>3668</v>
      </c>
      <c r="C261" s="1" t="s">
        <v>3669</v>
      </c>
      <c r="D261" s="1" t="s">
        <v>3670</v>
      </c>
      <c r="E261" s="1" t="s">
        <v>3671</v>
      </c>
      <c r="F261" s="1" t="s">
        <v>106</v>
      </c>
      <c r="G261" s="1">
        <v>2020</v>
      </c>
      <c r="H261" s="1" t="s">
        <v>3672</v>
      </c>
      <c r="I261" s="1" t="str">
        <f>HYPERLINK("http://dx.doi.org/10.1016/j.jasrep.2020.102195","http://dx.doi.org/10.1016/j.jasrep.2020.102195")</f>
        <v>http://dx.doi.org/10.1016/j.jasrep.2020.102195</v>
      </c>
    </row>
    <row r="262" spans="1:9" ht="224" x14ac:dyDescent="0.15">
      <c r="A262" s="1" t="s">
        <v>9</v>
      </c>
      <c r="B262" s="5" t="s">
        <v>3254</v>
      </c>
      <c r="C262" s="1" t="s">
        <v>3255</v>
      </c>
      <c r="D262" s="1" t="s">
        <v>3256</v>
      </c>
      <c r="E262" s="1" t="s">
        <v>3257</v>
      </c>
      <c r="F262" s="1" t="s">
        <v>550</v>
      </c>
      <c r="G262" s="1">
        <v>2014</v>
      </c>
      <c r="H262" s="1" t="s">
        <v>11</v>
      </c>
      <c r="I262" s="1" t="s">
        <v>11</v>
      </c>
    </row>
    <row r="263" spans="1:9" ht="182" x14ac:dyDescent="0.15">
      <c r="A263" s="1" t="s">
        <v>9</v>
      </c>
      <c r="B263" s="5" t="s">
        <v>3058</v>
      </c>
      <c r="C263" s="1" t="s">
        <v>3059</v>
      </c>
      <c r="D263" s="1" t="s">
        <v>662</v>
      </c>
      <c r="E263" s="1" t="s">
        <v>3060</v>
      </c>
      <c r="F263" s="1" t="s">
        <v>56</v>
      </c>
      <c r="G263" s="1">
        <v>2008</v>
      </c>
      <c r="H263" s="1" t="s">
        <v>3061</v>
      </c>
      <c r="I263" s="1" t="str">
        <f>HYPERLINK("http://dx.doi.org/10.3390/md20080023","http://dx.doi.org/10.3390/md20080023")</f>
        <v>http://dx.doi.org/10.3390/md20080023</v>
      </c>
    </row>
    <row r="264" spans="1:9" ht="182" x14ac:dyDescent="0.15">
      <c r="A264" s="1" t="s">
        <v>9</v>
      </c>
      <c r="B264" s="5" t="s">
        <v>3969</v>
      </c>
      <c r="C264" s="1" t="s">
        <v>3970</v>
      </c>
      <c r="D264" s="1" t="s">
        <v>3971</v>
      </c>
      <c r="E264" s="1" t="s">
        <v>3972</v>
      </c>
      <c r="F264" s="1" t="s">
        <v>3973</v>
      </c>
      <c r="G264" s="1">
        <v>2022</v>
      </c>
      <c r="H264" s="1" t="s">
        <v>3974</v>
      </c>
      <c r="I264" s="1" t="str">
        <f>HYPERLINK("http://dx.doi.org/10.1126/science.abe7489","http://dx.doi.org/10.1126/science.abe7489")</f>
        <v>http://dx.doi.org/10.1126/science.abe7489</v>
      </c>
    </row>
    <row r="265" spans="1:9" ht="293" x14ac:dyDescent="0.15">
      <c r="A265" s="1" t="s">
        <v>9</v>
      </c>
      <c r="B265" s="5" t="s">
        <v>2375</v>
      </c>
      <c r="C265" s="1" t="s">
        <v>2376</v>
      </c>
      <c r="D265" s="1" t="s">
        <v>2264</v>
      </c>
      <c r="E265" s="1" t="s">
        <v>2377</v>
      </c>
      <c r="F265" s="1" t="s">
        <v>96</v>
      </c>
      <c r="G265" s="1">
        <v>2023</v>
      </c>
      <c r="H265" s="1" t="s">
        <v>2378</v>
      </c>
      <c r="I265" s="1" t="str">
        <f>HYPERLINK("http://dx.doi.org/10.1016/j.ydbio.2023.06.017","http://dx.doi.org/10.1016/j.ydbio.2023.06.017")</f>
        <v>http://dx.doi.org/10.1016/j.ydbio.2023.06.017</v>
      </c>
    </row>
    <row r="266" spans="1:9" ht="384" x14ac:dyDescent="0.15">
      <c r="A266" s="1" t="s">
        <v>9</v>
      </c>
      <c r="B266" s="5" t="s">
        <v>2198</v>
      </c>
      <c r="C266" s="1" t="s">
        <v>2199</v>
      </c>
      <c r="D266" s="1" t="s">
        <v>2200</v>
      </c>
      <c r="E266" s="1" t="s">
        <v>2201</v>
      </c>
      <c r="F266" s="1" t="s">
        <v>112</v>
      </c>
      <c r="G266" s="1">
        <v>2018</v>
      </c>
      <c r="H266" s="1" t="s">
        <v>2202</v>
      </c>
      <c r="I266" s="1" t="str">
        <f>HYPERLINK("http://dx.doi.org/10.1016/j.plantsci.2017.12.003","http://dx.doi.org/10.1016/j.plantsci.2017.12.003")</f>
        <v>http://dx.doi.org/10.1016/j.plantsci.2017.12.003</v>
      </c>
    </row>
    <row r="267" spans="1:9" ht="252" x14ac:dyDescent="0.15">
      <c r="A267" s="1" t="s">
        <v>9</v>
      </c>
      <c r="B267" s="5" t="s">
        <v>3833</v>
      </c>
      <c r="C267" s="1" t="s">
        <v>3834</v>
      </c>
      <c r="D267" s="1" t="s">
        <v>1753</v>
      </c>
      <c r="E267" s="1" t="s">
        <v>3835</v>
      </c>
      <c r="F267" s="1" t="s">
        <v>11</v>
      </c>
      <c r="G267" s="1">
        <v>2013</v>
      </c>
      <c r="H267" s="1" t="s">
        <v>3836</v>
      </c>
      <c r="I267" s="1" t="str">
        <f>HYPERLINK("http://dx.doi.org/10.1071/IS13005","http://dx.doi.org/10.1071/IS13005")</f>
        <v>http://dx.doi.org/10.1071/IS13005</v>
      </c>
    </row>
    <row r="268" spans="1:9" ht="210" x14ac:dyDescent="0.15">
      <c r="A268" s="1" t="s">
        <v>9</v>
      </c>
      <c r="B268" s="5" t="s">
        <v>3893</v>
      </c>
      <c r="C268" s="1" t="s">
        <v>3894</v>
      </c>
      <c r="D268" s="1" t="s">
        <v>3895</v>
      </c>
      <c r="E268" s="1" t="s">
        <v>3896</v>
      </c>
      <c r="F268" s="1" t="s">
        <v>11</v>
      </c>
      <c r="G268" s="1">
        <v>2006</v>
      </c>
      <c r="H268" s="1" t="s">
        <v>3897</v>
      </c>
      <c r="I268" s="1" t="str">
        <f>HYPERLINK("http://dx.doi.org/10.1387/ijdb.052061yk","http://dx.doi.org/10.1387/ijdb.052061yk")</f>
        <v>http://dx.doi.org/10.1387/ijdb.052061yk</v>
      </c>
    </row>
    <row r="269" spans="1:9" ht="140" x14ac:dyDescent="0.15">
      <c r="A269" s="1" t="s">
        <v>9</v>
      </c>
      <c r="B269" s="5" t="s">
        <v>561</v>
      </c>
      <c r="C269" s="1" t="s">
        <v>562</v>
      </c>
      <c r="D269" s="1" t="s">
        <v>563</v>
      </c>
      <c r="E269" s="1" t="s">
        <v>564</v>
      </c>
      <c r="F269" s="1" t="s">
        <v>21</v>
      </c>
      <c r="G269" s="1">
        <v>2023</v>
      </c>
      <c r="H269" s="1" t="s">
        <v>565</v>
      </c>
      <c r="I269" s="1" t="str">
        <f>HYPERLINK("http://dx.doi.org/10.1134/S0026893323060109","http://dx.doi.org/10.1134/S0026893323060109")</f>
        <v>http://dx.doi.org/10.1134/S0026893323060109</v>
      </c>
    </row>
    <row r="270" spans="1:9" ht="266" x14ac:dyDescent="0.15">
      <c r="A270" s="1" t="s">
        <v>9</v>
      </c>
      <c r="B270" s="5" t="s">
        <v>2504</v>
      </c>
      <c r="C270" s="1" t="s">
        <v>2505</v>
      </c>
      <c r="D270" s="1" t="s">
        <v>653</v>
      </c>
      <c r="E270" s="1" t="s">
        <v>2506</v>
      </c>
      <c r="F270" s="1" t="s">
        <v>112</v>
      </c>
      <c r="G270" s="1">
        <v>2022</v>
      </c>
      <c r="H270" s="1" t="s">
        <v>2507</v>
      </c>
      <c r="I270" s="1" t="str">
        <f>HYPERLINK("http://dx.doi.org/10.1371/journal.pntd.0010216","http://dx.doi.org/10.1371/journal.pntd.0010216")</f>
        <v>http://dx.doi.org/10.1371/journal.pntd.0010216</v>
      </c>
    </row>
    <row r="271" spans="1:9" ht="409.6" x14ac:dyDescent="0.15">
      <c r="A271" s="1" t="s">
        <v>9</v>
      </c>
      <c r="B271" s="5" t="s">
        <v>2276</v>
      </c>
      <c r="C271" s="1" t="s">
        <v>2277</v>
      </c>
      <c r="D271" s="1" t="s">
        <v>72</v>
      </c>
      <c r="E271" s="1" t="s">
        <v>2278</v>
      </c>
      <c r="F271" s="1" t="s">
        <v>2279</v>
      </c>
      <c r="G271" s="1">
        <v>2024</v>
      </c>
      <c r="H271" s="1" t="s">
        <v>2280</v>
      </c>
      <c r="I271" s="1" t="str">
        <f>HYPERLINK("http://dx.doi.org/10.7717/peerj.17349","http://dx.doi.org/10.7717/peerj.17349")</f>
        <v>http://dx.doi.org/10.7717/peerj.17349</v>
      </c>
    </row>
    <row r="272" spans="1:9" ht="252" x14ac:dyDescent="0.15">
      <c r="A272" s="1" t="s">
        <v>9</v>
      </c>
      <c r="B272" s="5" t="s">
        <v>1999</v>
      </c>
      <c r="C272" s="1" t="s">
        <v>2000</v>
      </c>
      <c r="D272" s="1" t="s">
        <v>2001</v>
      </c>
      <c r="E272" s="1" t="s">
        <v>2002</v>
      </c>
      <c r="F272" s="1" t="s">
        <v>209</v>
      </c>
      <c r="G272" s="1">
        <v>2018</v>
      </c>
      <c r="H272" s="1" t="s">
        <v>2003</v>
      </c>
      <c r="I272" s="1" t="str">
        <f>HYPERLINK("http://dx.doi.org/10.1134/S0869593818060047","http://dx.doi.org/10.1134/S0869593818060047")</f>
        <v>http://dx.doi.org/10.1134/S0869593818060047</v>
      </c>
    </row>
    <row r="273" spans="1:9" ht="210" x14ac:dyDescent="0.15">
      <c r="A273" s="1" t="s">
        <v>9</v>
      </c>
      <c r="B273" s="5" t="s">
        <v>2588</v>
      </c>
      <c r="C273" s="1" t="s">
        <v>2589</v>
      </c>
      <c r="D273" s="1" t="s">
        <v>1231</v>
      </c>
      <c r="E273" s="1" t="s">
        <v>2590</v>
      </c>
      <c r="F273" s="1" t="s">
        <v>80</v>
      </c>
      <c r="G273" s="1">
        <v>2016</v>
      </c>
      <c r="H273" s="1" t="s">
        <v>2591</v>
      </c>
      <c r="I273" s="1" t="str">
        <f>HYPERLINK("http://dx.doi.org/10.1016/j.gene.2016.05.039","http://dx.doi.org/10.1016/j.gene.2016.05.039")</f>
        <v>http://dx.doi.org/10.1016/j.gene.2016.05.039</v>
      </c>
    </row>
    <row r="274" spans="1:9" ht="358" x14ac:dyDescent="0.15">
      <c r="A274" s="1" t="s">
        <v>9</v>
      </c>
      <c r="B274" s="5" t="s">
        <v>164</v>
      </c>
      <c r="C274" s="1" t="s">
        <v>165</v>
      </c>
      <c r="D274" s="1" t="s">
        <v>136</v>
      </c>
      <c r="E274" s="1" t="s">
        <v>166</v>
      </c>
      <c r="F274" s="1" t="s">
        <v>167</v>
      </c>
      <c r="G274" s="1">
        <v>2025</v>
      </c>
      <c r="H274" s="1" t="s">
        <v>168</v>
      </c>
      <c r="I274" s="1" t="str">
        <f>HYPERLINK("http://dx.doi.org/10.1111/1755-0998.70026","http://dx.doi.org/10.1111/1755-0998.70026")</f>
        <v>http://dx.doi.org/10.1111/1755-0998.70026</v>
      </c>
    </row>
    <row r="275" spans="1:9" ht="238" x14ac:dyDescent="0.15">
      <c r="A275" s="1" t="s">
        <v>9</v>
      </c>
      <c r="B275" s="5" t="s">
        <v>3750</v>
      </c>
      <c r="C275" s="1" t="s">
        <v>3751</v>
      </c>
      <c r="D275" s="1" t="s">
        <v>2264</v>
      </c>
      <c r="E275" s="1" t="s">
        <v>3752</v>
      </c>
      <c r="F275" s="1" t="s">
        <v>287</v>
      </c>
      <c r="G275" s="1">
        <v>2000</v>
      </c>
      <c r="H275" s="1" t="s">
        <v>3753</v>
      </c>
      <c r="I275" s="1" t="str">
        <f>HYPERLINK("http://dx.doi.org/10.1006/dbio.2000.9867","http://dx.doi.org/10.1006/dbio.2000.9867")</f>
        <v>http://dx.doi.org/10.1006/dbio.2000.9867</v>
      </c>
    </row>
    <row r="276" spans="1:9" ht="293" x14ac:dyDescent="0.15">
      <c r="A276" s="1" t="s">
        <v>9</v>
      </c>
      <c r="B276" s="5" t="s">
        <v>2792</v>
      </c>
      <c r="C276" s="1" t="s">
        <v>2793</v>
      </c>
      <c r="D276" s="1" t="s">
        <v>2794</v>
      </c>
      <c r="E276" s="1" t="s">
        <v>2795</v>
      </c>
      <c r="F276" s="1" t="s">
        <v>112</v>
      </c>
      <c r="G276" s="1">
        <v>2017</v>
      </c>
      <c r="H276" s="1" t="s">
        <v>2796</v>
      </c>
      <c r="I276" s="1" t="str">
        <f>HYPERLINK("http://dx.doi.org/10.1007/s00436-017-5382-5","http://dx.doi.org/10.1007/s00436-017-5382-5")</f>
        <v>http://dx.doi.org/10.1007/s00436-017-5382-5</v>
      </c>
    </row>
    <row r="277" spans="1:9" ht="371" x14ac:dyDescent="0.15">
      <c r="A277" s="1" t="s">
        <v>9</v>
      </c>
      <c r="B277" s="5" t="s">
        <v>2491</v>
      </c>
      <c r="C277" s="1" t="s">
        <v>2492</v>
      </c>
      <c r="D277" s="1" t="s">
        <v>300</v>
      </c>
      <c r="E277" s="1" t="s">
        <v>2493</v>
      </c>
      <c r="F277" s="1" t="s">
        <v>2494</v>
      </c>
      <c r="G277" s="1">
        <v>2023</v>
      </c>
      <c r="H277" s="1" t="s">
        <v>2495</v>
      </c>
      <c r="I277" s="1" t="str">
        <f>HYPERLINK("http://dx.doi.org/10.1016/j.scitotenv.2023.166216","http://dx.doi.org/10.1016/j.scitotenv.2023.166216")</f>
        <v>http://dx.doi.org/10.1016/j.scitotenv.2023.166216</v>
      </c>
    </row>
    <row r="278" spans="1:9" ht="332" x14ac:dyDescent="0.15">
      <c r="A278" s="1" t="s">
        <v>9</v>
      </c>
      <c r="B278" s="5" t="s">
        <v>3855</v>
      </c>
      <c r="C278" s="1" t="s">
        <v>3856</v>
      </c>
      <c r="D278" s="1" t="s">
        <v>3857</v>
      </c>
      <c r="E278" s="1" t="s">
        <v>3858</v>
      </c>
      <c r="F278" s="1" t="s">
        <v>112</v>
      </c>
      <c r="G278" s="1">
        <v>2024</v>
      </c>
      <c r="H278" s="1" t="s">
        <v>3859</v>
      </c>
      <c r="I278" s="1" t="str">
        <f>HYPERLINK("http://dx.doi.org/10.1002/kjm2.12799","http://dx.doi.org/10.1002/kjm2.12799")</f>
        <v>http://dx.doi.org/10.1002/kjm2.12799</v>
      </c>
    </row>
    <row r="279" spans="1:9" ht="224" x14ac:dyDescent="0.15">
      <c r="A279" s="1" t="s">
        <v>9</v>
      </c>
      <c r="B279" s="5" t="s">
        <v>3321</v>
      </c>
      <c r="C279" s="1" t="s">
        <v>3322</v>
      </c>
      <c r="D279" s="1" t="s">
        <v>1511</v>
      </c>
      <c r="E279" s="1" t="s">
        <v>3323</v>
      </c>
      <c r="F279" s="1" t="s">
        <v>209</v>
      </c>
      <c r="G279" s="1">
        <v>2006</v>
      </c>
      <c r="H279" s="1" t="s">
        <v>3324</v>
      </c>
      <c r="I279" s="1" t="str">
        <f>HYPERLINK("http://dx.doi.org/10.1016/j.ympev.2006.05.027","http://dx.doi.org/10.1016/j.ympev.2006.05.027")</f>
        <v>http://dx.doi.org/10.1016/j.ympev.2006.05.027</v>
      </c>
    </row>
    <row r="280" spans="1:9" ht="196" x14ac:dyDescent="0.15">
      <c r="A280" s="1" t="s">
        <v>9</v>
      </c>
      <c r="B280" s="5" t="s">
        <v>1991</v>
      </c>
      <c r="C280" s="1" t="s">
        <v>1992</v>
      </c>
      <c r="D280" s="1" t="s">
        <v>1860</v>
      </c>
      <c r="E280" s="1" t="s">
        <v>1993</v>
      </c>
      <c r="F280" s="1" t="s">
        <v>33</v>
      </c>
      <c r="G280" s="1">
        <v>2012</v>
      </c>
      <c r="H280" s="1" t="s">
        <v>1994</v>
      </c>
      <c r="I280" s="1" t="str">
        <f>HYPERLINK("http://dx.doi.org/10.1007/s12686-011-9581-6","http://dx.doi.org/10.1007/s12686-011-9581-6")</f>
        <v>http://dx.doi.org/10.1007/s12686-011-9581-6</v>
      </c>
    </row>
    <row r="281" spans="1:9" ht="252" x14ac:dyDescent="0.15">
      <c r="A281" s="1" t="s">
        <v>9</v>
      </c>
      <c r="B281" s="5" t="s">
        <v>3626</v>
      </c>
      <c r="C281" s="1" t="s">
        <v>3627</v>
      </c>
      <c r="D281" s="1" t="s">
        <v>1479</v>
      </c>
      <c r="E281" s="1" t="s">
        <v>3628</v>
      </c>
      <c r="F281" s="1" t="s">
        <v>559</v>
      </c>
      <c r="G281" s="1">
        <v>2024</v>
      </c>
      <c r="H281" s="1" t="s">
        <v>3629</v>
      </c>
      <c r="I281" s="1" t="str">
        <f>HYPERLINK("http://dx.doi.org/10.1093/zoolinnean/zlad104","http://dx.doi.org/10.1093/zoolinnean/zlad104")</f>
        <v>http://dx.doi.org/10.1093/zoolinnean/zlad104</v>
      </c>
    </row>
    <row r="282" spans="1:9" ht="280" x14ac:dyDescent="0.15">
      <c r="A282" s="1" t="s">
        <v>9</v>
      </c>
      <c r="B282" s="5" t="s">
        <v>3566</v>
      </c>
      <c r="C282" s="1" t="s">
        <v>3567</v>
      </c>
      <c r="D282" s="1" t="s">
        <v>2585</v>
      </c>
      <c r="E282" s="1" t="s">
        <v>3568</v>
      </c>
      <c r="F282" s="1" t="s">
        <v>96</v>
      </c>
      <c r="G282" s="1">
        <v>2003</v>
      </c>
      <c r="H282" s="1" t="s">
        <v>3569</v>
      </c>
      <c r="I282" s="1" t="str">
        <f>HYPERLINK("http://dx.doi.org/10.1128/EC.2.5.1076-1090.2003","http://dx.doi.org/10.1128/EC.2.5.1076-1090.2003")</f>
        <v>http://dx.doi.org/10.1128/EC.2.5.1076-1090.2003</v>
      </c>
    </row>
    <row r="283" spans="1:9" ht="345" x14ac:dyDescent="0.15">
      <c r="A283" s="1" t="s">
        <v>9</v>
      </c>
      <c r="B283" s="5" t="s">
        <v>1215</v>
      </c>
      <c r="C283" s="1" t="s">
        <v>1216</v>
      </c>
      <c r="D283" s="1" t="s">
        <v>1217</v>
      </c>
      <c r="E283" s="1" t="s">
        <v>1218</v>
      </c>
      <c r="F283" s="1" t="s">
        <v>122</v>
      </c>
      <c r="G283" s="1">
        <v>2019</v>
      </c>
      <c r="H283" s="1" t="s">
        <v>1219</v>
      </c>
      <c r="I283" s="1" t="str">
        <f>HYPERLINK("http://dx.doi.org/10.1016/j.cbpa.2019.04.018","http://dx.doi.org/10.1016/j.cbpa.2019.04.018")</f>
        <v>http://dx.doi.org/10.1016/j.cbpa.2019.04.018</v>
      </c>
    </row>
    <row r="284" spans="1:9" ht="293" x14ac:dyDescent="0.15">
      <c r="A284" s="1" t="s">
        <v>9</v>
      </c>
      <c r="B284" s="5" t="s">
        <v>1711</v>
      </c>
      <c r="C284" s="1" t="s">
        <v>1712</v>
      </c>
      <c r="D284" s="1" t="s">
        <v>1713</v>
      </c>
      <c r="E284" s="1" t="s">
        <v>1714</v>
      </c>
      <c r="F284" s="1" t="s">
        <v>1715</v>
      </c>
      <c r="G284" s="1">
        <v>2023</v>
      </c>
      <c r="H284" s="1" t="s">
        <v>1716</v>
      </c>
      <c r="I284" s="1" t="str">
        <f>HYPERLINK("http://dx.doi.org/10.1186/s12935-023-02891-0","http://dx.doi.org/10.1186/s12935-023-02891-0")</f>
        <v>http://dx.doi.org/10.1186/s12935-023-02891-0</v>
      </c>
    </row>
    <row r="285" spans="1:9" ht="266" x14ac:dyDescent="0.15">
      <c r="A285" s="1" t="s">
        <v>9</v>
      </c>
      <c r="B285" s="5" t="s">
        <v>670</v>
      </c>
      <c r="C285" s="1" t="s">
        <v>671</v>
      </c>
      <c r="D285" s="1" t="s">
        <v>580</v>
      </c>
      <c r="E285" s="1" t="s">
        <v>672</v>
      </c>
      <c r="F285" s="1" t="s">
        <v>106</v>
      </c>
      <c r="G285" s="1">
        <v>2020</v>
      </c>
      <c r="H285" s="1" t="s">
        <v>673</v>
      </c>
      <c r="I285" s="1" t="str">
        <f>HYPERLINK("http://dx.doi.org/10.1016/j.marpolbul.2020.111006","http://dx.doi.org/10.1016/j.marpolbul.2020.111006")</f>
        <v>http://dx.doi.org/10.1016/j.marpolbul.2020.111006</v>
      </c>
    </row>
    <row r="286" spans="1:9" ht="154" x14ac:dyDescent="0.15">
      <c r="A286" s="1" t="s">
        <v>9</v>
      </c>
      <c r="B286" s="5" t="s">
        <v>3917</v>
      </c>
      <c r="C286" s="1" t="s">
        <v>3918</v>
      </c>
      <c r="D286" s="1" t="s">
        <v>3919</v>
      </c>
      <c r="E286" s="1" t="s">
        <v>3920</v>
      </c>
      <c r="F286" s="1" t="s">
        <v>3921</v>
      </c>
      <c r="G286" s="1">
        <v>2020</v>
      </c>
      <c r="H286" s="1" t="s">
        <v>3922</v>
      </c>
      <c r="I286" s="1" t="str">
        <f>HYPERLINK("http://dx.doi.org/10.1039/d0ra06983c","http://dx.doi.org/10.1039/d0ra06983c")</f>
        <v>http://dx.doi.org/10.1039/d0ra06983c</v>
      </c>
    </row>
    <row r="287" spans="1:9" ht="409.6" x14ac:dyDescent="0.15">
      <c r="A287" s="1" t="s">
        <v>9</v>
      </c>
      <c r="B287" s="5" t="s">
        <v>2061</v>
      </c>
      <c r="C287" s="1" t="s">
        <v>2062</v>
      </c>
      <c r="D287" s="1" t="s">
        <v>946</v>
      </c>
      <c r="E287" s="1" t="s">
        <v>2063</v>
      </c>
      <c r="F287" s="1" t="s">
        <v>33</v>
      </c>
      <c r="G287" s="1">
        <v>2021</v>
      </c>
      <c r="H287" s="1" t="s">
        <v>2064</v>
      </c>
      <c r="I287" s="1" t="str">
        <f>HYPERLINK("http://dx.doi.org/10.3390/biology10060498","http://dx.doi.org/10.3390/biology10060498")</f>
        <v>http://dx.doi.org/10.3390/biology10060498</v>
      </c>
    </row>
    <row r="288" spans="1:9" ht="182" x14ac:dyDescent="0.15">
      <c r="A288" s="1" t="s">
        <v>9</v>
      </c>
      <c r="B288" s="5" t="s">
        <v>603</v>
      </c>
      <c r="C288" s="1" t="s">
        <v>604</v>
      </c>
      <c r="D288" s="1" t="s">
        <v>580</v>
      </c>
      <c r="E288" s="1" t="s">
        <v>605</v>
      </c>
      <c r="F288" s="1" t="s">
        <v>606</v>
      </c>
      <c r="G288" s="1">
        <v>2013</v>
      </c>
      <c r="H288" s="1" t="s">
        <v>607</v>
      </c>
      <c r="I288" s="1" t="str">
        <f>HYPERLINK("http://dx.doi.org/10.1016/j.marpolbul.2013.07.014","http://dx.doi.org/10.1016/j.marpolbul.2013.07.014")</f>
        <v>http://dx.doi.org/10.1016/j.marpolbul.2013.07.014</v>
      </c>
    </row>
    <row r="289" spans="1:9" ht="345" x14ac:dyDescent="0.15">
      <c r="A289" s="1" t="s">
        <v>9</v>
      </c>
      <c r="B289" s="5" t="s">
        <v>2689</v>
      </c>
      <c r="C289" s="1" t="s">
        <v>2690</v>
      </c>
      <c r="D289" s="1" t="s">
        <v>333</v>
      </c>
      <c r="E289" s="1" t="s">
        <v>2691</v>
      </c>
      <c r="F289" s="1" t="s">
        <v>2692</v>
      </c>
      <c r="G289" s="1">
        <v>2019</v>
      </c>
      <c r="H289" s="1" t="s">
        <v>2693</v>
      </c>
      <c r="I289" s="1" t="str">
        <f>HYPERLINK("http://dx.doi.org/10.3389/fphys.2019.00433","http://dx.doi.org/10.3389/fphys.2019.00433")</f>
        <v>http://dx.doi.org/10.3389/fphys.2019.00433</v>
      </c>
    </row>
    <row r="290" spans="1:9" ht="196" x14ac:dyDescent="0.15">
      <c r="A290" s="1" t="s">
        <v>9</v>
      </c>
      <c r="B290" s="5" t="s">
        <v>3888</v>
      </c>
      <c r="C290" s="1" t="s">
        <v>3889</v>
      </c>
      <c r="D290" s="1" t="s">
        <v>3890</v>
      </c>
      <c r="E290" s="1" t="s">
        <v>3891</v>
      </c>
      <c r="F290" s="1" t="s">
        <v>1159</v>
      </c>
      <c r="G290" s="1">
        <v>2023</v>
      </c>
      <c r="H290" s="1" t="s">
        <v>3892</v>
      </c>
      <c r="I290" s="1" t="str">
        <f>HYPERLINK("http://dx.doi.org/10.1016/j.xinn.2023.100464","http://dx.doi.org/10.1016/j.xinn.2023.100464")</f>
        <v>http://dx.doi.org/10.1016/j.xinn.2023.100464</v>
      </c>
    </row>
    <row r="291" spans="1:9" ht="252" x14ac:dyDescent="0.15">
      <c r="A291" s="1" t="s">
        <v>9</v>
      </c>
      <c r="B291" s="5" t="s">
        <v>3517</v>
      </c>
      <c r="C291" s="1" t="s">
        <v>3518</v>
      </c>
      <c r="D291" s="1" t="s">
        <v>3519</v>
      </c>
      <c r="E291" s="1" t="s">
        <v>3520</v>
      </c>
      <c r="F291" s="1" t="s">
        <v>11</v>
      </c>
      <c r="G291" s="1">
        <v>2023</v>
      </c>
      <c r="H291" s="1" t="s">
        <v>3521</v>
      </c>
      <c r="I291" s="1" t="str">
        <f>HYPERLINK("http://dx.doi.org/10.1099/ijsem.0.005825","http://dx.doi.org/10.1099/ijsem.0.005825")</f>
        <v>http://dx.doi.org/10.1099/ijsem.0.005825</v>
      </c>
    </row>
    <row r="292" spans="1:9" ht="409.6" x14ac:dyDescent="0.15">
      <c r="A292" s="1" t="s">
        <v>9</v>
      </c>
      <c r="B292" s="5" t="s">
        <v>1165</v>
      </c>
      <c r="C292" s="1" t="s">
        <v>1166</v>
      </c>
      <c r="D292" s="1" t="s">
        <v>1167</v>
      </c>
      <c r="E292" s="1" t="s">
        <v>1168</v>
      </c>
      <c r="F292" s="1" t="s">
        <v>1169</v>
      </c>
      <c r="G292" s="1">
        <v>2021</v>
      </c>
      <c r="H292" s="1" t="s">
        <v>1170</v>
      </c>
      <c r="I292" s="1" t="str">
        <f>HYPERLINK("http://dx.doi.org/10.1186/s13148-021-01016-6","http://dx.doi.org/10.1186/s13148-021-01016-6")</f>
        <v>http://dx.doi.org/10.1186/s13148-021-01016-6</v>
      </c>
    </row>
    <row r="293" spans="1:9" ht="345" x14ac:dyDescent="0.15">
      <c r="A293" s="1" t="s">
        <v>9</v>
      </c>
      <c r="B293" s="5" t="s">
        <v>3112</v>
      </c>
      <c r="C293" s="1" t="s">
        <v>3113</v>
      </c>
      <c r="D293" s="1" t="s">
        <v>3114</v>
      </c>
      <c r="E293" s="1" t="s">
        <v>3115</v>
      </c>
      <c r="F293" s="1" t="s">
        <v>21</v>
      </c>
      <c r="G293" s="1">
        <v>2017</v>
      </c>
      <c r="H293" s="1" t="s">
        <v>3116</v>
      </c>
      <c r="I293" s="1" t="str">
        <f>HYPERLINK("http://dx.doi.org/10.1016/j.biopha.2017.09.113","http://dx.doi.org/10.1016/j.biopha.2017.09.113")</f>
        <v>http://dx.doi.org/10.1016/j.biopha.2017.09.113</v>
      </c>
    </row>
    <row r="294" spans="1:9" ht="345" x14ac:dyDescent="0.15">
      <c r="A294" s="1" t="s">
        <v>9</v>
      </c>
      <c r="B294" s="5" t="s">
        <v>284</v>
      </c>
      <c r="C294" s="1" t="s">
        <v>285</v>
      </c>
      <c r="D294" s="1" t="s">
        <v>260</v>
      </c>
      <c r="E294" s="1" t="s">
        <v>286</v>
      </c>
      <c r="F294" s="1" t="s">
        <v>287</v>
      </c>
      <c r="G294" s="1">
        <v>2025</v>
      </c>
      <c r="H294" s="1" t="s">
        <v>288</v>
      </c>
      <c r="I294" s="1" t="str">
        <f>HYPERLINK("http://dx.doi.org/10.1016/j.aquaculture.2025.742838","http://dx.doi.org/10.1016/j.aquaculture.2025.742838")</f>
        <v>http://dx.doi.org/10.1016/j.aquaculture.2025.742838</v>
      </c>
    </row>
    <row r="295" spans="1:9" ht="345" x14ac:dyDescent="0.15">
      <c r="A295" s="1" t="s">
        <v>9</v>
      </c>
      <c r="B295" s="5" t="s">
        <v>2316</v>
      </c>
      <c r="C295" s="1" t="s">
        <v>2317</v>
      </c>
      <c r="D295" s="1" t="s">
        <v>142</v>
      </c>
      <c r="E295" s="1" t="s">
        <v>2318</v>
      </c>
      <c r="F295" s="1" t="s">
        <v>33</v>
      </c>
      <c r="G295" s="1">
        <v>2022</v>
      </c>
      <c r="H295" s="1" t="s">
        <v>2319</v>
      </c>
      <c r="I295" s="1" t="str">
        <f>HYPERLINK("http://dx.doi.org/10.1016/j.fsi.2022.04.050","http://dx.doi.org/10.1016/j.fsi.2022.04.050")</f>
        <v>http://dx.doi.org/10.1016/j.fsi.2022.04.050</v>
      </c>
    </row>
    <row r="296" spans="1:9" ht="252" x14ac:dyDescent="0.15">
      <c r="A296" s="1" t="s">
        <v>9</v>
      </c>
      <c r="B296" s="5" t="s">
        <v>2333</v>
      </c>
      <c r="C296" s="1" t="s">
        <v>2334</v>
      </c>
      <c r="D296" s="1" t="s">
        <v>2335</v>
      </c>
      <c r="E296" s="1" t="s">
        <v>2336</v>
      </c>
      <c r="F296" s="1" t="s">
        <v>1444</v>
      </c>
      <c r="G296" s="1">
        <v>2020</v>
      </c>
      <c r="H296" s="1" t="s">
        <v>2337</v>
      </c>
      <c r="I296" s="1" t="str">
        <f>HYPERLINK("http://dx.doi.org/10.1080/07924259.2019.1694085","http://dx.doi.org/10.1080/07924259.2019.1694085")</f>
        <v>http://dx.doi.org/10.1080/07924259.2019.1694085</v>
      </c>
    </row>
    <row r="297" spans="1:9" ht="252" x14ac:dyDescent="0.15">
      <c r="A297" s="1" t="s">
        <v>9</v>
      </c>
      <c r="B297" s="5" t="s">
        <v>2160</v>
      </c>
      <c r="C297" s="1" t="s">
        <v>2161</v>
      </c>
      <c r="D297" s="1" t="s">
        <v>648</v>
      </c>
      <c r="E297" s="1" t="s">
        <v>2162</v>
      </c>
      <c r="F297" s="1" t="s">
        <v>68</v>
      </c>
      <c r="G297" s="1">
        <v>2020</v>
      </c>
      <c r="H297" s="1" t="s">
        <v>2163</v>
      </c>
      <c r="I297" s="1" t="str">
        <f>HYPERLINK("http://dx.doi.org/10.1242/jeb.223529","http://dx.doi.org/10.1242/jeb.223529")</f>
        <v>http://dx.doi.org/10.1242/jeb.223529</v>
      </c>
    </row>
    <row r="298" spans="1:9" ht="293" x14ac:dyDescent="0.15">
      <c r="A298" s="1" t="s">
        <v>9</v>
      </c>
      <c r="B298" s="5" t="s">
        <v>2285</v>
      </c>
      <c r="C298" s="1" t="s">
        <v>2286</v>
      </c>
      <c r="D298" s="1" t="s">
        <v>2231</v>
      </c>
      <c r="E298" s="1" t="s">
        <v>2287</v>
      </c>
      <c r="F298" s="1" t="s">
        <v>33</v>
      </c>
      <c r="G298" s="1">
        <v>2023</v>
      </c>
      <c r="H298" s="1" t="s">
        <v>2288</v>
      </c>
      <c r="I298" s="1" t="str">
        <f>HYPERLINK("http://dx.doi.org/10.1016/j.heliyon.2023.e16868","http://dx.doi.org/10.1016/j.heliyon.2023.e16868")</f>
        <v>http://dx.doi.org/10.1016/j.heliyon.2023.e16868</v>
      </c>
    </row>
    <row r="299" spans="1:9" ht="196" x14ac:dyDescent="0.15">
      <c r="A299" s="1" t="s">
        <v>9</v>
      </c>
      <c r="B299" s="5" t="s">
        <v>3199</v>
      </c>
      <c r="C299" s="1" t="s">
        <v>3200</v>
      </c>
      <c r="D299" s="1" t="s">
        <v>3201</v>
      </c>
      <c r="E299" s="1" t="s">
        <v>3202</v>
      </c>
      <c r="F299" s="1" t="s">
        <v>106</v>
      </c>
      <c r="G299" s="1">
        <v>2014</v>
      </c>
      <c r="H299" s="1" t="s">
        <v>3203</v>
      </c>
      <c r="I299" s="1" t="str">
        <f>HYPERLINK("http://dx.doi.org/10.1016/j.reprotox.2013.09.002","http://dx.doi.org/10.1016/j.reprotox.2013.09.002")</f>
        <v>http://dx.doi.org/10.1016/j.reprotox.2013.09.002</v>
      </c>
    </row>
    <row r="300" spans="1:9" ht="210" x14ac:dyDescent="0.15">
      <c r="A300" s="1" t="s">
        <v>9</v>
      </c>
      <c r="B300" s="5" t="s">
        <v>3526</v>
      </c>
      <c r="C300" s="1" t="s">
        <v>3527</v>
      </c>
      <c r="D300" s="1" t="s">
        <v>3528</v>
      </c>
      <c r="E300" s="1" t="s">
        <v>3529</v>
      </c>
      <c r="F300" s="1" t="s">
        <v>3505</v>
      </c>
      <c r="G300" s="1">
        <v>2024</v>
      </c>
      <c r="H300" s="1" t="s">
        <v>3530</v>
      </c>
      <c r="I300" s="1" t="str">
        <f>HYPERLINK("http://dx.doi.org/10.1021/acs.analchem.3c05059","http://dx.doi.org/10.1021/acs.analchem.3c05059")</f>
        <v>http://dx.doi.org/10.1021/acs.analchem.3c05059</v>
      </c>
    </row>
    <row r="301" spans="1:9" ht="280" x14ac:dyDescent="0.15">
      <c r="A301" s="1" t="s">
        <v>9</v>
      </c>
      <c r="B301" s="5" t="s">
        <v>1641</v>
      </c>
      <c r="C301" s="1" t="s">
        <v>1642</v>
      </c>
      <c r="D301" s="1" t="s">
        <v>31</v>
      </c>
      <c r="E301" s="1" t="s">
        <v>1643</v>
      </c>
      <c r="F301" s="1" t="s">
        <v>33</v>
      </c>
      <c r="G301" s="1">
        <v>2021</v>
      </c>
      <c r="H301" s="1" t="s">
        <v>1644</v>
      </c>
      <c r="I301" s="1" t="str">
        <f>HYPERLINK("http://dx.doi.org/10.1007/s10126-021-10034-7","http://dx.doi.org/10.1007/s10126-021-10034-7")</f>
        <v>http://dx.doi.org/10.1007/s10126-021-10034-7</v>
      </c>
    </row>
    <row r="302" spans="1:9" ht="224" x14ac:dyDescent="0.15">
      <c r="A302" s="1" t="s">
        <v>9</v>
      </c>
      <c r="B302" s="5" t="s">
        <v>2018</v>
      </c>
      <c r="C302" s="1" t="s">
        <v>2019</v>
      </c>
      <c r="D302" s="1" t="s">
        <v>2020</v>
      </c>
      <c r="E302" s="1" t="s">
        <v>2021</v>
      </c>
      <c r="F302" s="1" t="s">
        <v>138</v>
      </c>
      <c r="G302" s="1">
        <v>2022</v>
      </c>
      <c r="H302" s="1" t="s">
        <v>2022</v>
      </c>
      <c r="I302" s="1" t="str">
        <f>HYPERLINK("http://dx.doi.org/10.3390/fishes7010005","http://dx.doi.org/10.3390/fishes7010005")</f>
        <v>http://dx.doi.org/10.3390/fishes7010005</v>
      </c>
    </row>
    <row r="303" spans="1:9" ht="306" x14ac:dyDescent="0.15">
      <c r="A303" s="1" t="s">
        <v>9</v>
      </c>
      <c r="B303" s="5" t="s">
        <v>3277</v>
      </c>
      <c r="C303" s="1" t="s">
        <v>3278</v>
      </c>
      <c r="D303" s="1" t="s">
        <v>1511</v>
      </c>
      <c r="E303" s="1" t="s">
        <v>3279</v>
      </c>
      <c r="F303" s="1" t="s">
        <v>96</v>
      </c>
      <c r="G303" s="1">
        <v>2017</v>
      </c>
      <c r="H303" s="1" t="s">
        <v>3280</v>
      </c>
      <c r="I303" s="1" t="str">
        <f>HYPERLINK("http://dx.doi.org/10.1016/j.ympev.2017.07.021","http://dx.doi.org/10.1016/j.ympev.2017.07.021")</f>
        <v>http://dx.doi.org/10.1016/j.ympev.2017.07.021</v>
      </c>
    </row>
    <row r="304" spans="1:9" ht="358" x14ac:dyDescent="0.15">
      <c r="A304" s="1" t="s">
        <v>9</v>
      </c>
      <c r="B304" s="5" t="s">
        <v>2880</v>
      </c>
      <c r="C304" s="1" t="s">
        <v>2881</v>
      </c>
      <c r="D304" s="1" t="s">
        <v>1511</v>
      </c>
      <c r="E304" s="1" t="s">
        <v>2882</v>
      </c>
      <c r="F304" s="1" t="s">
        <v>62</v>
      </c>
      <c r="G304" s="1">
        <v>2019</v>
      </c>
      <c r="H304" s="1" t="s">
        <v>2883</v>
      </c>
      <c r="I304" s="1" t="str">
        <f>HYPERLINK("http://dx.doi.org/10.1016/j.ympev.2019.02.006","http://dx.doi.org/10.1016/j.ympev.2019.02.006")</f>
        <v>http://dx.doi.org/10.1016/j.ympev.2019.02.006</v>
      </c>
    </row>
    <row r="305" spans="1:9" ht="293" x14ac:dyDescent="0.15">
      <c r="A305" s="1" t="s">
        <v>9</v>
      </c>
      <c r="B305" s="5" t="s">
        <v>3829</v>
      </c>
      <c r="C305" s="1" t="s">
        <v>3830</v>
      </c>
      <c r="D305" s="1" t="s">
        <v>3831</v>
      </c>
      <c r="E305" s="1" t="s">
        <v>3832</v>
      </c>
      <c r="F305" s="1" t="s">
        <v>11</v>
      </c>
      <c r="G305" s="1">
        <v>2006</v>
      </c>
      <c r="H305" s="1" t="s">
        <v>11</v>
      </c>
      <c r="I305" s="1" t="s">
        <v>11</v>
      </c>
    </row>
    <row r="306" spans="1:9" ht="332" x14ac:dyDescent="0.15">
      <c r="A306" s="1" t="s">
        <v>9</v>
      </c>
      <c r="B306" s="7" t="s">
        <v>1075</v>
      </c>
      <c r="C306" s="1" t="s">
        <v>1076</v>
      </c>
      <c r="D306" s="1" t="s">
        <v>321</v>
      </c>
      <c r="E306" s="1" t="s">
        <v>1077</v>
      </c>
      <c r="F306" s="1" t="s">
        <v>1078</v>
      </c>
      <c r="G306" s="1">
        <v>2014</v>
      </c>
      <c r="H306" s="1" t="s">
        <v>1079</v>
      </c>
      <c r="I306" s="1" t="str">
        <f>HYPERLINK("http://dx.doi.org/10.1371/journal.pone.0091101","http://dx.doi.org/10.1371/journal.pone.0091101")</f>
        <v>http://dx.doi.org/10.1371/journal.pone.0091101</v>
      </c>
    </row>
    <row r="307" spans="1:9" ht="293" x14ac:dyDescent="0.15">
      <c r="A307" s="1" t="s">
        <v>9</v>
      </c>
      <c r="B307" s="5" t="s">
        <v>2634</v>
      </c>
      <c r="C307" s="1" t="s">
        <v>2635</v>
      </c>
      <c r="D307" s="1" t="s">
        <v>1511</v>
      </c>
      <c r="E307" s="1" t="s">
        <v>2636</v>
      </c>
      <c r="F307" s="1" t="s">
        <v>122</v>
      </c>
      <c r="G307" s="1">
        <v>2011</v>
      </c>
      <c r="H307" s="1" t="s">
        <v>2637</v>
      </c>
      <c r="I307" s="1" t="str">
        <f>HYPERLINK("http://dx.doi.org/10.1016/j.ympev.2011.04.018","http://dx.doi.org/10.1016/j.ympev.2011.04.018")</f>
        <v>http://dx.doi.org/10.1016/j.ympev.2011.04.018</v>
      </c>
    </row>
    <row r="308" spans="1:9" ht="345" x14ac:dyDescent="0.15">
      <c r="A308" s="1" t="s">
        <v>9</v>
      </c>
      <c r="B308" s="5" t="s">
        <v>2894</v>
      </c>
      <c r="C308" s="1" t="s">
        <v>2895</v>
      </c>
      <c r="D308" s="1" t="s">
        <v>1511</v>
      </c>
      <c r="E308" s="1" t="s">
        <v>2896</v>
      </c>
      <c r="F308" s="1" t="s">
        <v>68</v>
      </c>
      <c r="G308" s="1">
        <v>2016</v>
      </c>
      <c r="H308" s="1" t="s">
        <v>2897</v>
      </c>
      <c r="I308" s="1" t="str">
        <f>HYPERLINK("http://dx.doi.org/10.1016/j.ympev.2016.03.016","http://dx.doi.org/10.1016/j.ympev.2016.03.016")</f>
        <v>http://dx.doi.org/10.1016/j.ympev.2016.03.016</v>
      </c>
    </row>
    <row r="309" spans="1:9" ht="140" x14ac:dyDescent="0.15">
      <c r="A309" s="1" t="s">
        <v>9</v>
      </c>
      <c r="B309" s="5" t="s">
        <v>2281</v>
      </c>
      <c r="C309" s="1" t="s">
        <v>2282</v>
      </c>
      <c r="D309" s="1" t="s">
        <v>1723</v>
      </c>
      <c r="E309" s="1" t="s">
        <v>2283</v>
      </c>
      <c r="F309" s="1" t="s">
        <v>11</v>
      </c>
      <c r="G309" s="1">
        <v>2025</v>
      </c>
      <c r="H309" s="1" t="s">
        <v>2284</v>
      </c>
      <c r="I309" s="1" t="str">
        <f>HYPERLINK("http://dx.doi.org/10.3897/zookeys.1236.149576","http://dx.doi.org/10.3897/zookeys.1236.149576")</f>
        <v>http://dx.doi.org/10.3897/zookeys.1236.149576</v>
      </c>
    </row>
    <row r="310" spans="1:9" ht="319" x14ac:dyDescent="0.15">
      <c r="A310" s="1" t="s">
        <v>9</v>
      </c>
      <c r="B310" s="5" t="s">
        <v>2361</v>
      </c>
      <c r="C310" s="1" t="s">
        <v>2362</v>
      </c>
      <c r="D310" s="1" t="s">
        <v>344</v>
      </c>
      <c r="E310" s="1" t="s">
        <v>2363</v>
      </c>
      <c r="F310" s="1" t="s">
        <v>2364</v>
      </c>
      <c r="G310" s="1">
        <v>2019</v>
      </c>
      <c r="H310" s="1" t="s">
        <v>2365</v>
      </c>
      <c r="I310" s="1" t="str">
        <f>HYPERLINK("http://dx.doi.org/10.1021/acs.est.9b00251","http://dx.doi.org/10.1021/acs.est.9b00251")</f>
        <v>http://dx.doi.org/10.1021/acs.est.9b00251</v>
      </c>
    </row>
    <row r="311" spans="1:9" ht="306" x14ac:dyDescent="0.15">
      <c r="A311" s="1" t="s">
        <v>9</v>
      </c>
      <c r="B311" s="5" t="s">
        <v>2407</v>
      </c>
      <c r="C311" s="1" t="s">
        <v>2408</v>
      </c>
      <c r="D311" s="1" t="s">
        <v>2113</v>
      </c>
      <c r="E311" s="1" t="s">
        <v>2409</v>
      </c>
      <c r="F311" s="1" t="s">
        <v>21</v>
      </c>
      <c r="G311" s="1">
        <v>2022</v>
      </c>
      <c r="H311" s="1" t="s">
        <v>2410</v>
      </c>
      <c r="I311" s="1" t="str">
        <f>HYPERLINK("http://dx.doi.org/10.1016/j.dsr.2022.103894","http://dx.doi.org/10.1016/j.dsr.2022.103894")</f>
        <v>http://dx.doi.org/10.1016/j.dsr.2022.103894</v>
      </c>
    </row>
    <row r="312" spans="1:9" ht="306" x14ac:dyDescent="0.15">
      <c r="A312" s="1" t="s">
        <v>9</v>
      </c>
      <c r="B312" s="5" t="s">
        <v>3512</v>
      </c>
      <c r="C312" s="1" t="s">
        <v>3513</v>
      </c>
      <c r="D312" s="1" t="s">
        <v>151</v>
      </c>
      <c r="E312" s="1" t="s">
        <v>3514</v>
      </c>
      <c r="F312" s="1" t="s">
        <v>3515</v>
      </c>
      <c r="G312" s="1">
        <v>2025</v>
      </c>
      <c r="H312" s="1" t="s">
        <v>3516</v>
      </c>
      <c r="I312" s="1" t="str">
        <f>HYPERLINK("http://dx.doi.org/10.1002/ece3.72372","http://dx.doi.org/10.1002/ece3.72372")</f>
        <v>http://dx.doi.org/10.1002/ece3.72372</v>
      </c>
    </row>
    <row r="313" spans="1:9" ht="266" x14ac:dyDescent="0.15">
      <c r="A313" s="1" t="s">
        <v>9</v>
      </c>
      <c r="B313" s="5" t="s">
        <v>1881</v>
      </c>
      <c r="C313" s="1" t="s">
        <v>1882</v>
      </c>
      <c r="D313" s="1" t="s">
        <v>1511</v>
      </c>
      <c r="E313" s="1" t="s">
        <v>1883</v>
      </c>
      <c r="F313" s="1" t="s">
        <v>68</v>
      </c>
      <c r="G313" s="1">
        <v>2010</v>
      </c>
      <c r="H313" s="1" t="s">
        <v>1884</v>
      </c>
      <c r="I313" s="1" t="str">
        <f>HYPERLINK("http://dx.doi.org/10.1016/j.ympev.2010.03.025","http://dx.doi.org/10.1016/j.ympev.2010.03.025")</f>
        <v>http://dx.doi.org/10.1016/j.ympev.2010.03.025</v>
      </c>
    </row>
    <row r="314" spans="1:9" ht="345" x14ac:dyDescent="0.15">
      <c r="A314" s="1" t="s">
        <v>9</v>
      </c>
      <c r="B314" s="5" t="s">
        <v>2806</v>
      </c>
      <c r="C314" s="1" t="s">
        <v>2807</v>
      </c>
      <c r="D314" s="1" t="s">
        <v>1826</v>
      </c>
      <c r="E314" s="1" t="s">
        <v>2808</v>
      </c>
      <c r="F314" s="1" t="s">
        <v>96</v>
      </c>
      <c r="G314" s="1">
        <v>2004</v>
      </c>
      <c r="H314" s="1" t="s">
        <v>2809</v>
      </c>
      <c r="I314" s="1" t="str">
        <f>HYPERLINK("http://dx.doi.org/10.1111/j.1096-0031.2004.00032.x","http://dx.doi.org/10.1111/j.1096-0031.2004.00032.x")</f>
        <v>http://dx.doi.org/10.1111/j.1096-0031.2004.00032.x</v>
      </c>
    </row>
    <row r="315" spans="1:9" ht="140" x14ac:dyDescent="0.15">
      <c r="A315" s="1" t="s">
        <v>9</v>
      </c>
      <c r="B315" s="5" t="s">
        <v>2307</v>
      </c>
      <c r="C315" s="1" t="s">
        <v>2308</v>
      </c>
      <c r="D315" s="1" t="s">
        <v>2309</v>
      </c>
      <c r="E315" s="1" t="s">
        <v>2310</v>
      </c>
      <c r="F315" s="1" t="s">
        <v>21</v>
      </c>
      <c r="G315" s="1">
        <v>2021</v>
      </c>
      <c r="H315" s="1" t="s">
        <v>2311</v>
      </c>
      <c r="I315" s="1" t="str">
        <f>HYPERLINK("http://dx.doi.org/10.3390/ncrna7040072","http://dx.doi.org/10.3390/ncrna7040072")</f>
        <v>http://dx.doi.org/10.3390/ncrna7040072</v>
      </c>
    </row>
    <row r="316" spans="1:9" ht="332" x14ac:dyDescent="0.15">
      <c r="A316" s="1" t="s">
        <v>9</v>
      </c>
      <c r="B316" s="5" t="s">
        <v>3846</v>
      </c>
      <c r="C316" s="1" t="s">
        <v>3847</v>
      </c>
      <c r="D316" s="1" t="s">
        <v>3848</v>
      </c>
      <c r="E316" s="1" t="s">
        <v>3849</v>
      </c>
      <c r="F316" s="1" t="s">
        <v>221</v>
      </c>
      <c r="G316" s="1">
        <v>2023</v>
      </c>
      <c r="H316" s="1" t="s">
        <v>3850</v>
      </c>
      <c r="I316" s="1" t="str">
        <f>HYPERLINK("http://dx.doi.org/10.1016/j.prp.2022.154276","http://dx.doi.org/10.1016/j.prp.2022.154276")</f>
        <v>http://dx.doi.org/10.1016/j.prp.2022.154276</v>
      </c>
    </row>
    <row r="317" spans="1:9" ht="140" x14ac:dyDescent="0.15">
      <c r="A317" s="1" t="s">
        <v>9</v>
      </c>
      <c r="B317" s="5" t="s">
        <v>3673</v>
      </c>
      <c r="C317" s="1" t="s">
        <v>3674</v>
      </c>
      <c r="D317" s="1" t="s">
        <v>3675</v>
      </c>
      <c r="E317" s="1" t="s">
        <v>3676</v>
      </c>
      <c r="F317" s="1" t="s">
        <v>106</v>
      </c>
      <c r="G317" s="1">
        <v>2019</v>
      </c>
      <c r="H317" s="1" t="s">
        <v>3677</v>
      </c>
      <c r="I317" s="1" t="str">
        <f>HYPERLINK("http://dx.doi.org/10.2116/analsci.18P461","http://dx.doi.org/10.2116/analsci.18P461")</f>
        <v>http://dx.doi.org/10.2116/analsci.18P461</v>
      </c>
    </row>
    <row r="318" spans="1:9" ht="293" x14ac:dyDescent="0.15">
      <c r="A318" s="1" t="s">
        <v>9</v>
      </c>
      <c r="B318" s="5" t="s">
        <v>2548</v>
      </c>
      <c r="C318" s="1" t="s">
        <v>2549</v>
      </c>
      <c r="D318" s="1" t="s">
        <v>2550</v>
      </c>
      <c r="E318" s="1" t="s">
        <v>2551</v>
      </c>
      <c r="F318" s="1" t="s">
        <v>1154</v>
      </c>
      <c r="G318" s="1">
        <v>2020</v>
      </c>
      <c r="H318" s="1" t="s">
        <v>2552</v>
      </c>
      <c r="I318" s="1" t="str">
        <f>HYPERLINK("http://dx.doi.org/10.12659/MSM.919083","http://dx.doi.org/10.12659/MSM.919083")</f>
        <v>http://dx.doi.org/10.12659/MSM.919083</v>
      </c>
    </row>
    <row r="319" spans="1:9" ht="306" x14ac:dyDescent="0.15">
      <c r="A319" s="1" t="s">
        <v>9</v>
      </c>
      <c r="B319" s="5" t="s">
        <v>1509</v>
      </c>
      <c r="C319" s="1" t="s">
        <v>1510</v>
      </c>
      <c r="D319" s="1" t="s">
        <v>1511</v>
      </c>
      <c r="E319" s="1" t="s">
        <v>1512</v>
      </c>
      <c r="F319" s="1" t="s">
        <v>56</v>
      </c>
      <c r="G319" s="1">
        <v>2018</v>
      </c>
      <c r="H319" s="1" t="s">
        <v>1513</v>
      </c>
      <c r="I319" s="1" t="str">
        <f>HYPERLINK("http://dx.doi.org/10.1016/j.ympev.2018.04.019","http://dx.doi.org/10.1016/j.ympev.2018.04.019")</f>
        <v>http://dx.doi.org/10.1016/j.ympev.2018.04.019</v>
      </c>
    </row>
    <row r="320" spans="1:9" ht="252" x14ac:dyDescent="0.15">
      <c r="A320" s="1" t="s">
        <v>9</v>
      </c>
      <c r="B320" s="5" t="s">
        <v>2614</v>
      </c>
      <c r="C320" s="1" t="s">
        <v>2615</v>
      </c>
      <c r="D320" s="1" t="s">
        <v>156</v>
      </c>
      <c r="E320" s="1" t="s">
        <v>2616</v>
      </c>
      <c r="F320" s="1" t="s">
        <v>2617</v>
      </c>
      <c r="G320" s="1">
        <v>2019</v>
      </c>
      <c r="H320" s="1" t="s">
        <v>2618</v>
      </c>
      <c r="I320" s="1" t="str">
        <f>HYPERLINK("http://dx.doi.org/10.1038/s41598-019-38648-x","http://dx.doi.org/10.1038/s41598-019-38648-x")</f>
        <v>http://dx.doi.org/10.1038/s41598-019-38648-x</v>
      </c>
    </row>
    <row r="321" spans="1:9" ht="409.6" x14ac:dyDescent="0.15">
      <c r="A321" s="1" t="s">
        <v>9</v>
      </c>
      <c r="B321" s="5" t="s">
        <v>3536</v>
      </c>
      <c r="C321" s="1" t="s">
        <v>3537</v>
      </c>
      <c r="D321" s="1" t="s">
        <v>3538</v>
      </c>
      <c r="E321" s="1" t="s">
        <v>3539</v>
      </c>
      <c r="F321" s="1" t="s">
        <v>3540</v>
      </c>
      <c r="G321" s="1">
        <v>2025</v>
      </c>
      <c r="H321" s="1" t="s">
        <v>3541</v>
      </c>
      <c r="I321" s="1" t="str">
        <f>HYPERLINK("http://dx.doi.org/10.1130/B37488.1","http://dx.doi.org/10.1130/B37488.1")</f>
        <v>http://dx.doi.org/10.1130/B37488.1</v>
      </c>
    </row>
    <row r="322" spans="1:9" ht="293" x14ac:dyDescent="0.15">
      <c r="A322" s="1" t="s">
        <v>9</v>
      </c>
      <c r="B322" s="5" t="s">
        <v>1571</v>
      </c>
      <c r="C322" s="1" t="s">
        <v>1572</v>
      </c>
      <c r="D322" s="1" t="s">
        <v>1573</v>
      </c>
      <c r="E322" s="1" t="s">
        <v>1574</v>
      </c>
      <c r="F322" s="1" t="s">
        <v>1575</v>
      </c>
      <c r="G322" s="1">
        <v>2021</v>
      </c>
      <c r="H322" s="1" t="s">
        <v>1576</v>
      </c>
      <c r="I322" s="1" t="str">
        <f>HYPERLINK("http://dx.doi.org/10.1080/21655979.2021.2011014","http://dx.doi.org/10.1080/21655979.2021.2011014")</f>
        <v>http://dx.doi.org/10.1080/21655979.2021.2011014</v>
      </c>
    </row>
    <row r="323" spans="1:9" ht="397" x14ac:dyDescent="0.15">
      <c r="A323" s="1" t="s">
        <v>9</v>
      </c>
      <c r="B323" s="5" t="s">
        <v>3181</v>
      </c>
      <c r="C323" s="1" t="s">
        <v>3182</v>
      </c>
      <c r="D323" s="1" t="s">
        <v>1511</v>
      </c>
      <c r="E323" s="1" t="s">
        <v>3183</v>
      </c>
      <c r="F323" s="1" t="s">
        <v>68</v>
      </c>
      <c r="G323" s="1">
        <v>2017</v>
      </c>
      <c r="H323" s="1" t="s">
        <v>3184</v>
      </c>
      <c r="I323" s="1" t="str">
        <f>HYPERLINK("http://dx.doi.org/10.1016/j.ympev.2017.04.019","http://dx.doi.org/10.1016/j.ympev.2017.04.019")</f>
        <v>http://dx.doi.org/10.1016/j.ympev.2017.04.019</v>
      </c>
    </row>
    <row r="324" spans="1:9" ht="384" x14ac:dyDescent="0.15">
      <c r="A324" s="1" t="s">
        <v>9</v>
      </c>
      <c r="B324" s="5" t="s">
        <v>1586</v>
      </c>
      <c r="C324" s="1" t="s">
        <v>1587</v>
      </c>
      <c r="D324" s="1" t="s">
        <v>946</v>
      </c>
      <c r="E324" s="1" t="s">
        <v>1588</v>
      </c>
      <c r="F324" s="1" t="s">
        <v>21</v>
      </c>
      <c r="G324" s="1">
        <v>2023</v>
      </c>
      <c r="H324" s="1" t="s">
        <v>1589</v>
      </c>
      <c r="I324" s="1" t="str">
        <f>HYPERLINK("http://dx.doi.org/10.3390/biology12121510","http://dx.doi.org/10.3390/biology12121510")</f>
        <v>http://dx.doi.org/10.3390/biology12121510</v>
      </c>
    </row>
    <row r="325" spans="1:9" ht="345" x14ac:dyDescent="0.15">
      <c r="A325" s="1" t="s">
        <v>9</v>
      </c>
      <c r="B325" s="5" t="s">
        <v>3995</v>
      </c>
      <c r="C325" s="1" t="s">
        <v>3996</v>
      </c>
      <c r="D325" s="1" t="s">
        <v>951</v>
      </c>
      <c r="E325" s="1" t="s">
        <v>3997</v>
      </c>
      <c r="F325" s="1" t="s">
        <v>138</v>
      </c>
      <c r="G325" s="1">
        <v>2023</v>
      </c>
      <c r="H325" s="1" t="s">
        <v>3998</v>
      </c>
      <c r="I325" s="1" t="str">
        <f>HYPERLINK("http://dx.doi.org/10.3390/ijms24032570","http://dx.doi.org/10.3390/ijms24032570")</f>
        <v>http://dx.doi.org/10.3390/ijms24032570</v>
      </c>
    </row>
    <row r="326" spans="1:9" ht="319" x14ac:dyDescent="0.15">
      <c r="A326" s="1" t="s">
        <v>9</v>
      </c>
      <c r="B326" s="5" t="s">
        <v>2921</v>
      </c>
      <c r="C326" s="1" t="s">
        <v>2922</v>
      </c>
      <c r="D326" s="1" t="s">
        <v>2309</v>
      </c>
      <c r="E326" s="1" t="s">
        <v>2923</v>
      </c>
      <c r="F326" s="1" t="s">
        <v>96</v>
      </c>
      <c r="G326" s="1">
        <v>2022</v>
      </c>
      <c r="H326" s="1" t="s">
        <v>2924</v>
      </c>
      <c r="I326" s="1" t="str">
        <f>HYPERLINK("http://dx.doi.org/10.3390/ncrna8050065","http://dx.doi.org/10.3390/ncrna8050065")</f>
        <v>http://dx.doi.org/10.3390/ncrna8050065</v>
      </c>
    </row>
    <row r="327" spans="1:9" ht="371" x14ac:dyDescent="0.15">
      <c r="A327" s="1" t="s">
        <v>9</v>
      </c>
      <c r="B327" s="5" t="s">
        <v>3784</v>
      </c>
      <c r="C327" s="1" t="s">
        <v>3785</v>
      </c>
      <c r="D327" s="1" t="s">
        <v>3786</v>
      </c>
      <c r="E327" s="1" t="s">
        <v>3787</v>
      </c>
      <c r="F327" s="1" t="s">
        <v>1340</v>
      </c>
      <c r="G327" s="1">
        <v>2020</v>
      </c>
      <c r="H327" s="1" t="s">
        <v>3788</v>
      </c>
      <c r="I327" s="1" t="str">
        <f>HYPERLINK("http://dx.doi.org/10.1186/s13007-020-00581-w","http://dx.doi.org/10.1186/s13007-020-00581-w")</f>
        <v>http://dx.doi.org/10.1186/s13007-020-00581-w</v>
      </c>
    </row>
    <row r="328" spans="1:9" ht="266" x14ac:dyDescent="0.15">
      <c r="A328" s="1" t="s">
        <v>9</v>
      </c>
      <c r="B328" s="5" t="s">
        <v>3241</v>
      </c>
      <c r="C328" s="1" t="s">
        <v>3242</v>
      </c>
      <c r="D328" s="1" t="s">
        <v>1090</v>
      </c>
      <c r="E328" s="1" t="s">
        <v>3243</v>
      </c>
      <c r="F328" s="1" t="s">
        <v>302</v>
      </c>
      <c r="G328" s="1">
        <v>2020</v>
      </c>
      <c r="H328" s="1" t="s">
        <v>3244</v>
      </c>
      <c r="I328" s="1" t="str">
        <f>HYPERLINK("http://dx.doi.org/10.1016/j.ijbiomac.2020.01.029","http://dx.doi.org/10.1016/j.ijbiomac.2020.01.029")</f>
        <v>http://dx.doi.org/10.1016/j.ijbiomac.2020.01.029</v>
      </c>
    </row>
    <row r="329" spans="1:9" ht="306" x14ac:dyDescent="0.15">
      <c r="A329" s="1" t="s">
        <v>9</v>
      </c>
      <c r="B329" s="5" t="s">
        <v>2751</v>
      </c>
      <c r="C329" s="1" t="s">
        <v>2752</v>
      </c>
      <c r="D329" s="1" t="s">
        <v>2753</v>
      </c>
      <c r="E329" s="1" t="s">
        <v>2754</v>
      </c>
      <c r="F329" s="1" t="s">
        <v>21</v>
      </c>
      <c r="G329" s="1">
        <v>2024</v>
      </c>
      <c r="H329" s="1" t="s">
        <v>2755</v>
      </c>
      <c r="I329" s="1" t="str">
        <f>HYPERLINK("http://dx.doi.org/10.1007/s10142-024-01471-3","http://dx.doi.org/10.1007/s10142-024-01471-3")</f>
        <v>http://dx.doi.org/10.1007/s10142-024-01471-3</v>
      </c>
    </row>
    <row r="330" spans="1:9" ht="266" x14ac:dyDescent="0.15">
      <c r="A330" s="1" t="s">
        <v>9</v>
      </c>
      <c r="B330" s="5" t="s">
        <v>2009</v>
      </c>
      <c r="C330" s="1" t="s">
        <v>2010</v>
      </c>
      <c r="D330" s="1" t="s">
        <v>2011</v>
      </c>
      <c r="E330" s="1" t="s">
        <v>2012</v>
      </c>
      <c r="F330" s="1" t="s">
        <v>68</v>
      </c>
      <c r="G330" s="1">
        <v>2021</v>
      </c>
      <c r="H330" s="1" t="s">
        <v>2013</v>
      </c>
      <c r="I330" s="1" t="str">
        <f>HYPERLINK("http://dx.doi.org/10.1111/odi.13656","http://dx.doi.org/10.1111/odi.13656")</f>
        <v>http://dx.doi.org/10.1111/odi.13656</v>
      </c>
    </row>
    <row r="331" spans="1:9" ht="293" x14ac:dyDescent="0.15">
      <c r="A331" s="1" t="s">
        <v>9</v>
      </c>
      <c r="B331" s="5" t="s">
        <v>3795</v>
      </c>
      <c r="C331" s="1" t="s">
        <v>3796</v>
      </c>
      <c r="D331" s="1" t="s">
        <v>3797</v>
      </c>
      <c r="E331" s="1" t="s">
        <v>3798</v>
      </c>
      <c r="F331" s="1" t="s">
        <v>56</v>
      </c>
      <c r="G331" s="1">
        <v>2021</v>
      </c>
      <c r="H331" s="1" t="s">
        <v>3799</v>
      </c>
      <c r="I331" s="1" t="str">
        <f>HYPERLINK("http://dx.doi.org/10.1002/jbt.22848","http://dx.doi.org/10.1002/jbt.22848")</f>
        <v>http://dx.doi.org/10.1002/jbt.22848</v>
      </c>
    </row>
    <row r="332" spans="1:9" ht="238" x14ac:dyDescent="0.15">
      <c r="A332" s="1" t="s">
        <v>9</v>
      </c>
      <c r="B332" s="5" t="s">
        <v>1022</v>
      </c>
      <c r="C332" s="1" t="s">
        <v>1023</v>
      </c>
      <c r="D332" s="1" t="s">
        <v>1024</v>
      </c>
      <c r="E332" s="1" t="s">
        <v>1025</v>
      </c>
      <c r="F332" s="1" t="s">
        <v>1026</v>
      </c>
      <c r="G332" s="1">
        <v>2016</v>
      </c>
      <c r="H332" s="1" t="s">
        <v>1027</v>
      </c>
      <c r="I332" s="1" t="str">
        <f>HYPERLINK("http://dx.doi.org/10.1186/s12862-016-0795-9","http://dx.doi.org/10.1186/s12862-016-0795-9")</f>
        <v>http://dx.doi.org/10.1186/s12862-016-0795-9</v>
      </c>
    </row>
    <row r="333" spans="1:9" ht="266" x14ac:dyDescent="0.15">
      <c r="A333" s="1" t="s">
        <v>9</v>
      </c>
      <c r="B333" s="5" t="s">
        <v>641</v>
      </c>
      <c r="C333" s="1" t="s">
        <v>642</v>
      </c>
      <c r="D333" s="1" t="s">
        <v>643</v>
      </c>
      <c r="E333" s="1" t="s">
        <v>644</v>
      </c>
      <c r="F333" s="1" t="s">
        <v>209</v>
      </c>
      <c r="G333" s="1">
        <v>2020</v>
      </c>
      <c r="H333" s="1" t="s">
        <v>645</v>
      </c>
      <c r="I333" s="1" t="str">
        <f>HYPERLINK("http://dx.doi.org/10.1111/1462-2920.15222","http://dx.doi.org/10.1111/1462-2920.15222")</f>
        <v>http://dx.doi.org/10.1111/1462-2920.15222</v>
      </c>
    </row>
    <row r="334" spans="1:9" ht="306" x14ac:dyDescent="0.15">
      <c r="A334" s="1" t="s">
        <v>9</v>
      </c>
      <c r="B334" s="5" t="s">
        <v>2889</v>
      </c>
      <c r="C334" s="1" t="s">
        <v>2890</v>
      </c>
      <c r="D334" s="1" t="s">
        <v>2891</v>
      </c>
      <c r="E334" s="1" t="s">
        <v>2892</v>
      </c>
      <c r="F334" s="1" t="s">
        <v>33</v>
      </c>
      <c r="G334" s="1">
        <v>2021</v>
      </c>
      <c r="H334" s="1" t="s">
        <v>2893</v>
      </c>
      <c r="I334" s="1" t="str">
        <f>HYPERLINK("http://dx.doi.org/10.1007/s11010-021-04072-x","http://dx.doi.org/10.1007/s11010-021-04072-x")</f>
        <v>http://dx.doi.org/10.1007/s11010-021-04072-x</v>
      </c>
    </row>
    <row r="335" spans="1:9" ht="196" x14ac:dyDescent="0.15">
      <c r="A335" s="1" t="s">
        <v>9</v>
      </c>
      <c r="B335" s="5" t="s">
        <v>178</v>
      </c>
      <c r="C335" s="1" t="s">
        <v>179</v>
      </c>
      <c r="D335" s="1" t="s">
        <v>180</v>
      </c>
      <c r="E335" s="1" t="s">
        <v>181</v>
      </c>
      <c r="F335" s="1" t="s">
        <v>182</v>
      </c>
      <c r="G335" s="1">
        <v>2022</v>
      </c>
      <c r="H335" s="1" t="s">
        <v>183</v>
      </c>
      <c r="I335" s="1" t="str">
        <f>HYPERLINK("http://dx.doi.org/10.3389/fcell.2022.794650","http://dx.doi.org/10.3389/fcell.2022.794650")</f>
        <v>http://dx.doi.org/10.3389/fcell.2022.794650</v>
      </c>
    </row>
    <row r="336" spans="1:9" ht="293" x14ac:dyDescent="0.15">
      <c r="A336" s="1" t="s">
        <v>9</v>
      </c>
      <c r="B336" s="5" t="s">
        <v>524</v>
      </c>
      <c r="C336" s="1" t="s">
        <v>525</v>
      </c>
      <c r="D336" s="1" t="s">
        <v>526</v>
      </c>
      <c r="E336" s="1" t="s">
        <v>527</v>
      </c>
      <c r="F336" s="1" t="s">
        <v>484</v>
      </c>
      <c r="G336" s="1">
        <v>2021</v>
      </c>
      <c r="H336" s="1" t="s">
        <v>528</v>
      </c>
      <c r="I336" s="1" t="str">
        <f>HYPERLINK("http://dx.doi.org/10.1186/s13072-021-00422-7","http://dx.doi.org/10.1186/s13072-021-00422-7")</f>
        <v>http://dx.doi.org/10.1186/s13072-021-00422-7</v>
      </c>
    </row>
    <row r="337" spans="1:9" ht="280" x14ac:dyDescent="0.15">
      <c r="A337" s="1" t="s">
        <v>9</v>
      </c>
      <c r="B337" s="5" t="s">
        <v>3204</v>
      </c>
      <c r="C337" s="1" t="s">
        <v>3205</v>
      </c>
      <c r="D337" s="1" t="s">
        <v>3206</v>
      </c>
      <c r="E337" s="1" t="s">
        <v>3207</v>
      </c>
      <c r="F337" s="1" t="s">
        <v>1105</v>
      </c>
      <c r="G337" s="1">
        <v>2021</v>
      </c>
      <c r="H337" s="1" t="s">
        <v>3208</v>
      </c>
      <c r="I337" s="1" t="str">
        <f>HYPERLINK("http://dx.doi.org/10.1098/rsbl.2021.0213","http://dx.doi.org/10.1098/rsbl.2021.0213")</f>
        <v>http://dx.doi.org/10.1098/rsbl.2021.0213</v>
      </c>
    </row>
    <row r="338" spans="1:9" ht="332" x14ac:dyDescent="0.15">
      <c r="A338" s="1" t="s">
        <v>9</v>
      </c>
      <c r="B338" s="5" t="s">
        <v>2239</v>
      </c>
      <c r="C338" s="1" t="s">
        <v>2240</v>
      </c>
      <c r="D338" s="1" t="s">
        <v>84</v>
      </c>
      <c r="E338" s="1" t="s">
        <v>2241</v>
      </c>
      <c r="F338" s="1" t="s">
        <v>62</v>
      </c>
      <c r="G338" s="1">
        <v>2021</v>
      </c>
      <c r="H338" s="1" t="s">
        <v>2242</v>
      </c>
      <c r="I338" s="1" t="str">
        <f>HYPERLINK("http://dx.doi.org/10.1093/gbe/evab083","http://dx.doi.org/10.1093/gbe/evab083")</f>
        <v>http://dx.doi.org/10.1093/gbe/evab083</v>
      </c>
    </row>
    <row r="339" spans="1:9" ht="280" x14ac:dyDescent="0.15">
      <c r="A339" s="1" t="s">
        <v>9</v>
      </c>
      <c r="B339" s="5" t="s">
        <v>727</v>
      </c>
      <c r="C339" s="1" t="s">
        <v>728</v>
      </c>
      <c r="D339" s="1" t="s">
        <v>729</v>
      </c>
      <c r="E339" s="1" t="s">
        <v>730</v>
      </c>
      <c r="F339" s="1" t="s">
        <v>132</v>
      </c>
      <c r="G339" s="1">
        <v>2023</v>
      </c>
      <c r="H339" s="1" t="s">
        <v>731</v>
      </c>
      <c r="I339" s="1" t="str">
        <f>HYPERLINK("http://dx.doi.org/10.1017/S0007114522003579","http://dx.doi.org/10.1017/S0007114522003579")</f>
        <v>http://dx.doi.org/10.1017/S0007114522003579</v>
      </c>
    </row>
    <row r="340" spans="1:9" ht="371" x14ac:dyDescent="0.15">
      <c r="A340" s="1" t="s">
        <v>9</v>
      </c>
      <c r="B340" s="5" t="s">
        <v>2458</v>
      </c>
      <c r="C340" s="1" t="s">
        <v>2459</v>
      </c>
      <c r="D340" s="1" t="s">
        <v>2460</v>
      </c>
      <c r="E340" s="1" t="s">
        <v>2461</v>
      </c>
      <c r="F340" s="1" t="s">
        <v>1985</v>
      </c>
      <c r="G340" s="1">
        <v>2019</v>
      </c>
      <c r="H340" s="1" t="s">
        <v>2462</v>
      </c>
      <c r="I340" s="1" t="str">
        <f>HYPERLINK("http://dx.doi.org/10.1186/s12861-019-0197-5","http://dx.doi.org/10.1186/s12861-019-0197-5")</f>
        <v>http://dx.doi.org/10.1186/s12861-019-0197-5</v>
      </c>
    </row>
    <row r="341" spans="1:9" ht="252" x14ac:dyDescent="0.15">
      <c r="A341" s="1" t="s">
        <v>9</v>
      </c>
      <c r="B341" s="5" t="s">
        <v>3002</v>
      </c>
      <c r="C341" s="1" t="s">
        <v>3003</v>
      </c>
      <c r="D341" s="1" t="s">
        <v>2184</v>
      </c>
      <c r="E341" s="1" t="s">
        <v>3004</v>
      </c>
      <c r="F341" s="1" t="s">
        <v>112</v>
      </c>
      <c r="G341" s="1">
        <v>2024</v>
      </c>
      <c r="H341" s="1" t="s">
        <v>3005</v>
      </c>
      <c r="I341" s="1" t="str">
        <f>HYPERLINK("http://dx.doi.org/10.3390/d16030140","http://dx.doi.org/10.3390/d16030140")</f>
        <v>http://dx.doi.org/10.3390/d16030140</v>
      </c>
    </row>
    <row r="342" spans="1:9" ht="371" x14ac:dyDescent="0.15">
      <c r="A342" s="1" t="s">
        <v>9</v>
      </c>
      <c r="B342" s="5" t="s">
        <v>448</v>
      </c>
      <c r="C342" s="1" t="s">
        <v>449</v>
      </c>
      <c r="D342" s="1" t="s">
        <v>321</v>
      </c>
      <c r="E342" s="1" t="s">
        <v>450</v>
      </c>
      <c r="F342" s="1" t="s">
        <v>451</v>
      </c>
      <c r="G342" s="1">
        <v>2016</v>
      </c>
      <c r="H342" s="1" t="s">
        <v>452</v>
      </c>
      <c r="I342" s="1" t="str">
        <f>HYPERLINK("http://dx.doi.org/10.1371/journal.pone.0150840","http://dx.doi.org/10.1371/journal.pone.0150840")</f>
        <v>http://dx.doi.org/10.1371/journal.pone.0150840</v>
      </c>
    </row>
    <row r="343" spans="1:9" ht="397" x14ac:dyDescent="0.15">
      <c r="A343" s="1" t="s">
        <v>9</v>
      </c>
      <c r="B343" s="5" t="s">
        <v>3416</v>
      </c>
      <c r="C343" s="1" t="s">
        <v>3417</v>
      </c>
      <c r="D343" s="1" t="s">
        <v>344</v>
      </c>
      <c r="E343" s="1" t="s">
        <v>3418</v>
      </c>
      <c r="F343" s="1" t="s">
        <v>3052</v>
      </c>
      <c r="G343" s="1">
        <v>2023</v>
      </c>
      <c r="H343" s="1" t="s">
        <v>3419</v>
      </c>
      <c r="I343" s="1" t="str">
        <f>HYPERLINK("http://dx.doi.org/10.1021/acs.est.3c00499","http://dx.doi.org/10.1021/acs.est.3c00499")</f>
        <v>http://dx.doi.org/10.1021/acs.est.3c00499</v>
      </c>
    </row>
    <row r="344" spans="1:9" ht="266" x14ac:dyDescent="0.15">
      <c r="A344" s="1" t="s">
        <v>9</v>
      </c>
      <c r="B344" s="5" t="s">
        <v>1824</v>
      </c>
      <c r="C344" s="1" t="s">
        <v>1825</v>
      </c>
      <c r="D344" s="1" t="s">
        <v>1826</v>
      </c>
      <c r="E344" s="1" t="s">
        <v>1827</v>
      </c>
      <c r="F344" s="1" t="s">
        <v>21</v>
      </c>
      <c r="G344" s="1">
        <v>2021</v>
      </c>
      <c r="H344" s="1" t="s">
        <v>1828</v>
      </c>
      <c r="I344" s="1" t="str">
        <f>HYPERLINK("http://dx.doi.org/10.1111/cla.12465","http://dx.doi.org/10.1111/cla.12465")</f>
        <v>http://dx.doi.org/10.1111/cla.12465</v>
      </c>
    </row>
    <row r="345" spans="1:9" ht="224" x14ac:dyDescent="0.15">
      <c r="A345" s="1" t="s">
        <v>9</v>
      </c>
      <c r="B345" s="5" t="s">
        <v>3639</v>
      </c>
      <c r="C345" s="1" t="s">
        <v>3640</v>
      </c>
      <c r="D345" s="1" t="s">
        <v>3641</v>
      </c>
      <c r="E345" s="1" t="s">
        <v>3642</v>
      </c>
      <c r="F345" s="1" t="s">
        <v>221</v>
      </c>
      <c r="G345" s="1">
        <v>2020</v>
      </c>
      <c r="H345" s="1" t="s">
        <v>3643</v>
      </c>
      <c r="I345" s="1" t="str">
        <f>HYPERLINK("http://dx.doi.org/10.5343/bms.2018.0087","http://dx.doi.org/10.5343/bms.2018.0087")</f>
        <v>http://dx.doi.org/10.5343/bms.2018.0087</v>
      </c>
    </row>
    <row r="346" spans="1:9" ht="384" x14ac:dyDescent="0.15">
      <c r="A346" s="1" t="s">
        <v>9</v>
      </c>
      <c r="B346" s="5" t="s">
        <v>2592</v>
      </c>
      <c r="C346" s="1" t="s">
        <v>2593</v>
      </c>
      <c r="D346" s="1" t="s">
        <v>1024</v>
      </c>
      <c r="E346" s="1" t="s">
        <v>2594</v>
      </c>
      <c r="F346" s="1" t="s">
        <v>2466</v>
      </c>
      <c r="G346" s="1">
        <v>2010</v>
      </c>
      <c r="H346" s="1" t="s">
        <v>2595</v>
      </c>
      <c r="I346" s="1" t="str">
        <f>HYPERLINK("http://dx.doi.org/10.1186/1471-2148-10-356","http://dx.doi.org/10.1186/1471-2148-10-356")</f>
        <v>http://dx.doi.org/10.1186/1471-2148-10-356</v>
      </c>
    </row>
    <row r="347" spans="1:9" ht="306" x14ac:dyDescent="0.15">
      <c r="A347" s="1" t="s">
        <v>9</v>
      </c>
      <c r="B347" s="5" t="s">
        <v>2562</v>
      </c>
      <c r="C347" s="1" t="s">
        <v>2563</v>
      </c>
      <c r="D347" s="1" t="s">
        <v>2564</v>
      </c>
      <c r="E347" s="1" t="s">
        <v>2565</v>
      </c>
      <c r="F347" s="1" t="s">
        <v>11</v>
      </c>
      <c r="G347" s="1">
        <v>2014</v>
      </c>
      <c r="H347" s="1" t="s">
        <v>2566</v>
      </c>
      <c r="I347" s="1" t="str">
        <f>HYPERLINK("http://dx.doi.org/10.1016/j.pedobi.2013.09.006","http://dx.doi.org/10.1016/j.pedobi.2013.09.006")</f>
        <v>http://dx.doi.org/10.1016/j.pedobi.2013.09.006</v>
      </c>
    </row>
    <row r="348" spans="1:9" ht="210" x14ac:dyDescent="0.15">
      <c r="A348" s="1" t="s">
        <v>9</v>
      </c>
      <c r="B348" s="5" t="s">
        <v>3281</v>
      </c>
      <c r="C348" s="1" t="s">
        <v>3282</v>
      </c>
      <c r="D348" s="1" t="s">
        <v>951</v>
      </c>
      <c r="E348" s="1" t="s">
        <v>3283</v>
      </c>
      <c r="F348" s="1" t="s">
        <v>3284</v>
      </c>
      <c r="G348" s="1">
        <v>2023</v>
      </c>
      <c r="H348" s="1" t="s">
        <v>3285</v>
      </c>
      <c r="I348" s="1" t="str">
        <f>HYPERLINK("http://dx.doi.org/10.3390/ijms24097805","http://dx.doi.org/10.3390/ijms24097805")</f>
        <v>http://dx.doi.org/10.3390/ijms24097805</v>
      </c>
    </row>
    <row r="349" spans="1:9" ht="238" x14ac:dyDescent="0.15">
      <c r="A349" s="1" t="s">
        <v>9</v>
      </c>
      <c r="B349" s="5" t="s">
        <v>3654</v>
      </c>
      <c r="C349" s="1" t="s">
        <v>3655</v>
      </c>
      <c r="D349" s="1" t="s">
        <v>156</v>
      </c>
      <c r="E349" s="1" t="s">
        <v>3656</v>
      </c>
      <c r="F349" s="1" t="s">
        <v>2364</v>
      </c>
      <c r="G349" s="1">
        <v>2021</v>
      </c>
      <c r="H349" s="1" t="s">
        <v>3657</v>
      </c>
      <c r="I349" s="1" t="str">
        <f>HYPERLINK("http://dx.doi.org/10.1038/s41598-021-88988-w","http://dx.doi.org/10.1038/s41598-021-88988-w")</f>
        <v>http://dx.doi.org/10.1038/s41598-021-88988-w</v>
      </c>
    </row>
    <row r="350" spans="1:9" ht="293" x14ac:dyDescent="0.15">
      <c r="A350" s="1" t="s">
        <v>9</v>
      </c>
      <c r="B350" s="5" t="s">
        <v>2416</v>
      </c>
      <c r="C350" s="1" t="s">
        <v>2417</v>
      </c>
      <c r="D350" s="1" t="s">
        <v>321</v>
      </c>
      <c r="E350" s="1" t="s">
        <v>2418</v>
      </c>
      <c r="F350" s="1" t="s">
        <v>2419</v>
      </c>
      <c r="G350" s="1">
        <v>2012</v>
      </c>
      <c r="H350" s="1" t="s">
        <v>2420</v>
      </c>
      <c r="I350" s="1" t="str">
        <f>HYPERLINK("http://dx.doi.org/10.1371/journal.pone.0032066","http://dx.doi.org/10.1371/journal.pone.0032066")</f>
        <v>http://dx.doi.org/10.1371/journal.pone.0032066</v>
      </c>
    </row>
    <row r="351" spans="1:9" ht="252" x14ac:dyDescent="0.15">
      <c r="A351" s="1" t="s">
        <v>9</v>
      </c>
      <c r="B351" s="5" t="s">
        <v>3406</v>
      </c>
      <c r="C351" s="1" t="s">
        <v>3407</v>
      </c>
      <c r="D351" s="1" t="s">
        <v>3408</v>
      </c>
      <c r="E351" s="1" t="s">
        <v>3409</v>
      </c>
      <c r="F351" s="1" t="s">
        <v>138</v>
      </c>
      <c r="G351" s="1">
        <v>2023</v>
      </c>
      <c r="H351" s="1" t="s">
        <v>3410</v>
      </c>
      <c r="I351" s="1" t="str">
        <f>HYPERLINK("http://dx.doi.org/10.3390/life13020501","http://dx.doi.org/10.3390/life13020501")</f>
        <v>http://dx.doi.org/10.3390/life13020501</v>
      </c>
    </row>
    <row r="352" spans="1:9" ht="224" x14ac:dyDescent="0.15">
      <c r="A352" s="1" t="s">
        <v>9</v>
      </c>
      <c r="B352" s="5" t="s">
        <v>289</v>
      </c>
      <c r="C352" s="1" t="s">
        <v>290</v>
      </c>
      <c r="D352" s="1" t="s">
        <v>234</v>
      </c>
      <c r="E352" s="1" t="s">
        <v>291</v>
      </c>
      <c r="F352" s="1" t="s">
        <v>21</v>
      </c>
      <c r="G352" s="1">
        <v>2016</v>
      </c>
      <c r="H352" s="1" t="s">
        <v>292</v>
      </c>
      <c r="I352" s="1" t="str">
        <f>HYPERLINK("http://dx.doi.org/10.1016/j.cbpb.2016.07.007","http://dx.doi.org/10.1016/j.cbpb.2016.07.007")</f>
        <v>http://dx.doi.org/10.1016/j.cbpb.2016.07.007</v>
      </c>
    </row>
    <row r="353" spans="1:9" ht="332" x14ac:dyDescent="0.15">
      <c r="A353" s="1" t="s">
        <v>9</v>
      </c>
      <c r="B353" s="5" t="s">
        <v>4004</v>
      </c>
      <c r="C353" s="1" t="s">
        <v>4005</v>
      </c>
      <c r="D353" s="1" t="s">
        <v>4006</v>
      </c>
      <c r="E353" s="1" t="s">
        <v>4007</v>
      </c>
      <c r="F353" s="1" t="s">
        <v>221</v>
      </c>
      <c r="G353" s="1">
        <v>2016</v>
      </c>
      <c r="H353" s="1" t="s">
        <v>4008</v>
      </c>
      <c r="I353" s="1" t="str">
        <f>HYPERLINK("http://dx.doi.org/10.1016/j.precamres.2015.09.029","http://dx.doi.org/10.1016/j.precamres.2015.09.029")</f>
        <v>http://dx.doi.org/10.1016/j.precamres.2015.09.029</v>
      </c>
    </row>
    <row r="354" spans="1:9" ht="266" x14ac:dyDescent="0.15">
      <c r="A354" s="1" t="s">
        <v>9</v>
      </c>
      <c r="B354" s="5" t="s">
        <v>1679</v>
      </c>
      <c r="C354" s="1" t="s">
        <v>1680</v>
      </c>
      <c r="D354" s="1" t="s">
        <v>951</v>
      </c>
      <c r="E354" s="1" t="s">
        <v>1681</v>
      </c>
      <c r="F354" s="1" t="s">
        <v>56</v>
      </c>
      <c r="G354" s="1">
        <v>2022</v>
      </c>
      <c r="H354" s="1" t="s">
        <v>1682</v>
      </c>
      <c r="I354" s="1" t="str">
        <f>HYPERLINK("http://dx.doi.org/10.3390/ijms23179761","http://dx.doi.org/10.3390/ijms23179761")</f>
        <v>http://dx.doi.org/10.3390/ijms23179761</v>
      </c>
    </row>
    <row r="355" spans="1:9" ht="409.6" x14ac:dyDescent="0.15">
      <c r="A355" s="1" t="s">
        <v>9</v>
      </c>
      <c r="B355" s="5" t="s">
        <v>3027</v>
      </c>
      <c r="C355" s="1" t="s">
        <v>3028</v>
      </c>
      <c r="D355" s="1" t="s">
        <v>142</v>
      </c>
      <c r="E355" s="1" t="s">
        <v>3029</v>
      </c>
      <c r="F355" s="1" t="s">
        <v>112</v>
      </c>
      <c r="G355" s="1">
        <v>2015</v>
      </c>
      <c r="H355" s="1" t="s">
        <v>3030</v>
      </c>
      <c r="I355" s="1" t="str">
        <f>HYPERLINK("http://dx.doi.org/10.1016/j.fsi.2014.12.016","http://dx.doi.org/10.1016/j.fsi.2014.12.016")</f>
        <v>http://dx.doi.org/10.1016/j.fsi.2014.12.016</v>
      </c>
    </row>
    <row r="356" spans="1:9" ht="280" x14ac:dyDescent="0.15">
      <c r="A356" s="1" t="s">
        <v>9</v>
      </c>
      <c r="B356" s="5" t="s">
        <v>3804</v>
      </c>
      <c r="C356" s="1" t="s">
        <v>3805</v>
      </c>
      <c r="D356" s="1" t="s">
        <v>3806</v>
      </c>
      <c r="E356" s="1" t="s">
        <v>3807</v>
      </c>
      <c r="F356" s="1" t="s">
        <v>11</v>
      </c>
      <c r="G356" s="1">
        <v>2017</v>
      </c>
      <c r="H356" s="1" t="s">
        <v>3808</v>
      </c>
      <c r="I356" s="1" t="str">
        <f>HYPERLINK("http://dx.doi.org/10.1080/15384101.2017.1344798","http://dx.doi.org/10.1080/15384101.2017.1344798")</f>
        <v>http://dx.doi.org/10.1080/15384101.2017.1344798</v>
      </c>
    </row>
    <row r="357" spans="1:9" ht="224" x14ac:dyDescent="0.15">
      <c r="A357" s="1" t="s">
        <v>9</v>
      </c>
      <c r="B357" s="5" t="s">
        <v>3559</v>
      </c>
      <c r="C357" s="1" t="s">
        <v>3560</v>
      </c>
      <c r="D357" s="1" t="s">
        <v>1628</v>
      </c>
      <c r="E357" s="1" t="s">
        <v>3561</v>
      </c>
      <c r="F357" s="1" t="s">
        <v>112</v>
      </c>
      <c r="G357" s="1">
        <v>2016</v>
      </c>
      <c r="H357" s="1" t="s">
        <v>3562</v>
      </c>
      <c r="I357" s="1" t="str">
        <f>HYPERLINK("http://dx.doi.org/10.1007/s13127-015-0240-8","http://dx.doi.org/10.1007/s13127-015-0240-8")</f>
        <v>http://dx.doi.org/10.1007/s13127-015-0240-8</v>
      </c>
    </row>
    <row r="358" spans="1:9" ht="332" x14ac:dyDescent="0.15">
      <c r="A358" s="1" t="s">
        <v>9</v>
      </c>
      <c r="B358" s="5" t="s">
        <v>790</v>
      </c>
      <c r="C358" s="1" t="s">
        <v>791</v>
      </c>
      <c r="D358" s="1" t="s">
        <v>792</v>
      </c>
      <c r="E358" s="1" t="s">
        <v>793</v>
      </c>
      <c r="F358" s="1" t="s">
        <v>122</v>
      </c>
      <c r="G358" s="1">
        <v>2018</v>
      </c>
      <c r="H358" s="1" t="s">
        <v>794</v>
      </c>
      <c r="I358" s="1" t="str">
        <f>HYPERLINK("http://dx.doi.org/10.1371/journal.pgen.1007590","http://dx.doi.org/10.1371/journal.pgen.1007590")</f>
        <v>http://dx.doi.org/10.1371/journal.pgen.1007590</v>
      </c>
    </row>
    <row r="359" spans="1:9" ht="252" x14ac:dyDescent="0.15">
      <c r="A359" s="1" t="s">
        <v>9</v>
      </c>
      <c r="B359" s="5" t="s">
        <v>627</v>
      </c>
      <c r="C359" s="1" t="s">
        <v>628</v>
      </c>
      <c r="D359" s="1" t="s">
        <v>629</v>
      </c>
      <c r="E359" s="1" t="s">
        <v>630</v>
      </c>
      <c r="F359" s="1" t="s">
        <v>209</v>
      </c>
      <c r="G359" s="1">
        <v>2025</v>
      </c>
      <c r="H359" s="1" t="s">
        <v>631</v>
      </c>
      <c r="I359" s="1" t="str">
        <f>HYPERLINK("http://dx.doi.org/10.1016/j.rechem.2025.102714","http://dx.doi.org/10.1016/j.rechem.2025.102714")</f>
        <v>http://dx.doi.org/10.1016/j.rechem.2025.102714</v>
      </c>
    </row>
    <row r="360" spans="1:9" ht="293" x14ac:dyDescent="0.15">
      <c r="A360" s="1" t="s">
        <v>9</v>
      </c>
      <c r="B360" s="5" t="s">
        <v>3953</v>
      </c>
      <c r="C360" s="1" t="s">
        <v>3954</v>
      </c>
      <c r="D360" s="1" t="s">
        <v>1786</v>
      </c>
      <c r="E360" s="1" t="s">
        <v>3955</v>
      </c>
      <c r="F360" s="1" t="s">
        <v>1902</v>
      </c>
      <c r="G360" s="1">
        <v>2022</v>
      </c>
      <c r="H360" s="1" t="s">
        <v>3956</v>
      </c>
      <c r="I360" s="1" t="str">
        <f>HYPERLINK("http://dx.doi.org/10.11646/zootaxa.5092.5.4","http://dx.doi.org/10.11646/zootaxa.5092.5.4")</f>
        <v>http://dx.doi.org/10.11646/zootaxa.5092.5.4</v>
      </c>
    </row>
    <row r="361" spans="1:9" ht="345" x14ac:dyDescent="0.15">
      <c r="A361" s="1" t="s">
        <v>9</v>
      </c>
      <c r="B361" s="5" t="s">
        <v>1872</v>
      </c>
      <c r="C361" s="1" t="s">
        <v>1873</v>
      </c>
      <c r="D361" s="1" t="s">
        <v>321</v>
      </c>
      <c r="E361" s="1" t="s">
        <v>1874</v>
      </c>
      <c r="F361" s="1" t="s">
        <v>1875</v>
      </c>
      <c r="G361" s="1">
        <v>2013</v>
      </c>
      <c r="H361" s="1" t="s">
        <v>1876</v>
      </c>
      <c r="I361" s="1" t="str">
        <f>HYPERLINK("http://dx.doi.org/10.1371/journal.pone.0060839","http://dx.doi.org/10.1371/journal.pone.0060839")</f>
        <v>http://dx.doi.org/10.1371/journal.pone.0060839</v>
      </c>
    </row>
    <row r="362" spans="1:9" ht="210" x14ac:dyDescent="0.15">
      <c r="A362" s="1" t="s">
        <v>9</v>
      </c>
      <c r="B362" s="5" t="s">
        <v>1297</v>
      </c>
      <c r="C362" s="1" t="s">
        <v>1298</v>
      </c>
      <c r="D362" s="1" t="s">
        <v>1299</v>
      </c>
      <c r="E362" s="1" t="s">
        <v>1300</v>
      </c>
      <c r="F362" s="1" t="s">
        <v>138</v>
      </c>
      <c r="G362" s="1">
        <v>2016</v>
      </c>
      <c r="H362" s="1" t="s">
        <v>1301</v>
      </c>
      <c r="I362" s="1" t="str">
        <f>HYPERLINK("http://dx.doi.org/10.1007/s12517-015-2130-y","http://dx.doi.org/10.1007/s12517-015-2130-y")</f>
        <v>http://dx.doi.org/10.1007/s12517-015-2130-y</v>
      </c>
    </row>
    <row r="363" spans="1:9" ht="210" x14ac:dyDescent="0.15">
      <c r="A363" s="1" t="s">
        <v>9</v>
      </c>
      <c r="B363" s="5" t="s">
        <v>35</v>
      </c>
      <c r="C363" s="1" t="s">
        <v>36</v>
      </c>
      <c r="D363" s="1" t="s">
        <v>37</v>
      </c>
      <c r="E363" s="1" t="s">
        <v>38</v>
      </c>
      <c r="F363" s="1" t="s">
        <v>39</v>
      </c>
      <c r="G363" s="1">
        <v>2024</v>
      </c>
      <c r="H363" s="1" t="s">
        <v>40</v>
      </c>
      <c r="I363" s="1" t="str">
        <f>HYPERLINK("http://dx.doi.org/10.1016/j.ecoenv.2023.115770","http://dx.doi.org/10.1016/j.ecoenv.2023.115770")</f>
        <v>http://dx.doi.org/10.1016/j.ecoenv.2023.115770</v>
      </c>
    </row>
    <row r="364" spans="1:9" ht="306" x14ac:dyDescent="0.15">
      <c r="A364" s="1" t="s">
        <v>9</v>
      </c>
      <c r="B364" s="5" t="s">
        <v>3424</v>
      </c>
      <c r="C364" s="1" t="s">
        <v>3425</v>
      </c>
      <c r="D364" s="1" t="s">
        <v>1738</v>
      </c>
      <c r="E364" s="1" t="s">
        <v>3426</v>
      </c>
      <c r="F364" s="1" t="s">
        <v>112</v>
      </c>
      <c r="G364" s="1">
        <v>2017</v>
      </c>
      <c r="H364" s="1" t="s">
        <v>3427</v>
      </c>
      <c r="I364" s="1" t="str">
        <f>HYPERLINK("http://dx.doi.org/10.1111/zsc.12199","http://dx.doi.org/10.1111/zsc.12199")</f>
        <v>http://dx.doi.org/10.1111/zsc.12199</v>
      </c>
    </row>
    <row r="365" spans="1:9" ht="280" x14ac:dyDescent="0.15">
      <c r="A365" s="1" t="s">
        <v>9</v>
      </c>
      <c r="B365" s="5" t="s">
        <v>3387</v>
      </c>
      <c r="C365" s="1" t="s">
        <v>3388</v>
      </c>
      <c r="D365" s="1" t="s">
        <v>1173</v>
      </c>
      <c r="E365" s="1" t="s">
        <v>3389</v>
      </c>
      <c r="F365" s="1" t="s">
        <v>3390</v>
      </c>
      <c r="G365" s="1">
        <v>2006</v>
      </c>
      <c r="H365" s="1" t="s">
        <v>3391</v>
      </c>
      <c r="I365" s="1" t="str">
        <f>HYPERLINK("http://dx.doi.org/10.1098/rspb.2005.3391","http://dx.doi.org/10.1098/rspb.2005.3391")</f>
        <v>http://dx.doi.org/10.1098/rspb.2005.3391</v>
      </c>
    </row>
    <row r="366" spans="1:9" ht="266" x14ac:dyDescent="0.15">
      <c r="A366" s="1" t="s">
        <v>9</v>
      </c>
      <c r="B366" s="5" t="s">
        <v>1315</v>
      </c>
      <c r="C366" s="1" t="s">
        <v>1316</v>
      </c>
      <c r="D366" s="1" t="s">
        <v>1173</v>
      </c>
      <c r="E366" s="1" t="s">
        <v>1317</v>
      </c>
      <c r="F366" s="1" t="s">
        <v>1318</v>
      </c>
      <c r="G366" s="1">
        <v>2021</v>
      </c>
      <c r="H366" s="1" t="s">
        <v>1319</v>
      </c>
      <c r="I366" s="1" t="str">
        <f>HYPERLINK("http://dx.doi.org/10.1098/rspb.2021.1931","http://dx.doi.org/10.1098/rspb.2021.1931")</f>
        <v>http://dx.doi.org/10.1098/rspb.2021.1931</v>
      </c>
    </row>
    <row r="367" spans="1:9" ht="332" x14ac:dyDescent="0.15">
      <c r="A367" s="1" t="s">
        <v>9</v>
      </c>
      <c r="B367" s="5" t="s">
        <v>1080</v>
      </c>
      <c r="C367" s="1" t="s">
        <v>1081</v>
      </c>
      <c r="D367" s="1" t="s">
        <v>271</v>
      </c>
      <c r="E367" s="1" t="s">
        <v>1082</v>
      </c>
      <c r="F367" s="1" t="s">
        <v>112</v>
      </c>
      <c r="G367" s="1">
        <v>2020</v>
      </c>
      <c r="H367" s="1" t="s">
        <v>1083</v>
      </c>
      <c r="I367" s="1" t="str">
        <f>HYPERLINK("http://dx.doi.org/10.1111/gcb.14907","http://dx.doi.org/10.1111/gcb.14907")</f>
        <v>http://dx.doi.org/10.1111/gcb.14907</v>
      </c>
    </row>
    <row r="368" spans="1:9" ht="280" x14ac:dyDescent="0.15">
      <c r="A368" s="1" t="s">
        <v>9</v>
      </c>
      <c r="B368" s="5" t="s">
        <v>1590</v>
      </c>
      <c r="C368" s="1" t="s">
        <v>1591</v>
      </c>
      <c r="D368" s="1" t="s">
        <v>300</v>
      </c>
      <c r="E368" s="1" t="s">
        <v>1592</v>
      </c>
      <c r="F368" s="1" t="s">
        <v>1593</v>
      </c>
      <c r="G368" s="1">
        <v>2023</v>
      </c>
      <c r="H368" s="1" t="s">
        <v>1594</v>
      </c>
      <c r="I368" s="1" t="str">
        <f>HYPERLINK("http://dx.doi.org/10.1016/j.scitotenv.2023.162296","http://dx.doi.org/10.1016/j.scitotenv.2023.162296")</f>
        <v>http://dx.doi.org/10.1016/j.scitotenv.2023.162296</v>
      </c>
    </row>
    <row r="369" spans="1:9" ht="293" x14ac:dyDescent="0.15">
      <c r="A369" s="1" t="s">
        <v>9</v>
      </c>
      <c r="B369" s="5" t="s">
        <v>2271</v>
      </c>
      <c r="C369" s="1" t="s">
        <v>2272</v>
      </c>
      <c r="D369" s="1" t="s">
        <v>2273</v>
      </c>
      <c r="E369" s="1" t="s">
        <v>2274</v>
      </c>
      <c r="F369" s="1" t="s">
        <v>106</v>
      </c>
      <c r="G369" s="1">
        <v>2014</v>
      </c>
      <c r="H369" s="1" t="s">
        <v>2275</v>
      </c>
      <c r="I369" s="1" t="str">
        <f>HYPERLINK("http://dx.doi.org/10.1101/gr.162503.113","http://dx.doi.org/10.1101/gr.162503.113")</f>
        <v>http://dx.doi.org/10.1101/gr.162503.113</v>
      </c>
    </row>
    <row r="370" spans="1:9" ht="252" x14ac:dyDescent="0.15">
      <c r="A370" s="1" t="s">
        <v>9</v>
      </c>
      <c r="B370" s="5" t="s">
        <v>2040</v>
      </c>
      <c r="C370" s="1" t="s">
        <v>2041</v>
      </c>
      <c r="D370" s="1" t="s">
        <v>25</v>
      </c>
      <c r="E370" s="1" t="s">
        <v>2042</v>
      </c>
      <c r="F370" s="1" t="s">
        <v>21</v>
      </c>
      <c r="G370" s="1">
        <v>2013</v>
      </c>
      <c r="H370" s="1" t="s">
        <v>2043</v>
      </c>
      <c r="I370" s="1" t="str">
        <f>HYPERLINK("http://dx.doi.org/10.1093/molbev/mst159","http://dx.doi.org/10.1093/molbev/mst159")</f>
        <v>http://dx.doi.org/10.1093/molbev/mst159</v>
      </c>
    </row>
    <row r="371" spans="1:9" ht="252" x14ac:dyDescent="0.15">
      <c r="A371" s="1" t="s">
        <v>9</v>
      </c>
      <c r="B371" s="5" t="s">
        <v>3392</v>
      </c>
      <c r="C371" s="1" t="s">
        <v>3393</v>
      </c>
      <c r="D371" s="1" t="s">
        <v>3394</v>
      </c>
      <c r="E371" s="1" t="s">
        <v>3395</v>
      </c>
      <c r="F371" s="1" t="s">
        <v>221</v>
      </c>
      <c r="G371" s="1">
        <v>2018</v>
      </c>
      <c r="H371" s="1" t="s">
        <v>3396</v>
      </c>
      <c r="I371" s="1" t="str">
        <f>HYPERLINK("http://dx.doi.org/10.1021/acs.jproteome.7b00603","http://dx.doi.org/10.1021/acs.jproteome.7b00603")</f>
        <v>http://dx.doi.org/10.1021/acs.jproteome.7b00603</v>
      </c>
    </row>
    <row r="372" spans="1:9" ht="306" x14ac:dyDescent="0.15">
      <c r="A372" s="1" t="s">
        <v>9</v>
      </c>
      <c r="B372" s="5" t="s">
        <v>2747</v>
      </c>
      <c r="C372" s="1" t="s">
        <v>2748</v>
      </c>
      <c r="D372" s="1" t="s">
        <v>2340</v>
      </c>
      <c r="E372" s="1" t="s">
        <v>2749</v>
      </c>
      <c r="F372" s="1" t="s">
        <v>138</v>
      </c>
      <c r="G372" s="1">
        <v>2000</v>
      </c>
      <c r="H372" s="1" t="s">
        <v>2750</v>
      </c>
      <c r="I372" s="1" t="str">
        <f>HYPERLINK("http://dx.doi.org/10.1002/(SICI)1097-4644(20000201)76:2&lt;173::AID-JCB1&gt;3.0.CO;2-7","http://dx.doi.org/10.1002/(SICI)1097-4644(20000201)76:2&lt;173::AID-JCB1&gt;3.0.CO;2-7")</f>
        <v>http://dx.doi.org/10.1002/(SICI)1097-4644(20000201)76:2&lt;173::AID-JCB1&gt;3.0.CO;2-7</v>
      </c>
    </row>
    <row r="373" spans="1:9" ht="252" x14ac:dyDescent="0.15">
      <c r="A373" s="1" t="s">
        <v>9</v>
      </c>
      <c r="B373" s="5" t="s">
        <v>660</v>
      </c>
      <c r="C373" s="1" t="s">
        <v>661</v>
      </c>
      <c r="D373" s="1" t="s">
        <v>662</v>
      </c>
      <c r="E373" s="1" t="s">
        <v>663</v>
      </c>
      <c r="F373" s="1" t="s">
        <v>112</v>
      </c>
      <c r="G373" s="1">
        <v>2021</v>
      </c>
      <c r="H373" s="1" t="s">
        <v>664</v>
      </c>
      <c r="I373" s="1" t="str">
        <f>HYPERLINK("http://dx.doi.org/10.3390/md19030143","http://dx.doi.org/10.3390/md19030143")</f>
        <v>http://dx.doi.org/10.3390/md19030143</v>
      </c>
    </row>
    <row r="374" spans="1:9" ht="345" x14ac:dyDescent="0.15">
      <c r="A374" s="1" t="s">
        <v>9</v>
      </c>
      <c r="B374" s="5" t="s">
        <v>3507</v>
      </c>
      <c r="C374" s="1" t="s">
        <v>3508</v>
      </c>
      <c r="D374" s="1" t="s">
        <v>3509</v>
      </c>
      <c r="E374" s="1" t="s">
        <v>3510</v>
      </c>
      <c r="F374" s="1" t="s">
        <v>1715</v>
      </c>
      <c r="G374" s="1">
        <v>2023</v>
      </c>
      <c r="H374" s="1" t="s">
        <v>3511</v>
      </c>
      <c r="I374" s="1" t="str">
        <f>HYPERLINK("http://dx.doi.org/10.3389/fendo.2023.1129666","http://dx.doi.org/10.3389/fendo.2023.1129666")</f>
        <v>http://dx.doi.org/10.3389/fendo.2023.1129666</v>
      </c>
    </row>
    <row r="375" spans="1:9" ht="266" x14ac:dyDescent="0.15">
      <c r="A375" s="1" t="s">
        <v>9</v>
      </c>
      <c r="B375" s="5" t="s">
        <v>3286</v>
      </c>
      <c r="C375" s="1" t="s">
        <v>3287</v>
      </c>
      <c r="D375" s="1" t="s">
        <v>2220</v>
      </c>
      <c r="E375" s="1" t="s">
        <v>3288</v>
      </c>
      <c r="F375" s="1" t="s">
        <v>3289</v>
      </c>
      <c r="G375" s="1">
        <v>2014</v>
      </c>
      <c r="H375" s="1" t="s">
        <v>3290</v>
      </c>
      <c r="I375" s="1" t="str">
        <f>HYPERLINK("http://dx.doi.org/10.1038/nature13400","http://dx.doi.org/10.1038/nature13400")</f>
        <v>http://dx.doi.org/10.1038/nature13400</v>
      </c>
    </row>
    <row r="376" spans="1:9" ht="409.6" x14ac:dyDescent="0.15">
      <c r="A376" s="1" t="s">
        <v>9</v>
      </c>
      <c r="B376" s="5" t="s">
        <v>1011</v>
      </c>
      <c r="C376" s="1" t="s">
        <v>1012</v>
      </c>
      <c r="D376" s="1" t="s">
        <v>1013</v>
      </c>
      <c r="E376" s="1" t="s">
        <v>1014</v>
      </c>
      <c r="F376" s="1" t="s">
        <v>1015</v>
      </c>
      <c r="G376" s="1">
        <v>2018</v>
      </c>
      <c r="H376" s="1" t="s">
        <v>1016</v>
      </c>
      <c r="I376" s="1" t="str">
        <f>HYPERLINK("http://dx.doi.org/10.1016/j.jprot.2017.11.002","http://dx.doi.org/10.1016/j.jprot.2017.11.002")</f>
        <v>http://dx.doi.org/10.1016/j.jprot.2017.11.002</v>
      </c>
    </row>
    <row r="377" spans="1:9" ht="371" x14ac:dyDescent="0.15">
      <c r="A377" s="1" t="s">
        <v>9</v>
      </c>
      <c r="B377" s="5" t="s">
        <v>3343</v>
      </c>
      <c r="C377" s="1" t="s">
        <v>3344</v>
      </c>
      <c r="D377" s="1" t="s">
        <v>271</v>
      </c>
      <c r="E377" s="1" t="s">
        <v>3345</v>
      </c>
      <c r="F377" s="1" t="s">
        <v>221</v>
      </c>
      <c r="G377" s="1">
        <v>2017</v>
      </c>
      <c r="H377" s="1" t="s">
        <v>3346</v>
      </c>
      <c r="I377" s="1" t="str">
        <f>HYPERLINK("http://dx.doi.org/10.1111/gcb.13419","http://dx.doi.org/10.1111/gcb.13419")</f>
        <v>http://dx.doi.org/10.1111/gcb.13419</v>
      </c>
    </row>
    <row r="378" spans="1:9" ht="210" x14ac:dyDescent="0.15">
      <c r="A378" s="1" t="s">
        <v>9</v>
      </c>
      <c r="B378" s="5" t="s">
        <v>3245</v>
      </c>
      <c r="C378" s="1" t="s">
        <v>3246</v>
      </c>
      <c r="D378" s="1" t="s">
        <v>48</v>
      </c>
      <c r="E378" s="1" t="s">
        <v>3247</v>
      </c>
      <c r="F378" s="1" t="s">
        <v>1744</v>
      </c>
      <c r="G378" s="1">
        <v>2025</v>
      </c>
      <c r="H378" s="1" t="s">
        <v>3248</v>
      </c>
      <c r="I378" s="1" t="str">
        <f>HYPERLINK("http://dx.doi.org/10.1186/s12864-025-11727-2","http://dx.doi.org/10.1186/s12864-025-11727-2")</f>
        <v>http://dx.doi.org/10.1186/s12864-025-11727-2</v>
      </c>
    </row>
    <row r="379" spans="1:9" ht="112" x14ac:dyDescent="0.15">
      <c r="A379" s="1" t="s">
        <v>9</v>
      </c>
      <c r="B379" s="5" t="s">
        <v>2959</v>
      </c>
      <c r="C379" s="1" t="s">
        <v>2960</v>
      </c>
      <c r="D379" s="1" t="s">
        <v>2209</v>
      </c>
      <c r="E379" s="1" t="s">
        <v>2961</v>
      </c>
      <c r="F379" s="1" t="s">
        <v>460</v>
      </c>
      <c r="G379" s="1">
        <v>2008</v>
      </c>
      <c r="H379" s="1" t="s">
        <v>2962</v>
      </c>
      <c r="I379" s="1" t="str">
        <f>HYPERLINK("http://dx.doi.org/10.1016/j.bmcl.2008.03.053","http://dx.doi.org/10.1016/j.bmcl.2008.03.053")</f>
        <v>http://dx.doi.org/10.1016/j.bmcl.2008.03.053</v>
      </c>
    </row>
    <row r="380" spans="1:9" ht="293" x14ac:dyDescent="0.15">
      <c r="A380" s="1" t="s">
        <v>9</v>
      </c>
      <c r="B380" s="5" t="s">
        <v>2352</v>
      </c>
      <c r="C380" s="1" t="s">
        <v>2353</v>
      </c>
      <c r="D380" s="1" t="s">
        <v>1090</v>
      </c>
      <c r="E380" s="1" t="s">
        <v>2354</v>
      </c>
      <c r="F380" s="1" t="s">
        <v>209</v>
      </c>
      <c r="G380" s="1">
        <v>2025</v>
      </c>
      <c r="H380" s="1" t="s">
        <v>2355</v>
      </c>
      <c r="I380" s="1" t="str">
        <f>HYPERLINK("http://dx.doi.org/10.1016/j.ijbiomac.2025.147638","http://dx.doi.org/10.1016/j.ijbiomac.2025.147638")</f>
        <v>http://dx.doi.org/10.1016/j.ijbiomac.2025.147638</v>
      </c>
    </row>
    <row r="381" spans="1:9" ht="384" x14ac:dyDescent="0.15">
      <c r="A381" s="1" t="s">
        <v>9</v>
      </c>
      <c r="B381" s="5" t="s">
        <v>3980</v>
      </c>
      <c r="C381" s="1" t="s">
        <v>3981</v>
      </c>
      <c r="D381" s="1" t="s">
        <v>3982</v>
      </c>
      <c r="E381" s="1" t="s">
        <v>3983</v>
      </c>
      <c r="F381" s="1" t="s">
        <v>3984</v>
      </c>
      <c r="G381" s="1">
        <v>2025</v>
      </c>
      <c r="H381" s="1" t="s">
        <v>3985</v>
      </c>
      <c r="I381" s="1" t="str">
        <f>HYPERLINK("http://dx.doi.org/10.3390/horticulturae11070798","http://dx.doi.org/10.3390/horticulturae11070798")</f>
        <v>http://dx.doi.org/10.3390/horticulturae11070798</v>
      </c>
    </row>
    <row r="382" spans="1:9" ht="345" x14ac:dyDescent="0.15">
      <c r="A382" s="1" t="s">
        <v>9</v>
      </c>
      <c r="B382" s="5" t="s">
        <v>1496</v>
      </c>
      <c r="C382" s="1" t="s">
        <v>1497</v>
      </c>
      <c r="D382" s="1" t="s">
        <v>1498</v>
      </c>
      <c r="E382" s="1" t="s">
        <v>1499</v>
      </c>
      <c r="F382" s="1" t="s">
        <v>62</v>
      </c>
      <c r="G382" s="1">
        <v>2019</v>
      </c>
      <c r="H382" s="1" t="s">
        <v>1500</v>
      </c>
      <c r="I382" s="1" t="str">
        <f>HYPERLINK("http://dx.doi.org/10.1127/njgpa/2019/0812","http://dx.doi.org/10.1127/njgpa/2019/0812")</f>
        <v>http://dx.doi.org/10.1127/njgpa/2019/0812</v>
      </c>
    </row>
    <row r="383" spans="1:9" ht="319" x14ac:dyDescent="0.15">
      <c r="A383" s="1" t="s">
        <v>9</v>
      </c>
      <c r="B383" s="5" t="s">
        <v>3074</v>
      </c>
      <c r="C383" s="1" t="s">
        <v>3075</v>
      </c>
      <c r="D383" s="1" t="s">
        <v>1013</v>
      </c>
      <c r="E383" s="1" t="s">
        <v>3076</v>
      </c>
      <c r="F383" s="1" t="s">
        <v>3077</v>
      </c>
      <c r="G383" s="1">
        <v>2015</v>
      </c>
      <c r="H383" s="1" t="s">
        <v>3078</v>
      </c>
      <c r="I383" s="1" t="str">
        <f>HYPERLINK("http://dx.doi.org/10.1016/j.jprot.2015.04.004","http://dx.doi.org/10.1016/j.jprot.2015.04.004")</f>
        <v>http://dx.doi.org/10.1016/j.jprot.2015.04.004</v>
      </c>
    </row>
    <row r="384" spans="1:9" ht="252" x14ac:dyDescent="0.15">
      <c r="A384" s="1" t="s">
        <v>9</v>
      </c>
      <c r="B384" s="5" t="s">
        <v>1501</v>
      </c>
      <c r="C384" s="1" t="s">
        <v>1502</v>
      </c>
      <c r="D384" s="1" t="s">
        <v>350</v>
      </c>
      <c r="E384" s="1" t="s">
        <v>1503</v>
      </c>
      <c r="F384" s="1" t="s">
        <v>221</v>
      </c>
      <c r="G384" s="1">
        <v>2021</v>
      </c>
      <c r="H384" s="1" t="s">
        <v>1504</v>
      </c>
      <c r="I384" s="1" t="str">
        <f>HYPERLINK("http://dx.doi.org/10.3390/genes12010100","http://dx.doi.org/10.3390/genes12010100")</f>
        <v>http://dx.doi.org/10.3390/genes12010100</v>
      </c>
    </row>
    <row r="385" spans="1:9" ht="280" x14ac:dyDescent="0.15">
      <c r="A385" s="1" t="s">
        <v>9</v>
      </c>
      <c r="B385" s="5" t="s">
        <v>2065</v>
      </c>
      <c r="C385" s="1" t="s">
        <v>2066</v>
      </c>
      <c r="D385" s="1" t="s">
        <v>31</v>
      </c>
      <c r="E385" s="1" t="s">
        <v>2067</v>
      </c>
      <c r="F385" s="1" t="s">
        <v>96</v>
      </c>
      <c r="G385" s="1">
        <v>2020</v>
      </c>
      <c r="H385" s="1" t="s">
        <v>2068</v>
      </c>
      <c r="I385" s="1" t="str">
        <f>HYPERLINK("http://dx.doi.org/10.1007/s10126-020-09993-0","http://dx.doi.org/10.1007/s10126-020-09993-0")</f>
        <v>http://dx.doi.org/10.1007/s10126-020-09993-0</v>
      </c>
    </row>
    <row r="386" spans="1:9" ht="224" x14ac:dyDescent="0.15">
      <c r="A386" s="1" t="s">
        <v>9</v>
      </c>
      <c r="B386" s="5" t="s">
        <v>3634</v>
      </c>
      <c r="C386" s="1" t="s">
        <v>3635</v>
      </c>
      <c r="D386" s="1" t="s">
        <v>3636</v>
      </c>
      <c r="E386" s="1" t="s">
        <v>3637</v>
      </c>
      <c r="F386" s="1" t="s">
        <v>122</v>
      </c>
      <c r="G386" s="1">
        <v>2011</v>
      </c>
      <c r="H386" s="1" t="s">
        <v>3638</v>
      </c>
      <c r="I386" s="1" t="str">
        <f>HYPERLINK("http://dx.doi.org/10.1111/j.1472-765X.2011.03072.x","http://dx.doi.org/10.1111/j.1472-765X.2011.03072.x")</f>
        <v>http://dx.doi.org/10.1111/j.1472-765X.2011.03072.x</v>
      </c>
    </row>
    <row r="387" spans="1:9" ht="293" x14ac:dyDescent="0.15">
      <c r="A387" s="1" t="s">
        <v>9</v>
      </c>
      <c r="B387" s="5" t="s">
        <v>2955</v>
      </c>
      <c r="C387" s="1" t="s">
        <v>2956</v>
      </c>
      <c r="D387" s="1" t="s">
        <v>2170</v>
      </c>
      <c r="E387" s="1" t="s">
        <v>2957</v>
      </c>
      <c r="F387" s="1" t="s">
        <v>1593</v>
      </c>
      <c r="G387" s="1">
        <v>2023</v>
      </c>
      <c r="H387" s="1" t="s">
        <v>2958</v>
      </c>
      <c r="I387" s="1" t="str">
        <f>HYPERLINK("http://dx.doi.org/10.3389/fphar.2023.1119607","http://dx.doi.org/10.3389/fphar.2023.1119607")</f>
        <v>http://dx.doi.org/10.3389/fphar.2023.1119607</v>
      </c>
    </row>
    <row r="388" spans="1:9" ht="319" x14ac:dyDescent="0.15">
      <c r="A388" s="1" t="s">
        <v>9</v>
      </c>
      <c r="B388" s="5" t="s">
        <v>2711</v>
      </c>
      <c r="C388" s="1" t="s">
        <v>2712</v>
      </c>
      <c r="D388" s="1" t="s">
        <v>2713</v>
      </c>
      <c r="E388" s="1" t="s">
        <v>2714</v>
      </c>
      <c r="F388" s="1" t="s">
        <v>11</v>
      </c>
      <c r="G388" s="1">
        <v>2018</v>
      </c>
      <c r="H388" s="1" t="s">
        <v>2715</v>
      </c>
      <c r="I388" s="1" t="str">
        <f>HYPERLINK("http://dx.doi.org/10.18388/abp.2018_2638","http://dx.doi.org/10.18388/abp.2018_2638")</f>
        <v>http://dx.doi.org/10.18388/abp.2018_2638</v>
      </c>
    </row>
    <row r="389" spans="1:9" ht="224" x14ac:dyDescent="0.15">
      <c r="A389" s="1" t="s">
        <v>9</v>
      </c>
      <c r="B389" s="5" t="s">
        <v>1581</v>
      </c>
      <c r="C389" s="1" t="s">
        <v>1582</v>
      </c>
      <c r="D389" s="1" t="s">
        <v>1583</v>
      </c>
      <c r="E389" s="1" t="s">
        <v>1584</v>
      </c>
      <c r="F389" s="1" t="s">
        <v>56</v>
      </c>
      <c r="G389" s="1">
        <v>2003</v>
      </c>
      <c r="H389" s="1" t="s">
        <v>1585</v>
      </c>
      <c r="I389" s="1" t="str">
        <f>HYPERLINK("http://dx.doi.org/10.1046/j.1432-1033.2003.03761.x","http://dx.doi.org/10.1046/j.1432-1033.2003.03761.x")</f>
        <v>http://dx.doi.org/10.1046/j.1432-1033.2003.03761.x</v>
      </c>
    </row>
    <row r="390" spans="1:9" ht="168" x14ac:dyDescent="0.15">
      <c r="A390" s="1" t="s">
        <v>9</v>
      </c>
      <c r="B390" s="5" t="s">
        <v>3291</v>
      </c>
      <c r="C390" s="1" t="s">
        <v>3292</v>
      </c>
      <c r="D390" s="1" t="s">
        <v>3293</v>
      </c>
      <c r="E390" s="1" t="s">
        <v>3294</v>
      </c>
      <c r="F390" s="1" t="s">
        <v>3295</v>
      </c>
      <c r="G390" s="1">
        <v>2016</v>
      </c>
      <c r="H390" s="1" t="s">
        <v>3296</v>
      </c>
      <c r="I390" s="1" t="str">
        <f>HYPERLINK("http://dx.doi.org/10.1016/j.molbiopara.2016.07.008","http://dx.doi.org/10.1016/j.molbiopara.2016.07.008")</f>
        <v>http://dx.doi.org/10.1016/j.molbiopara.2016.07.008</v>
      </c>
    </row>
    <row r="391" spans="1:9" ht="293" x14ac:dyDescent="0.15">
      <c r="A391" s="1" t="s">
        <v>9</v>
      </c>
      <c r="B391" s="5" t="s">
        <v>2397</v>
      </c>
      <c r="C391" s="1" t="s">
        <v>2398</v>
      </c>
      <c r="D391" s="1" t="s">
        <v>1458</v>
      </c>
      <c r="E391" s="1" t="s">
        <v>2399</v>
      </c>
      <c r="F391" s="1" t="s">
        <v>2400</v>
      </c>
      <c r="G391" s="1">
        <v>2012</v>
      </c>
      <c r="H391" s="1" t="s">
        <v>2401</v>
      </c>
      <c r="I391" s="1" t="str">
        <f>HYPERLINK("http://dx.doi.org/10.1073/pnas.1202768109","http://dx.doi.org/10.1073/pnas.1202768109")</f>
        <v>http://dx.doi.org/10.1073/pnas.1202768109</v>
      </c>
    </row>
    <row r="392" spans="1:9" ht="358" x14ac:dyDescent="0.15">
      <c r="A392" s="1" t="s">
        <v>9</v>
      </c>
      <c r="B392" s="5" t="s">
        <v>3879</v>
      </c>
      <c r="C392" s="1" t="s">
        <v>3880</v>
      </c>
      <c r="D392" s="1" t="s">
        <v>2103</v>
      </c>
      <c r="E392" s="1" t="s">
        <v>3881</v>
      </c>
      <c r="F392" s="1" t="s">
        <v>1277</v>
      </c>
      <c r="G392" s="1">
        <v>2019</v>
      </c>
      <c r="H392" s="1" t="s">
        <v>3882</v>
      </c>
      <c r="I392" s="1" t="str">
        <f>HYPERLINK("http://dx.doi.org/10.1016/j.bbrc.2019.02.151","http://dx.doi.org/10.1016/j.bbrc.2019.02.151")</f>
        <v>http://dx.doi.org/10.1016/j.bbrc.2019.02.151</v>
      </c>
    </row>
    <row r="393" spans="1:9" ht="280" x14ac:dyDescent="0.15">
      <c r="A393" s="1" t="s">
        <v>9</v>
      </c>
      <c r="B393" s="5" t="s">
        <v>3374</v>
      </c>
      <c r="C393" s="1" t="s">
        <v>3375</v>
      </c>
      <c r="D393" s="1" t="s">
        <v>2914</v>
      </c>
      <c r="E393" s="1" t="s">
        <v>3376</v>
      </c>
      <c r="F393" s="1" t="s">
        <v>21</v>
      </c>
      <c r="G393" s="1">
        <v>2015</v>
      </c>
      <c r="H393" s="1" t="s">
        <v>3377</v>
      </c>
      <c r="I393" s="1" t="str">
        <f>HYPERLINK("http://dx.doi.org/10.1007/s00441-015-2221-9","http://dx.doi.org/10.1007/s00441-015-2221-9")</f>
        <v>http://dx.doi.org/10.1007/s00441-015-2221-9</v>
      </c>
    </row>
    <row r="394" spans="1:9" ht="196" x14ac:dyDescent="0.15">
      <c r="A394" s="1" t="s">
        <v>9</v>
      </c>
      <c r="B394" s="5" t="s">
        <v>2832</v>
      </c>
      <c r="C394" s="1" t="s">
        <v>2833</v>
      </c>
      <c r="D394" s="1" t="s">
        <v>2834</v>
      </c>
      <c r="E394" s="1" t="s">
        <v>2835</v>
      </c>
      <c r="F394" s="1" t="s">
        <v>11</v>
      </c>
      <c r="G394" s="1">
        <v>2010</v>
      </c>
      <c r="H394" s="1" t="s">
        <v>2836</v>
      </c>
      <c r="I394" s="1" t="str">
        <f>HYPERLINK("http://dx.doi.org/10.3109/02652040903052028","http://dx.doi.org/10.3109/02652040903052028")</f>
        <v>http://dx.doi.org/10.3109/02652040903052028</v>
      </c>
    </row>
    <row r="395" spans="1:9" ht="84" x14ac:dyDescent="0.15">
      <c r="A395" s="1" t="s">
        <v>9</v>
      </c>
      <c r="B395" s="5" t="s">
        <v>2207</v>
      </c>
      <c r="C395" s="1" t="s">
        <v>2208</v>
      </c>
      <c r="D395" s="1" t="s">
        <v>2209</v>
      </c>
      <c r="E395" s="1" t="s">
        <v>2210</v>
      </c>
      <c r="F395" s="1" t="s">
        <v>2211</v>
      </c>
      <c r="G395" s="1">
        <v>2004</v>
      </c>
      <c r="H395" s="1" t="s">
        <v>2212</v>
      </c>
      <c r="I395" s="1" t="str">
        <f>HYPERLINK("http://dx.doi.org/10.1016/j.bmcl.2004.02.062","http://dx.doi.org/10.1016/j.bmcl.2004.02.062")</f>
        <v>http://dx.doi.org/10.1016/j.bmcl.2004.02.062</v>
      </c>
    </row>
    <row r="396" spans="1:9" ht="345" x14ac:dyDescent="0.15">
      <c r="A396" s="1" t="s">
        <v>9</v>
      </c>
      <c r="B396" s="5" t="s">
        <v>866</v>
      </c>
      <c r="C396" s="1" t="s">
        <v>867</v>
      </c>
      <c r="D396" s="1" t="s">
        <v>186</v>
      </c>
      <c r="E396" s="1" t="s">
        <v>868</v>
      </c>
      <c r="F396" s="1" t="s">
        <v>401</v>
      </c>
      <c r="G396" s="1">
        <v>2021</v>
      </c>
      <c r="H396" s="1" t="s">
        <v>869</v>
      </c>
      <c r="I396" s="1" t="str">
        <f>HYPERLINK("http://dx.doi.org/10.1016/j.envpol.2021.116641","http://dx.doi.org/10.1016/j.envpol.2021.116641")</f>
        <v>http://dx.doi.org/10.1016/j.envpol.2021.116641</v>
      </c>
    </row>
    <row r="397" spans="1:9" ht="280" x14ac:dyDescent="0.15">
      <c r="A397" s="1" t="s">
        <v>9</v>
      </c>
      <c r="B397" s="5" t="s">
        <v>2338</v>
      </c>
      <c r="C397" s="1" t="s">
        <v>2339</v>
      </c>
      <c r="D397" s="1" t="s">
        <v>2340</v>
      </c>
      <c r="E397" s="1" t="s">
        <v>2341</v>
      </c>
      <c r="F397" s="1" t="s">
        <v>11</v>
      </c>
      <c r="G397" s="1">
        <v>2002</v>
      </c>
      <c r="H397" s="1" t="s">
        <v>2342</v>
      </c>
      <c r="I397" s="1" t="str">
        <f>HYPERLINK("http://dx.doi.org/10.1002/jcb.10179","http://dx.doi.org/10.1002/jcb.10179")</f>
        <v>http://dx.doi.org/10.1002/jcb.10179</v>
      </c>
    </row>
    <row r="398" spans="1:9" ht="409.6" x14ac:dyDescent="0.15">
      <c r="A398" s="1" t="s">
        <v>9</v>
      </c>
      <c r="B398" s="5" t="s">
        <v>2756</v>
      </c>
      <c r="C398" s="1" t="s">
        <v>2757</v>
      </c>
      <c r="D398" s="1" t="s">
        <v>2184</v>
      </c>
      <c r="E398" s="1" t="s">
        <v>2758</v>
      </c>
      <c r="F398" s="1" t="s">
        <v>21</v>
      </c>
      <c r="G398" s="1">
        <v>2020</v>
      </c>
      <c r="H398" s="1" t="s">
        <v>2759</v>
      </c>
      <c r="I398" s="1" t="str">
        <f>HYPERLINK("http://dx.doi.org/10.3390/d12120481","http://dx.doi.org/10.3390/d12120481")</f>
        <v>http://dx.doi.org/10.3390/d12120481</v>
      </c>
    </row>
    <row r="399" spans="1:9" ht="332" x14ac:dyDescent="0.15">
      <c r="A399" s="1" t="s">
        <v>9</v>
      </c>
      <c r="B399" s="5" t="s">
        <v>3497</v>
      </c>
      <c r="C399" s="1" t="s">
        <v>3498</v>
      </c>
      <c r="D399" s="1" t="s">
        <v>2220</v>
      </c>
      <c r="E399" s="1" t="s">
        <v>3499</v>
      </c>
      <c r="F399" s="1" t="s">
        <v>3500</v>
      </c>
      <c r="G399" s="1">
        <v>2010</v>
      </c>
      <c r="H399" s="1" t="s">
        <v>3501</v>
      </c>
      <c r="I399" s="1" t="str">
        <f>HYPERLINK("http://dx.doi.org/10.1038/nature09301","http://dx.doi.org/10.1038/nature09301")</f>
        <v>http://dx.doi.org/10.1038/nature09301</v>
      </c>
    </row>
    <row r="400" spans="1:9" ht="252" x14ac:dyDescent="0.15">
      <c r="A400" s="1" t="s">
        <v>9</v>
      </c>
      <c r="B400" s="5" t="s">
        <v>3249</v>
      </c>
      <c r="C400" s="1" t="s">
        <v>3250</v>
      </c>
      <c r="D400" s="1" t="s">
        <v>3251</v>
      </c>
      <c r="E400" s="1" t="s">
        <v>3252</v>
      </c>
      <c r="F400" s="1" t="s">
        <v>112</v>
      </c>
      <c r="G400" s="1">
        <v>2022</v>
      </c>
      <c r="H400" s="1" t="s">
        <v>3253</v>
      </c>
      <c r="I400" s="1" t="str">
        <f>HYPERLINK("http://dx.doi.org/10.3390/molecules27051721","http://dx.doi.org/10.3390/molecules27051721")</f>
        <v>http://dx.doi.org/10.3390/molecules27051721</v>
      </c>
    </row>
    <row r="401" spans="1:9" ht="266" x14ac:dyDescent="0.15">
      <c r="A401" s="1" t="s">
        <v>9</v>
      </c>
      <c r="B401" s="5" t="s">
        <v>2101</v>
      </c>
      <c r="C401" s="1" t="s">
        <v>2102</v>
      </c>
      <c r="D401" s="1" t="s">
        <v>2103</v>
      </c>
      <c r="E401" s="1" t="s">
        <v>2104</v>
      </c>
      <c r="F401" s="1" t="s">
        <v>2105</v>
      </c>
      <c r="G401" s="1">
        <v>2024</v>
      </c>
      <c r="H401" s="1" t="s">
        <v>2106</v>
      </c>
      <c r="I401" s="1" t="str">
        <f>HYPERLINK("http://dx.doi.org/10.1016/j.bbrc.2024.150289","http://dx.doi.org/10.1016/j.bbrc.2024.150289")</f>
        <v>http://dx.doi.org/10.1016/j.bbrc.2024.150289</v>
      </c>
    </row>
    <row r="402" spans="1:9" ht="345" x14ac:dyDescent="0.15">
      <c r="A402" s="1" t="s">
        <v>9</v>
      </c>
      <c r="B402" s="5" t="s">
        <v>1794</v>
      </c>
      <c r="C402" s="1" t="s">
        <v>1795</v>
      </c>
      <c r="D402" s="1" t="s">
        <v>1511</v>
      </c>
      <c r="E402" s="1" t="s">
        <v>1796</v>
      </c>
      <c r="F402" s="1" t="s">
        <v>96</v>
      </c>
      <c r="G402" s="1">
        <v>2019</v>
      </c>
      <c r="H402" s="1" t="s">
        <v>1797</v>
      </c>
      <c r="I402" s="1" t="str">
        <f>HYPERLINK("http://dx.doi.org/10.1016/j.ympev.2019.106557","http://dx.doi.org/10.1016/j.ympev.2019.106557")</f>
        <v>http://dx.doi.org/10.1016/j.ympev.2019.106557</v>
      </c>
    </row>
    <row r="403" spans="1:9" ht="266" x14ac:dyDescent="0.15">
      <c r="A403" s="1" t="s">
        <v>9</v>
      </c>
      <c r="B403" s="5" t="s">
        <v>2917</v>
      </c>
      <c r="C403" s="1" t="s">
        <v>2918</v>
      </c>
      <c r="D403" s="1" t="s">
        <v>1511</v>
      </c>
      <c r="E403" s="1" t="s">
        <v>2919</v>
      </c>
      <c r="F403" s="1" t="s">
        <v>112</v>
      </c>
      <c r="G403" s="1">
        <v>2008</v>
      </c>
      <c r="H403" s="1" t="s">
        <v>2920</v>
      </c>
      <c r="I403" s="1" t="str">
        <f>HYPERLINK("http://dx.doi.org/10.1016/j.ympev.2007.12.020","http://dx.doi.org/10.1016/j.ympev.2007.12.020")</f>
        <v>http://dx.doi.org/10.1016/j.ympev.2007.12.020</v>
      </c>
    </row>
    <row r="404" spans="1:9" ht="409.6" x14ac:dyDescent="0.15">
      <c r="A404" s="1" t="s">
        <v>9</v>
      </c>
      <c r="B404" s="5" t="s">
        <v>3723</v>
      </c>
      <c r="C404" s="1" t="s">
        <v>3724</v>
      </c>
      <c r="D404" s="1" t="s">
        <v>951</v>
      </c>
      <c r="E404" s="1" t="s">
        <v>3725</v>
      </c>
      <c r="F404" s="1" t="s">
        <v>138</v>
      </c>
      <c r="G404" s="1">
        <v>2022</v>
      </c>
      <c r="H404" s="1" t="s">
        <v>3726</v>
      </c>
      <c r="I404" s="1" t="str">
        <f>HYPERLINK("http://dx.doi.org/10.3390/ijms23031672","http://dx.doi.org/10.3390/ijms23031672")</f>
        <v>http://dx.doi.org/10.3390/ijms23031672</v>
      </c>
    </row>
    <row r="405" spans="1:9" ht="293" x14ac:dyDescent="0.15">
      <c r="A405" s="1" t="s">
        <v>9</v>
      </c>
      <c r="B405" s="5" t="s">
        <v>2656</v>
      </c>
      <c r="C405" s="1" t="s">
        <v>2657</v>
      </c>
      <c r="D405" s="1" t="s">
        <v>1786</v>
      </c>
      <c r="E405" s="1" t="s">
        <v>2658</v>
      </c>
      <c r="F405" s="1" t="s">
        <v>2659</v>
      </c>
      <c r="G405" s="1">
        <v>2020</v>
      </c>
      <c r="H405" s="1" t="s">
        <v>2660</v>
      </c>
      <c r="I405" s="1" t="str">
        <f>HYPERLINK("http://dx.doi.org/10.11646/zootaxa.4778.1.4","http://dx.doi.org/10.11646/zootaxa.4778.1.4")</f>
        <v>http://dx.doi.org/10.11646/zootaxa.4778.1.4</v>
      </c>
    </row>
    <row r="406" spans="1:9" ht="224" x14ac:dyDescent="0.15">
      <c r="A406" s="1" t="s">
        <v>9</v>
      </c>
      <c r="B406" s="5" t="s">
        <v>2656</v>
      </c>
      <c r="C406" s="1" t="s">
        <v>3554</v>
      </c>
      <c r="D406" s="1" t="s">
        <v>3555</v>
      </c>
      <c r="E406" s="1" t="s">
        <v>3556</v>
      </c>
      <c r="F406" s="1" t="s">
        <v>3557</v>
      </c>
      <c r="G406" s="1">
        <v>2019</v>
      </c>
      <c r="H406" s="1" t="s">
        <v>3558</v>
      </c>
      <c r="I406" s="1" t="str">
        <f>HYPERLINK("http://dx.doi.org/10.1080/17451000.2019.1693597","http://dx.doi.org/10.1080/17451000.2019.1693597")</f>
        <v>http://dx.doi.org/10.1080/17451000.2019.1693597</v>
      </c>
    </row>
    <row r="407" spans="1:9" ht="238" x14ac:dyDescent="0.15">
      <c r="A407" s="1" t="s">
        <v>9</v>
      </c>
      <c r="B407" s="5" t="s">
        <v>2553</v>
      </c>
      <c r="C407" s="1" t="s">
        <v>2554</v>
      </c>
      <c r="D407" s="1" t="s">
        <v>2555</v>
      </c>
      <c r="E407" s="1" t="s">
        <v>2556</v>
      </c>
      <c r="F407" s="1" t="s">
        <v>11</v>
      </c>
      <c r="G407" s="1">
        <v>2015</v>
      </c>
      <c r="H407" s="1" t="s">
        <v>2557</v>
      </c>
      <c r="I407" s="1" t="str">
        <f>HYPERLINK("http://dx.doi.org/10.2174/1871520615666150101143520","http://dx.doi.org/10.2174/1871520615666150101143520")</f>
        <v>http://dx.doi.org/10.2174/1871520615666150101143520</v>
      </c>
    </row>
    <row r="408" spans="1:9" ht="252" x14ac:dyDescent="0.15">
      <c r="A408" s="1" t="s">
        <v>9</v>
      </c>
      <c r="B408" s="5" t="s">
        <v>696</v>
      </c>
      <c r="C408" s="1" t="s">
        <v>697</v>
      </c>
      <c r="D408" s="1" t="s">
        <v>698</v>
      </c>
      <c r="E408" s="1" t="s">
        <v>699</v>
      </c>
      <c r="F408" s="1" t="s">
        <v>329</v>
      </c>
      <c r="G408" s="1">
        <v>2020</v>
      </c>
      <c r="H408" s="1" t="s">
        <v>700</v>
      </c>
      <c r="I408" s="1" t="str">
        <f>HYPERLINK("http://dx.doi.org/10.3389/fmicb.2020.583361","http://dx.doi.org/10.3389/fmicb.2020.583361")</f>
        <v>http://dx.doi.org/10.3389/fmicb.2020.583361</v>
      </c>
    </row>
    <row r="409" spans="1:9" ht="332" x14ac:dyDescent="0.15">
      <c r="A409" s="1" t="s">
        <v>9</v>
      </c>
      <c r="B409" s="5" t="s">
        <v>3944</v>
      </c>
      <c r="C409" s="1" t="s">
        <v>3945</v>
      </c>
      <c r="D409" s="1" t="s">
        <v>3946</v>
      </c>
      <c r="E409" s="1" t="s">
        <v>3947</v>
      </c>
      <c r="F409" s="1" t="s">
        <v>33</v>
      </c>
      <c r="G409" s="1">
        <v>2018</v>
      </c>
      <c r="H409" s="1" t="s">
        <v>3948</v>
      </c>
      <c r="I409" s="1" t="str">
        <f>HYPERLINK("http://dx.doi.org/10.1111/his.13456","http://dx.doi.org/10.1111/his.13456")</f>
        <v>http://dx.doi.org/10.1111/his.13456</v>
      </c>
    </row>
    <row r="410" spans="1:9" ht="293" x14ac:dyDescent="0.15">
      <c r="A410" s="1" t="s">
        <v>9</v>
      </c>
      <c r="B410" s="5" t="s">
        <v>2930</v>
      </c>
      <c r="C410" s="3" t="s">
        <v>2931</v>
      </c>
      <c r="D410" s="1" t="s">
        <v>2932</v>
      </c>
      <c r="E410" s="1" t="s">
        <v>2933</v>
      </c>
      <c r="F410" s="1" t="s">
        <v>2081</v>
      </c>
      <c r="G410" s="1">
        <v>2018</v>
      </c>
      <c r="H410" s="1" t="s">
        <v>2934</v>
      </c>
      <c r="I410" s="1" t="str">
        <f>HYPERLINK("http://dx.doi.org/10.1039/c8en00924d","http://dx.doi.org/10.1039/c8en00924d")</f>
        <v>http://dx.doi.org/10.1039/c8en00924d</v>
      </c>
    </row>
    <row r="411" spans="1:9" ht="280" x14ac:dyDescent="0.15">
      <c r="A411" s="1" t="s">
        <v>9</v>
      </c>
      <c r="B411" s="5" t="s">
        <v>3102</v>
      </c>
      <c r="C411" s="1" t="s">
        <v>3103</v>
      </c>
      <c r="D411" s="1" t="s">
        <v>3104</v>
      </c>
      <c r="E411" s="1" t="s">
        <v>3105</v>
      </c>
      <c r="F411" s="1" t="s">
        <v>3106</v>
      </c>
      <c r="G411" s="1">
        <v>2023</v>
      </c>
      <c r="H411" s="1" t="s">
        <v>3107</v>
      </c>
      <c r="I411" s="1" t="str">
        <f>HYPERLINK("http://dx.doi.org/10.1093/biolinnean/blad019","http://dx.doi.org/10.1093/biolinnean/blad019")</f>
        <v>http://dx.doi.org/10.1093/biolinnean/blad019</v>
      </c>
    </row>
    <row r="412" spans="1:9" ht="293" x14ac:dyDescent="0.15">
      <c r="A412" s="1" t="s">
        <v>9</v>
      </c>
      <c r="B412" s="5" t="s">
        <v>3445</v>
      </c>
      <c r="C412" s="1" t="s">
        <v>3446</v>
      </c>
      <c r="D412" s="1" t="s">
        <v>662</v>
      </c>
      <c r="E412" s="1" t="s">
        <v>3447</v>
      </c>
      <c r="F412" s="1" t="s">
        <v>33</v>
      </c>
      <c r="G412" s="1">
        <v>2019</v>
      </c>
      <c r="H412" s="1" t="s">
        <v>3448</v>
      </c>
      <c r="I412" s="1" t="str">
        <f>HYPERLINK("http://dx.doi.org/10.3390/md17060368","http://dx.doi.org/10.3390/md17060368")</f>
        <v>http://dx.doi.org/10.3390/md17060368</v>
      </c>
    </row>
    <row r="413" spans="1:9" ht="306" x14ac:dyDescent="0.15">
      <c r="A413" s="1" t="s">
        <v>9</v>
      </c>
      <c r="B413" s="5" t="s">
        <v>833</v>
      </c>
      <c r="C413" s="1" t="s">
        <v>834</v>
      </c>
      <c r="D413" s="1" t="s">
        <v>405</v>
      </c>
      <c r="E413" s="1" t="s">
        <v>835</v>
      </c>
      <c r="F413" s="1" t="s">
        <v>209</v>
      </c>
      <c r="G413" s="1">
        <v>2025</v>
      </c>
      <c r="H413" s="1" t="s">
        <v>836</v>
      </c>
      <c r="I413" s="1" t="str">
        <f>HYPERLINK("http://dx.doi.org/10.1016/j.marenvres.2025.107540","http://dx.doi.org/10.1016/j.marenvres.2025.107540")</f>
        <v>http://dx.doi.org/10.1016/j.marenvres.2025.107540</v>
      </c>
    </row>
    <row r="414" spans="1:9" ht="280" x14ac:dyDescent="0.15">
      <c r="A414" s="1" t="s">
        <v>9</v>
      </c>
      <c r="B414" s="5" t="s">
        <v>2535</v>
      </c>
      <c r="C414" s="1" t="s">
        <v>2536</v>
      </c>
      <c r="D414" s="1" t="s">
        <v>1583</v>
      </c>
      <c r="E414" s="1" t="s">
        <v>2537</v>
      </c>
      <c r="F414" s="1" t="s">
        <v>21</v>
      </c>
      <c r="G414" s="1">
        <v>2004</v>
      </c>
      <c r="H414" s="1" t="s">
        <v>2538</v>
      </c>
      <c r="I414" s="1" t="str">
        <f>HYPERLINK("http://dx.doi.org/10.1111/j.1432-1033.2004.04448.x","http://dx.doi.org/10.1111/j.1432-1033.2004.04448.x")</f>
        <v>http://dx.doi.org/10.1111/j.1432-1033.2004.04448.x</v>
      </c>
    </row>
    <row r="415" spans="1:9" ht="196" x14ac:dyDescent="0.15">
      <c r="A415" s="1" t="s">
        <v>9</v>
      </c>
      <c r="B415" s="5" t="s">
        <v>3040</v>
      </c>
      <c r="C415" s="1" t="s">
        <v>3041</v>
      </c>
      <c r="D415" s="1" t="s">
        <v>54</v>
      </c>
      <c r="E415" s="1" t="s">
        <v>3042</v>
      </c>
      <c r="F415" s="1" t="s">
        <v>68</v>
      </c>
      <c r="G415" s="1">
        <v>2024</v>
      </c>
      <c r="H415" s="1" t="s">
        <v>3043</v>
      </c>
      <c r="I415" s="1" t="str">
        <f>HYPERLINK("http://dx.doi.org/10.1111/mec.17425","http://dx.doi.org/10.1111/mec.17425")</f>
        <v>http://dx.doi.org/10.1111/mec.17425</v>
      </c>
    </row>
    <row r="416" spans="1:9" ht="70" x14ac:dyDescent="0.15">
      <c r="A416" s="1" t="s">
        <v>608</v>
      </c>
      <c r="B416" s="5" t="s">
        <v>1177</v>
      </c>
      <c r="C416" s="1" t="s">
        <v>1178</v>
      </c>
      <c r="D416" s="1" t="s">
        <v>1179</v>
      </c>
      <c r="E416" s="1" t="s">
        <v>11</v>
      </c>
      <c r="F416" s="1" t="s">
        <v>11</v>
      </c>
      <c r="G416" s="1">
        <v>2018</v>
      </c>
      <c r="H416" s="1" t="s">
        <v>1180</v>
      </c>
      <c r="I416" s="1" t="str">
        <f>HYPERLINK("http://dx.doi.org/10.1093/oso/9780198786962.003.0014","http://dx.doi.org/10.1093/oso/9780198786962.003.0014")</f>
        <v>http://dx.doi.org/10.1093/oso/9780198786962.003.0014</v>
      </c>
    </row>
    <row r="417" spans="1:9" ht="224" x14ac:dyDescent="0.15">
      <c r="A417" s="1" t="s">
        <v>9</v>
      </c>
      <c r="B417" s="5" t="s">
        <v>1746</v>
      </c>
      <c r="C417" s="1" t="s">
        <v>1747</v>
      </c>
      <c r="D417" s="1" t="s">
        <v>1748</v>
      </c>
      <c r="E417" s="1" t="s">
        <v>1749</v>
      </c>
      <c r="F417" s="1" t="s">
        <v>122</v>
      </c>
      <c r="G417" s="1">
        <v>2020</v>
      </c>
      <c r="H417" s="1" t="s">
        <v>1750</v>
      </c>
      <c r="I417" s="1" t="str">
        <f>HYPERLINK("http://dx.doi.org/10.3788/gzxb20204908.0817002","http://dx.doi.org/10.3788/gzxb20204908.0817002")</f>
        <v>http://dx.doi.org/10.3788/gzxb20204908.0817002</v>
      </c>
    </row>
    <row r="418" spans="1:9" ht="409.6" x14ac:dyDescent="0.15">
      <c r="A418" s="1" t="s">
        <v>9</v>
      </c>
      <c r="B418" s="5" t="s">
        <v>1254</v>
      </c>
      <c r="C418" s="1" t="s">
        <v>1255</v>
      </c>
      <c r="D418" s="1" t="s">
        <v>1256</v>
      </c>
      <c r="E418" s="1" t="s">
        <v>1257</v>
      </c>
      <c r="F418" s="1" t="s">
        <v>96</v>
      </c>
      <c r="G418" s="1">
        <v>2024</v>
      </c>
      <c r="H418" s="1" t="s">
        <v>1258</v>
      </c>
      <c r="I418" s="1" t="str">
        <f>HYPERLINK("http://dx.doi.org/10.1016/j.jare.2023.11.024","http://dx.doi.org/10.1016/j.jare.2023.11.024")</f>
        <v>http://dx.doi.org/10.1016/j.jare.2023.11.024</v>
      </c>
    </row>
    <row r="419" spans="1:9" ht="252" x14ac:dyDescent="0.15">
      <c r="A419" s="1" t="s">
        <v>9</v>
      </c>
      <c r="B419" s="5" t="s">
        <v>1137</v>
      </c>
      <c r="C419" s="1" t="s">
        <v>1138</v>
      </c>
      <c r="D419" s="1" t="s">
        <v>1139</v>
      </c>
      <c r="E419" s="1" t="s">
        <v>1140</v>
      </c>
      <c r="F419" s="1" t="s">
        <v>62</v>
      </c>
      <c r="G419" s="1">
        <v>2009</v>
      </c>
      <c r="H419" s="1" t="s">
        <v>1141</v>
      </c>
      <c r="I419" s="1" t="str">
        <f>HYPERLINK("http://dx.doi.org/10.1093/nar/gkp115","http://dx.doi.org/10.1093/nar/gkp115")</f>
        <v>http://dx.doi.org/10.1093/nar/gkp115</v>
      </c>
    </row>
    <row r="420" spans="1:9" ht="210" x14ac:dyDescent="0.15">
      <c r="A420" s="1" t="s">
        <v>9</v>
      </c>
      <c r="B420" s="5" t="s">
        <v>23</v>
      </c>
      <c r="C420" s="1" t="s">
        <v>24</v>
      </c>
      <c r="D420" s="1" t="s">
        <v>25</v>
      </c>
      <c r="E420" s="1" t="s">
        <v>26</v>
      </c>
      <c r="F420" s="1" t="s">
        <v>27</v>
      </c>
      <c r="G420" s="1">
        <v>2023</v>
      </c>
      <c r="H420" s="1" t="s">
        <v>28</v>
      </c>
      <c r="I420" s="1" t="str">
        <f>HYPERLINK("http://dx.doi.org/10.1093/molbev/msad172","http://dx.doi.org/10.1093/molbev/msad172")</f>
        <v>http://dx.doi.org/10.1093/molbev/msad172</v>
      </c>
    </row>
    <row r="421" spans="1:9" ht="140" x14ac:dyDescent="0.15">
      <c r="A421" s="1" t="s">
        <v>9</v>
      </c>
      <c r="B421" s="5" t="s">
        <v>1885</v>
      </c>
      <c r="C421" s="1" t="s">
        <v>1886</v>
      </c>
      <c r="D421" s="1" t="s">
        <v>894</v>
      </c>
      <c r="E421" s="1" t="s">
        <v>1887</v>
      </c>
      <c r="F421" s="1" t="s">
        <v>138</v>
      </c>
      <c r="G421" s="1">
        <v>2017</v>
      </c>
      <c r="H421" s="1" t="s">
        <v>1888</v>
      </c>
      <c r="I421" s="1" t="str">
        <f>HYPERLINK("http://dx.doi.org/10.1016/j.margen.2016.10.005","http://dx.doi.org/10.1016/j.margen.2016.10.005")</f>
        <v>http://dx.doi.org/10.1016/j.margen.2016.10.005</v>
      </c>
    </row>
    <row r="422" spans="1:9" ht="238" x14ac:dyDescent="0.15">
      <c r="A422" s="1" t="s">
        <v>9</v>
      </c>
      <c r="B422" s="5" t="s">
        <v>3338</v>
      </c>
      <c r="C422" s="1" t="s">
        <v>3339</v>
      </c>
      <c r="D422" s="1" t="s">
        <v>3340</v>
      </c>
      <c r="E422" s="1" t="s">
        <v>3341</v>
      </c>
      <c r="F422" s="1" t="s">
        <v>68</v>
      </c>
      <c r="G422" s="1">
        <v>2022</v>
      </c>
      <c r="H422" s="1" t="s">
        <v>3342</v>
      </c>
      <c r="I422" s="1" t="str">
        <f>HYPERLINK("http://dx.doi.org/10.1038/s41564-022-01157-1","http://dx.doi.org/10.1038/s41564-022-01157-1")</f>
        <v>http://dx.doi.org/10.1038/s41564-022-01157-1</v>
      </c>
    </row>
    <row r="423" spans="1:9" ht="224" x14ac:dyDescent="0.15">
      <c r="A423" s="1" t="s">
        <v>9</v>
      </c>
      <c r="B423" s="5" t="s">
        <v>1969</v>
      </c>
      <c r="C423" s="1" t="s">
        <v>1970</v>
      </c>
      <c r="D423" s="1" t="s">
        <v>1971</v>
      </c>
      <c r="E423" s="1" t="s">
        <v>1972</v>
      </c>
      <c r="F423" s="1" t="s">
        <v>21</v>
      </c>
      <c r="G423" s="1">
        <v>2020</v>
      </c>
      <c r="H423" s="1" t="s">
        <v>1973</v>
      </c>
      <c r="I423" s="1" t="str">
        <f>HYPERLINK("http://dx.doi.org/10.1007/s13199-020-00720-w","http://dx.doi.org/10.1007/s13199-020-00720-w")</f>
        <v>http://dx.doi.org/10.1007/s13199-020-00720-w</v>
      </c>
    </row>
    <row r="424" spans="1:9" ht="345" x14ac:dyDescent="0.15">
      <c r="A424" s="1" t="s">
        <v>9</v>
      </c>
      <c r="B424" s="5" t="s">
        <v>2348</v>
      </c>
      <c r="C424" s="1" t="s">
        <v>2349</v>
      </c>
      <c r="D424" s="1" t="s">
        <v>1511</v>
      </c>
      <c r="E424" s="1" t="s">
        <v>2350</v>
      </c>
      <c r="F424" s="1" t="s">
        <v>221</v>
      </c>
      <c r="G424" s="1">
        <v>2012</v>
      </c>
      <c r="H424" s="1" t="s">
        <v>2351</v>
      </c>
      <c r="I424" s="1" t="str">
        <f>HYPERLINK("http://dx.doi.org/10.1016/j.ympev.2011.08.028","http://dx.doi.org/10.1016/j.ympev.2011.08.028")</f>
        <v>http://dx.doi.org/10.1016/j.ympev.2011.08.028</v>
      </c>
    </row>
    <row r="425" spans="1:9" ht="409.6" x14ac:dyDescent="0.15">
      <c r="A425" s="1" t="s">
        <v>9</v>
      </c>
      <c r="B425" s="5" t="s">
        <v>169</v>
      </c>
      <c r="C425" s="1" t="s">
        <v>170</v>
      </c>
      <c r="D425" s="1" t="s">
        <v>171</v>
      </c>
      <c r="E425" s="1" t="s">
        <v>172</v>
      </c>
      <c r="F425" s="1" t="s">
        <v>27</v>
      </c>
      <c r="G425" s="1">
        <v>2021</v>
      </c>
      <c r="H425" s="1" t="s">
        <v>173</v>
      </c>
      <c r="I425" s="1" t="str">
        <f>HYPERLINK("http://dx.doi.org/10.1186/s12915-021-01074-5","http://dx.doi.org/10.1186/s12915-021-01074-5")</f>
        <v>http://dx.doi.org/10.1186/s12915-021-01074-5</v>
      </c>
    </row>
    <row r="426" spans="1:9" ht="306" x14ac:dyDescent="0.15">
      <c r="A426" s="1" t="s">
        <v>9</v>
      </c>
      <c r="B426" s="5" t="s">
        <v>680</v>
      </c>
      <c r="C426" s="1" t="s">
        <v>681</v>
      </c>
      <c r="D426" s="1" t="s">
        <v>682</v>
      </c>
      <c r="E426" s="1" t="s">
        <v>683</v>
      </c>
      <c r="F426" s="1" t="s">
        <v>138</v>
      </c>
      <c r="G426" s="1">
        <v>2019</v>
      </c>
      <c r="H426" s="1" t="s">
        <v>684</v>
      </c>
      <c r="I426" s="1" t="str">
        <f>HYPERLINK("http://dx.doi.org/10.1038/s41396-018-0292-9","http://dx.doi.org/10.1038/s41396-018-0292-9")</f>
        <v>http://dx.doi.org/10.1038/s41396-018-0292-9</v>
      </c>
    </row>
    <row r="427" spans="1:9" ht="280" x14ac:dyDescent="0.15">
      <c r="A427" s="1" t="s">
        <v>9</v>
      </c>
      <c r="B427" s="5" t="s">
        <v>2823</v>
      </c>
      <c r="C427" s="1" t="s">
        <v>2824</v>
      </c>
      <c r="D427" s="1" t="s">
        <v>716</v>
      </c>
      <c r="E427" s="1" t="s">
        <v>2825</v>
      </c>
      <c r="F427" s="1" t="s">
        <v>11</v>
      </c>
      <c r="G427" s="1">
        <v>2010</v>
      </c>
      <c r="H427" s="1" t="s">
        <v>2826</v>
      </c>
      <c r="I427" s="1" t="str">
        <f>HYPERLINK("http://dx.doi.org/10.1016/j.jcz.2010.03.002","http://dx.doi.org/10.1016/j.jcz.2010.03.002")</f>
        <v>http://dx.doi.org/10.1016/j.jcz.2010.03.002</v>
      </c>
    </row>
    <row r="428" spans="1:9" ht="280" x14ac:dyDescent="0.15">
      <c r="A428" s="1" t="s">
        <v>9</v>
      </c>
      <c r="B428" s="5" t="s">
        <v>3574</v>
      </c>
      <c r="C428" s="1" t="s">
        <v>3575</v>
      </c>
      <c r="D428" s="1" t="s">
        <v>321</v>
      </c>
      <c r="E428" s="1" t="s">
        <v>3576</v>
      </c>
      <c r="F428" s="1" t="s">
        <v>2659</v>
      </c>
      <c r="G428" s="1">
        <v>2014</v>
      </c>
      <c r="H428" s="1" t="s">
        <v>3577</v>
      </c>
      <c r="I428" s="1" t="str">
        <f>HYPERLINK("http://dx.doi.org/10.1371/journal.pone.0096498","http://dx.doi.org/10.1371/journal.pone.0096498")</f>
        <v>http://dx.doi.org/10.1371/journal.pone.0096498</v>
      </c>
    </row>
    <row r="429" spans="1:9" ht="371" x14ac:dyDescent="0.15">
      <c r="A429" s="1" t="s">
        <v>9</v>
      </c>
      <c r="B429" s="5" t="s">
        <v>3147</v>
      </c>
      <c r="C429" s="1" t="s">
        <v>3148</v>
      </c>
      <c r="D429" s="1" t="s">
        <v>3149</v>
      </c>
      <c r="E429" s="1" t="s">
        <v>3150</v>
      </c>
      <c r="F429" s="1" t="s">
        <v>221</v>
      </c>
      <c r="G429" s="1">
        <v>2021</v>
      </c>
      <c r="H429" s="1" t="s">
        <v>3151</v>
      </c>
      <c r="I429" s="1" t="str">
        <f>HYPERLINK("http://dx.doi.org/10.1111/jeb.13746","http://dx.doi.org/10.1111/jeb.13746")</f>
        <v>http://dx.doi.org/10.1111/jeb.13746</v>
      </c>
    </row>
    <row r="430" spans="1:9" ht="409.6" x14ac:dyDescent="0.15">
      <c r="A430" s="1" t="s">
        <v>9</v>
      </c>
      <c r="B430" s="5" t="s">
        <v>3164</v>
      </c>
      <c r="C430" s="1" t="s">
        <v>3165</v>
      </c>
      <c r="D430" s="1" t="s">
        <v>48</v>
      </c>
      <c r="E430" s="1" t="s">
        <v>3166</v>
      </c>
      <c r="F430" s="1" t="s">
        <v>240</v>
      </c>
      <c r="G430" s="1">
        <v>2015</v>
      </c>
      <c r="H430" s="1" t="s">
        <v>3167</v>
      </c>
      <c r="I430" s="1" t="str">
        <f>HYPERLINK("http://dx.doi.org/10.1186/s12864-015-1907-4","http://dx.doi.org/10.1186/s12864-015-1907-4")</f>
        <v>http://dx.doi.org/10.1186/s12864-015-1907-4</v>
      </c>
    </row>
    <row r="431" spans="1:9" ht="252" x14ac:dyDescent="0.15">
      <c r="A431" s="1" t="s">
        <v>9</v>
      </c>
      <c r="B431" s="5" t="s">
        <v>2142</v>
      </c>
      <c r="C431" s="1" t="s">
        <v>2143</v>
      </c>
      <c r="D431" s="1" t="s">
        <v>1173</v>
      </c>
      <c r="E431" s="1" t="s">
        <v>2144</v>
      </c>
      <c r="F431" s="1" t="s">
        <v>2145</v>
      </c>
      <c r="G431" s="1">
        <v>2021</v>
      </c>
      <c r="H431" s="1" t="s">
        <v>2146</v>
      </c>
      <c r="I431" s="1" t="str">
        <f>HYPERLINK("http://dx.doi.org/10.1098/rspb.2020.3169","http://dx.doi.org/10.1098/rspb.2020.3169")</f>
        <v>http://dx.doi.org/10.1098/rspb.2020.3169</v>
      </c>
    </row>
    <row r="432" spans="1:9" ht="306" x14ac:dyDescent="0.15">
      <c r="A432" s="1" t="s">
        <v>9</v>
      </c>
      <c r="B432" s="5" t="s">
        <v>799</v>
      </c>
      <c r="C432" s="1" t="s">
        <v>800</v>
      </c>
      <c r="D432" s="1" t="s">
        <v>801</v>
      </c>
      <c r="E432" s="1" t="s">
        <v>802</v>
      </c>
      <c r="F432" s="1" t="s">
        <v>56</v>
      </c>
      <c r="G432" s="1">
        <v>2021</v>
      </c>
      <c r="H432" s="1" t="s">
        <v>803</v>
      </c>
      <c r="I432" s="1" t="str">
        <f>HYPERLINK("http://dx.doi.org/10.1094/MPMI-12-20-0351-TA","http://dx.doi.org/10.1094/MPMI-12-20-0351-TA")</f>
        <v>http://dx.doi.org/10.1094/MPMI-12-20-0351-TA</v>
      </c>
    </row>
    <row r="433" spans="1:9" ht="319" x14ac:dyDescent="0.15">
      <c r="A433" s="1" t="s">
        <v>9</v>
      </c>
      <c r="B433" s="5" t="s">
        <v>2512</v>
      </c>
      <c r="C433" s="1" t="s">
        <v>2513</v>
      </c>
      <c r="D433" s="1" t="s">
        <v>692</v>
      </c>
      <c r="E433" s="1" t="s">
        <v>2514</v>
      </c>
      <c r="F433" s="1" t="s">
        <v>2515</v>
      </c>
      <c r="G433" s="1">
        <v>2022</v>
      </c>
      <c r="H433" s="1" t="s">
        <v>2516</v>
      </c>
      <c r="I433" s="1" t="str">
        <f>HYPERLINK("http://dx.doi.org/10.1016/j.ygcen.2022.114054","http://dx.doi.org/10.1016/j.ygcen.2022.114054")</f>
        <v>http://dx.doi.org/10.1016/j.ygcen.2022.114054</v>
      </c>
    </row>
    <row r="434" spans="1:9" ht="397" x14ac:dyDescent="0.15">
      <c r="A434" s="1" t="s">
        <v>9</v>
      </c>
      <c r="B434" s="5" t="s">
        <v>2912</v>
      </c>
      <c r="C434" s="1" t="s">
        <v>2913</v>
      </c>
      <c r="D434" s="1" t="s">
        <v>2914</v>
      </c>
      <c r="E434" s="1" t="s">
        <v>2915</v>
      </c>
      <c r="F434" s="1" t="s">
        <v>21</v>
      </c>
      <c r="G434" s="1">
        <v>2016</v>
      </c>
      <c r="H434" s="1" t="s">
        <v>2916</v>
      </c>
      <c r="I434" s="1" t="str">
        <f>HYPERLINK("http://dx.doi.org/10.1007/s00441-016-2495-6","http://dx.doi.org/10.1007/s00441-016-2495-6")</f>
        <v>http://dx.doi.org/10.1007/s00441-016-2495-6</v>
      </c>
    </row>
    <row r="435" spans="1:9" ht="238" x14ac:dyDescent="0.15">
      <c r="A435" s="1" t="s">
        <v>9</v>
      </c>
      <c r="B435" s="5" t="s">
        <v>3688</v>
      </c>
      <c r="C435" s="1" t="s">
        <v>3689</v>
      </c>
      <c r="D435" s="1" t="s">
        <v>3269</v>
      </c>
      <c r="E435" s="1" t="s">
        <v>3690</v>
      </c>
      <c r="F435" s="1" t="s">
        <v>2669</v>
      </c>
      <c r="G435" s="1">
        <v>2021</v>
      </c>
      <c r="H435" s="1" t="s">
        <v>3691</v>
      </c>
      <c r="I435" s="1" t="str">
        <f>HYPERLINK("http://dx.doi.org/10.5852/ejt.2021.773.1519","http://dx.doi.org/10.5852/ejt.2021.773.1519")</f>
        <v>http://dx.doi.org/10.5852/ejt.2021.773.1519</v>
      </c>
    </row>
    <row r="436" spans="1:9" ht="345" x14ac:dyDescent="0.15">
      <c r="A436" s="1" t="s">
        <v>9</v>
      </c>
      <c r="B436" s="5" t="s">
        <v>2253</v>
      </c>
      <c r="C436" s="1" t="s">
        <v>2254</v>
      </c>
      <c r="D436" s="1" t="s">
        <v>1786</v>
      </c>
      <c r="E436" s="1" t="s">
        <v>2255</v>
      </c>
      <c r="F436" s="1" t="s">
        <v>2256</v>
      </c>
      <c r="G436" s="1">
        <v>2024</v>
      </c>
      <c r="H436" s="1" t="s">
        <v>2257</v>
      </c>
      <c r="I436" s="1" t="str">
        <f>HYPERLINK("http://dx.doi.org/10.11646/zootaxa.5486.2.3","http://dx.doi.org/10.11646/zootaxa.5486.2.3")</f>
        <v>http://dx.doi.org/10.11646/zootaxa.5486.2.3</v>
      </c>
    </row>
    <row r="437" spans="1:9" ht="266" x14ac:dyDescent="0.15">
      <c r="A437" s="1" t="s">
        <v>9</v>
      </c>
      <c r="B437" s="5" t="s">
        <v>3578</v>
      </c>
      <c r="C437" s="1" t="s">
        <v>3579</v>
      </c>
      <c r="D437" s="1" t="s">
        <v>3580</v>
      </c>
      <c r="E437" s="1" t="s">
        <v>3581</v>
      </c>
      <c r="F437" s="1" t="s">
        <v>3582</v>
      </c>
      <c r="G437" s="1">
        <v>2025</v>
      </c>
      <c r="H437" s="1" t="s">
        <v>3583</v>
      </c>
      <c r="I437" s="1" t="str">
        <f>HYPERLINK("http://dx.doi.org/10.1080/15627020.2024.2426456","http://dx.doi.org/10.1080/15627020.2024.2426456")</f>
        <v>http://dx.doi.org/10.1080/15627020.2024.2426456</v>
      </c>
    </row>
    <row r="438" spans="1:9" ht="196" x14ac:dyDescent="0.15">
      <c r="A438" s="1" t="s">
        <v>9</v>
      </c>
      <c r="B438" s="5" t="s">
        <v>3860</v>
      </c>
      <c r="C438" s="1" t="s">
        <v>3861</v>
      </c>
      <c r="D438" s="1" t="s">
        <v>3862</v>
      </c>
      <c r="E438" s="1" t="s">
        <v>3863</v>
      </c>
      <c r="F438" s="1" t="s">
        <v>3864</v>
      </c>
      <c r="G438" s="1">
        <v>2023</v>
      </c>
      <c r="H438" s="1" t="s">
        <v>3865</v>
      </c>
      <c r="I438" s="1" t="str">
        <f>HYPERLINK("http://dx.doi.org/10.1016/j.cell.2023.04.032","http://dx.doi.org/10.1016/j.cell.2023.04.032")</f>
        <v>http://dx.doi.org/10.1016/j.cell.2023.04.032</v>
      </c>
    </row>
    <row r="439" spans="1:9" ht="238" x14ac:dyDescent="0.15">
      <c r="A439" s="1" t="s">
        <v>9</v>
      </c>
      <c r="B439" s="5" t="s">
        <v>3991</v>
      </c>
      <c r="C439" s="1" t="s">
        <v>3992</v>
      </c>
      <c r="D439" s="1" t="s">
        <v>156</v>
      </c>
      <c r="E439" s="1" t="s">
        <v>3993</v>
      </c>
      <c r="F439" s="1" t="s">
        <v>2484</v>
      </c>
      <c r="G439" s="1">
        <v>2017</v>
      </c>
      <c r="H439" s="1" t="s">
        <v>3994</v>
      </c>
      <c r="I439" s="1" t="str">
        <f>HYPERLINK("http://dx.doi.org/10.1038/s41598-017-00602-0","http://dx.doi.org/10.1038/s41598-017-00602-0")</f>
        <v>http://dx.doi.org/10.1038/s41598-017-00602-0</v>
      </c>
    </row>
    <row r="440" spans="1:9" ht="306" x14ac:dyDescent="0.15">
      <c r="A440" s="1" t="s">
        <v>9</v>
      </c>
      <c r="B440" s="5" t="s">
        <v>1671</v>
      </c>
      <c r="C440" s="1" t="s">
        <v>1672</v>
      </c>
      <c r="D440" s="1" t="s">
        <v>1442</v>
      </c>
      <c r="E440" s="1" t="s">
        <v>1673</v>
      </c>
      <c r="F440" s="1" t="s">
        <v>1659</v>
      </c>
      <c r="G440" s="1">
        <v>2015</v>
      </c>
      <c r="H440" s="1" t="s">
        <v>1674</v>
      </c>
      <c r="I440" s="1" t="str">
        <f>HYPERLINK("http://dx.doi.org/10.1080/14772000.2015.1047428","http://dx.doi.org/10.1080/14772000.2015.1047428")</f>
        <v>http://dx.doi.org/10.1080/14772000.2015.1047428</v>
      </c>
    </row>
    <row r="441" spans="1:9" ht="224" x14ac:dyDescent="0.15">
      <c r="A441" s="1" t="s">
        <v>9</v>
      </c>
      <c r="B441" s="5" t="s">
        <v>1858</v>
      </c>
      <c r="C441" s="1" t="s">
        <v>1859</v>
      </c>
      <c r="D441" s="1" t="s">
        <v>1860</v>
      </c>
      <c r="E441" s="1" t="s">
        <v>1861</v>
      </c>
      <c r="F441" s="1" t="s">
        <v>21</v>
      </c>
      <c r="G441" s="1">
        <v>2019</v>
      </c>
      <c r="H441" s="1" t="s">
        <v>1862</v>
      </c>
      <c r="I441" s="1" t="str">
        <f>HYPERLINK("http://dx.doi.org/10.1007/s12686-018-1038-8","http://dx.doi.org/10.1007/s12686-018-1038-8")</f>
        <v>http://dx.doi.org/10.1007/s12686-018-1038-8</v>
      </c>
    </row>
    <row r="442" spans="1:9" ht="345" x14ac:dyDescent="0.15">
      <c r="A442" s="1" t="s">
        <v>9</v>
      </c>
      <c r="B442" s="5" t="s">
        <v>2477</v>
      </c>
      <c r="C442" s="1" t="s">
        <v>2478</v>
      </c>
      <c r="D442" s="1" t="s">
        <v>918</v>
      </c>
      <c r="E442" s="1" t="s">
        <v>2479</v>
      </c>
      <c r="F442" s="1" t="s">
        <v>33</v>
      </c>
      <c r="G442" s="1">
        <v>2015</v>
      </c>
      <c r="H442" s="1" t="s">
        <v>2480</v>
      </c>
      <c r="I442" s="1" t="str">
        <f>HYPERLINK("http://dx.doi.org/10.1016/j.dci.2015.02.002","http://dx.doi.org/10.1016/j.dci.2015.02.002")</f>
        <v>http://dx.doi.org/10.1016/j.dci.2015.02.002</v>
      </c>
    </row>
    <row r="443" spans="1:9" ht="224" x14ac:dyDescent="0.15">
      <c r="A443" s="1" t="s">
        <v>9</v>
      </c>
      <c r="B443" s="5" t="s">
        <v>3819</v>
      </c>
      <c r="C443" s="1" t="s">
        <v>3820</v>
      </c>
      <c r="D443" s="1" t="s">
        <v>3821</v>
      </c>
      <c r="E443" s="1" t="s">
        <v>3822</v>
      </c>
      <c r="F443" s="1" t="s">
        <v>11</v>
      </c>
      <c r="G443" s="1">
        <v>2023</v>
      </c>
      <c r="H443" s="1" t="s">
        <v>3823</v>
      </c>
      <c r="I443" s="1" t="str">
        <f>HYPERLINK("http://dx.doi.org/10.1590/0001-3765202320201622","http://dx.doi.org/10.1590/0001-3765202320201622")</f>
        <v>http://dx.doi.org/10.1590/0001-3765202320201622</v>
      </c>
    </row>
    <row r="444" spans="1:9" ht="224" x14ac:dyDescent="0.15">
      <c r="A444" s="1" t="s">
        <v>9</v>
      </c>
      <c r="B444" s="5" t="s">
        <v>2178</v>
      </c>
      <c r="C444" s="1" t="s">
        <v>2179</v>
      </c>
      <c r="D444" s="1" t="s">
        <v>1869</v>
      </c>
      <c r="E444" s="1" t="s">
        <v>2180</v>
      </c>
      <c r="F444" s="1" t="s">
        <v>56</v>
      </c>
      <c r="G444" s="1">
        <v>2024</v>
      </c>
      <c r="H444" s="1" t="s">
        <v>2181</v>
      </c>
      <c r="I444" s="1" t="str">
        <f>HYPERLINK("http://dx.doi.org/10.1242/dev.202619","http://dx.doi.org/10.1242/dev.202619")</f>
        <v>http://dx.doi.org/10.1242/dev.202619</v>
      </c>
    </row>
    <row r="445" spans="1:9" ht="306" x14ac:dyDescent="0.15">
      <c r="A445" s="1" t="s">
        <v>9</v>
      </c>
      <c r="B445" s="5" t="s">
        <v>2234</v>
      </c>
      <c r="C445" s="1" t="s">
        <v>2235</v>
      </c>
      <c r="D445" s="1" t="s">
        <v>2236</v>
      </c>
      <c r="E445" s="1" t="s">
        <v>2237</v>
      </c>
      <c r="F445" s="1" t="s">
        <v>1806</v>
      </c>
      <c r="G445" s="1">
        <v>2022</v>
      </c>
      <c r="H445" s="1" t="s">
        <v>2238</v>
      </c>
      <c r="I445" s="1" t="str">
        <f>HYPERLINK("http://dx.doi.org/10.23812/j.biol.regul.homeost.agents.20223604.106","http://dx.doi.org/10.23812/j.biol.regul.homeost.agents.20223604.106")</f>
        <v>http://dx.doi.org/10.23812/j.biol.regul.homeost.agents.20223604.106</v>
      </c>
    </row>
    <row r="446" spans="1:9" ht="266" x14ac:dyDescent="0.15">
      <c r="A446" s="1" t="s">
        <v>9</v>
      </c>
      <c r="B446" s="5" t="s">
        <v>3267</v>
      </c>
      <c r="C446" s="1" t="s">
        <v>3268</v>
      </c>
      <c r="D446" s="1" t="s">
        <v>3269</v>
      </c>
      <c r="E446" s="1" t="s">
        <v>3270</v>
      </c>
      <c r="F446" s="1" t="s">
        <v>74</v>
      </c>
      <c r="G446" s="1">
        <v>2024</v>
      </c>
      <c r="H446" s="1" t="s">
        <v>3271</v>
      </c>
      <c r="I446" s="1" t="str">
        <f>HYPERLINK("http://dx.doi.org/10.5852/ejt.2024.943.2585","http://dx.doi.org/10.5852/ejt.2024.943.2585")</f>
        <v>http://dx.doi.org/10.5852/ejt.2024.943.2585</v>
      </c>
    </row>
    <row r="447" spans="1:9" ht="371" x14ac:dyDescent="0.15">
      <c r="A447" s="1" t="s">
        <v>9</v>
      </c>
      <c r="B447" s="5" t="s">
        <v>2760</v>
      </c>
      <c r="C447" s="1" t="s">
        <v>2761</v>
      </c>
      <c r="D447" s="1" t="s">
        <v>321</v>
      </c>
      <c r="E447" s="1" t="s">
        <v>2762</v>
      </c>
      <c r="F447" s="1" t="s">
        <v>2763</v>
      </c>
      <c r="G447" s="1">
        <v>2012</v>
      </c>
      <c r="H447" s="1" t="s">
        <v>2764</v>
      </c>
      <c r="I447" s="1" t="str">
        <f>HYPERLINK("http://dx.doi.org/10.1371/journal.pone.0043331","http://dx.doi.org/10.1371/journal.pone.0043331")</f>
        <v>http://dx.doi.org/10.1371/journal.pone.0043331</v>
      </c>
    </row>
    <row r="448" spans="1:9" ht="168" x14ac:dyDescent="0.15">
      <c r="A448" s="1" t="s">
        <v>9</v>
      </c>
      <c r="B448" s="5" t="s">
        <v>3986</v>
      </c>
      <c r="C448" s="1" t="s">
        <v>3987</v>
      </c>
      <c r="D448" s="1" t="s">
        <v>3988</v>
      </c>
      <c r="E448" s="1" t="s">
        <v>3989</v>
      </c>
      <c r="F448" s="1" t="s">
        <v>122</v>
      </c>
      <c r="G448" s="1">
        <v>2016</v>
      </c>
      <c r="H448" s="1" t="s">
        <v>3990</v>
      </c>
      <c r="I448" s="1" t="str">
        <f>HYPERLINK("http://dx.doi.org/10.1016/j.gde.2016.05.024","http://dx.doi.org/10.1016/j.gde.2016.05.024")</f>
        <v>http://dx.doi.org/10.1016/j.gde.2016.05.024</v>
      </c>
    </row>
    <row r="449" spans="1:9" ht="252" x14ac:dyDescent="0.15">
      <c r="A449" s="1" t="s">
        <v>9</v>
      </c>
      <c r="B449" s="5" t="s">
        <v>2203</v>
      </c>
      <c r="C449" s="1" t="s">
        <v>2204</v>
      </c>
      <c r="D449" s="1" t="s">
        <v>234</v>
      </c>
      <c r="E449" s="1" t="s">
        <v>2205</v>
      </c>
      <c r="F449" s="1" t="s">
        <v>112</v>
      </c>
      <c r="G449" s="1">
        <v>2001</v>
      </c>
      <c r="H449" s="1" t="s">
        <v>2206</v>
      </c>
      <c r="I449" s="1" t="str">
        <f>HYPERLINK("http://dx.doi.org/10.1016/S1096-4959(00)00344-4","http://dx.doi.org/10.1016/S1096-4959(00)00344-4")</f>
        <v>http://dx.doi.org/10.1016/S1096-4959(00)00344-4</v>
      </c>
    </row>
    <row r="450" spans="1:9" ht="306" x14ac:dyDescent="0.15">
      <c r="A450" s="1" t="s">
        <v>9</v>
      </c>
      <c r="B450" s="5" t="s">
        <v>3079</v>
      </c>
      <c r="C450" s="1" t="s">
        <v>3080</v>
      </c>
      <c r="D450" s="1" t="s">
        <v>321</v>
      </c>
      <c r="E450" s="1" t="s">
        <v>3081</v>
      </c>
      <c r="F450" s="1" t="s">
        <v>1725</v>
      </c>
      <c r="G450" s="1">
        <v>2020</v>
      </c>
      <c r="H450" s="1" t="s">
        <v>3082</v>
      </c>
      <c r="I450" s="1" t="str">
        <f>HYPERLINK("http://dx.doi.org/10.1371/journal.pone.0228414","http://dx.doi.org/10.1371/journal.pone.0228414")</f>
        <v>http://dx.doi.org/10.1371/journal.pone.0228414</v>
      </c>
    </row>
    <row r="451" spans="1:9" ht="56" x14ac:dyDescent="0.15">
      <c r="A451" s="1" t="s">
        <v>608</v>
      </c>
      <c r="B451" s="5" t="s">
        <v>2601</v>
      </c>
      <c r="C451" s="1" t="s">
        <v>2602</v>
      </c>
      <c r="D451" s="3" t="s">
        <v>2603</v>
      </c>
      <c r="E451" s="1" t="s">
        <v>11</v>
      </c>
      <c r="F451" s="1" t="s">
        <v>11</v>
      </c>
      <c r="G451" s="1">
        <v>2012</v>
      </c>
      <c r="H451" s="1" t="s">
        <v>11</v>
      </c>
      <c r="I451" s="1" t="s">
        <v>11</v>
      </c>
    </row>
    <row r="452" spans="1:9" ht="70" x14ac:dyDescent="0.15">
      <c r="A452" s="1" t="s">
        <v>15</v>
      </c>
      <c r="B452" s="5" t="s">
        <v>2371</v>
      </c>
      <c r="C452" s="1" t="s">
        <v>2372</v>
      </c>
      <c r="D452" s="1" t="s">
        <v>2373</v>
      </c>
      <c r="E452" s="1" t="s">
        <v>11</v>
      </c>
      <c r="F452" s="1" t="s">
        <v>11</v>
      </c>
      <c r="G452" s="1">
        <v>2012</v>
      </c>
      <c r="H452" s="1" t="s">
        <v>2374</v>
      </c>
      <c r="I452" s="1" t="str">
        <f>HYPERLINK("http://dx.doi.org/10.1039/9781849735056-00198","http://dx.doi.org/10.1039/9781849735056-00198")</f>
        <v>http://dx.doi.org/10.1039/9781849735056-00198</v>
      </c>
    </row>
    <row r="453" spans="1:9" ht="252" x14ac:dyDescent="0.15">
      <c r="A453" s="1" t="s">
        <v>9</v>
      </c>
      <c r="B453" s="5" t="s">
        <v>709</v>
      </c>
      <c r="C453" s="1" t="s">
        <v>710</v>
      </c>
      <c r="D453" s="1" t="s">
        <v>711</v>
      </c>
      <c r="E453" s="1" t="s">
        <v>712</v>
      </c>
      <c r="F453" s="1" t="s">
        <v>96</v>
      </c>
      <c r="G453" s="1">
        <v>2016</v>
      </c>
      <c r="H453" s="1" t="s">
        <v>713</v>
      </c>
      <c r="I453" s="1" t="str">
        <f>HYPERLINK("http://dx.doi.org/10.1139/bcb-2016-0056","http://dx.doi.org/10.1139/bcb-2016-0056")</f>
        <v>http://dx.doi.org/10.1139/bcb-2016-0056</v>
      </c>
    </row>
    <row r="454" spans="1:9" ht="332" x14ac:dyDescent="0.15">
      <c r="A454" s="1" t="s">
        <v>9</v>
      </c>
      <c r="B454" s="5" t="s">
        <v>2486</v>
      </c>
      <c r="C454" s="1" t="s">
        <v>2487</v>
      </c>
      <c r="D454" s="1" t="s">
        <v>2488</v>
      </c>
      <c r="E454" s="1" t="s">
        <v>2489</v>
      </c>
      <c r="F454" s="1" t="s">
        <v>209</v>
      </c>
      <c r="G454" s="1">
        <v>2025</v>
      </c>
      <c r="H454" s="1" t="s">
        <v>2490</v>
      </c>
      <c r="I454" s="1" t="str">
        <f>HYPERLINK("http://dx.doi.org/10.1016/j.cbpc.2025.110291","http://dx.doi.org/10.1016/j.cbpc.2025.110291")</f>
        <v>http://dx.doi.org/10.1016/j.cbpc.2025.110291</v>
      </c>
    </row>
    <row r="455" spans="1:9" ht="358" x14ac:dyDescent="0.15">
      <c r="A455" s="1" t="s">
        <v>9</v>
      </c>
      <c r="B455" s="5" t="s">
        <v>593</v>
      </c>
      <c r="C455" s="1" t="s">
        <v>594</v>
      </c>
      <c r="D455" s="1" t="s">
        <v>595</v>
      </c>
      <c r="E455" s="1" t="s">
        <v>596</v>
      </c>
      <c r="F455" s="1" t="s">
        <v>456</v>
      </c>
      <c r="G455" s="1">
        <v>2015</v>
      </c>
      <c r="H455" s="1" t="s">
        <v>597</v>
      </c>
      <c r="I455" s="1" t="str">
        <f>HYPERLINK("http://dx.doi.org/10.1186/s12859-015-0833-4","http://dx.doi.org/10.1186/s12859-015-0833-4")</f>
        <v>http://dx.doi.org/10.1186/s12859-015-0833-4</v>
      </c>
    </row>
    <row r="456" spans="1:9" ht="224" x14ac:dyDescent="0.15">
      <c r="A456" s="1" t="s">
        <v>9</v>
      </c>
      <c r="B456" s="5" t="s">
        <v>2129</v>
      </c>
      <c r="C456" s="1" t="s">
        <v>2130</v>
      </c>
      <c r="D456" s="1" t="s">
        <v>2131</v>
      </c>
      <c r="E456" s="1" t="s">
        <v>2132</v>
      </c>
      <c r="F456" s="1" t="s">
        <v>302</v>
      </c>
      <c r="G456" s="1">
        <v>2009</v>
      </c>
      <c r="H456" s="1" t="s">
        <v>2133</v>
      </c>
      <c r="I456" s="1" t="str">
        <f>HYPERLINK("http://dx.doi.org/10.1016/j.vetimm.2008.10.329","http://dx.doi.org/10.1016/j.vetimm.2008.10.329")</f>
        <v>http://dx.doi.org/10.1016/j.vetimm.2008.10.329</v>
      </c>
    </row>
    <row r="457" spans="1:9" ht="397" x14ac:dyDescent="0.15">
      <c r="A457" s="1" t="s">
        <v>9</v>
      </c>
      <c r="B457" s="5" t="s">
        <v>2107</v>
      </c>
      <c r="C457" s="1" t="s">
        <v>2108</v>
      </c>
      <c r="D457" s="1" t="s">
        <v>197</v>
      </c>
      <c r="E457" s="1" t="s">
        <v>2109</v>
      </c>
      <c r="F457" s="1" t="s">
        <v>209</v>
      </c>
      <c r="G457" s="1">
        <v>2015</v>
      </c>
      <c r="H457" s="1" t="s">
        <v>2110</v>
      </c>
      <c r="I457" s="1" t="str">
        <f>HYPERLINK("http://dx.doi.org/10.1007/s00427-015-0520-5","http://dx.doi.org/10.1007/s00427-015-0520-5")</f>
        <v>http://dx.doi.org/10.1007/s00427-015-0520-5</v>
      </c>
    </row>
    <row r="458" spans="1:9" ht="293" x14ac:dyDescent="0.15">
      <c r="A458" s="1" t="s">
        <v>9</v>
      </c>
      <c r="B458" s="5" t="s">
        <v>1612</v>
      </c>
      <c r="C458" s="1" t="s">
        <v>1613</v>
      </c>
      <c r="D458" s="1" t="s">
        <v>951</v>
      </c>
      <c r="E458" s="1" t="s">
        <v>1614</v>
      </c>
      <c r="F458" s="1" t="s">
        <v>138</v>
      </c>
      <c r="G458" s="1">
        <v>2023</v>
      </c>
      <c r="H458" s="1" t="s">
        <v>1615</v>
      </c>
      <c r="I458" s="1" t="str">
        <f>HYPERLINK("http://dx.doi.org/10.3390/ijms24043852","http://dx.doi.org/10.3390/ijms24043852")</f>
        <v>http://dx.doi.org/10.3390/ijms24043852</v>
      </c>
    </row>
    <row r="459" spans="1:9" ht="280" x14ac:dyDescent="0.15">
      <c r="A459" s="1" t="s">
        <v>9</v>
      </c>
      <c r="B459" s="5" t="s">
        <v>370</v>
      </c>
      <c r="C459" s="1" t="s">
        <v>371</v>
      </c>
      <c r="D459" s="1" t="s">
        <v>372</v>
      </c>
      <c r="E459" s="1" t="s">
        <v>373</v>
      </c>
      <c r="F459" s="1" t="s">
        <v>182</v>
      </c>
      <c r="G459" s="1">
        <v>2022</v>
      </c>
      <c r="H459" s="1" t="s">
        <v>374</v>
      </c>
      <c r="I459" s="1" t="str">
        <f>HYPERLINK("http://dx.doi.org/10.1038/s41467-022-28471-w","http://dx.doi.org/10.1038/s41467-022-28471-w")</f>
        <v>http://dx.doi.org/10.1038/s41467-022-28471-w</v>
      </c>
    </row>
    <row r="460" spans="1:9" ht="319" x14ac:dyDescent="0.15">
      <c r="A460" s="1" t="s">
        <v>9</v>
      </c>
      <c r="B460" s="5" t="s">
        <v>772</v>
      </c>
      <c r="C460" s="1" t="s">
        <v>773</v>
      </c>
      <c r="D460" s="1" t="s">
        <v>54</v>
      </c>
      <c r="E460" s="1" t="s">
        <v>774</v>
      </c>
      <c r="F460" s="1" t="s">
        <v>106</v>
      </c>
      <c r="G460" s="1">
        <v>2016</v>
      </c>
      <c r="H460" s="1" t="s">
        <v>775</v>
      </c>
      <c r="I460" s="1" t="str">
        <f>HYPERLINK("http://dx.doi.org/10.1111/mec.13555","http://dx.doi.org/10.1111/mec.13555")</f>
        <v>http://dx.doi.org/10.1111/mec.13555</v>
      </c>
    </row>
    <row r="461" spans="1:9" ht="238" x14ac:dyDescent="0.15">
      <c r="A461" s="1" t="s">
        <v>9</v>
      </c>
      <c r="B461" s="5" t="s">
        <v>2069</v>
      </c>
      <c r="C461" s="1" t="s">
        <v>2070</v>
      </c>
      <c r="D461" s="1" t="s">
        <v>72</v>
      </c>
      <c r="E461" s="1" t="s">
        <v>2071</v>
      </c>
      <c r="F461" s="1" t="s">
        <v>451</v>
      </c>
      <c r="G461" s="1">
        <v>2016</v>
      </c>
      <c r="H461" s="1" t="s">
        <v>2072</v>
      </c>
      <c r="I461" s="1" t="str">
        <f>HYPERLINK("http://dx.doi.org/10.7717/peerj.1763","http://dx.doi.org/10.7717/peerj.1763")</f>
        <v>http://dx.doi.org/10.7717/peerj.1763</v>
      </c>
    </row>
    <row r="462" spans="1:9" ht="293" x14ac:dyDescent="0.15">
      <c r="A462" s="3" t="s">
        <v>9</v>
      </c>
      <c r="B462" s="5" t="s">
        <v>1844</v>
      </c>
      <c r="C462" s="1" t="s">
        <v>1845</v>
      </c>
      <c r="D462" s="1" t="s">
        <v>441</v>
      </c>
      <c r="E462" s="1" t="s">
        <v>1846</v>
      </c>
      <c r="F462" s="1" t="s">
        <v>68</v>
      </c>
      <c r="G462" s="1">
        <v>2008</v>
      </c>
      <c r="H462" s="1" t="s">
        <v>1847</v>
      </c>
      <c r="I462" s="1" t="str">
        <f>HYPERLINK("http://dx.doi.org/10.1016/j.ygeno.2008.04.003","http://dx.doi.org/10.1016/j.ygeno.2008.04.003")</f>
        <v>http://dx.doi.org/10.1016/j.ygeno.2008.04.003</v>
      </c>
    </row>
    <row r="463" spans="1:9" ht="293" x14ac:dyDescent="0.15">
      <c r="A463" s="1" t="s">
        <v>9</v>
      </c>
      <c r="B463" s="5" t="s">
        <v>2907</v>
      </c>
      <c r="C463" s="1" t="s">
        <v>2908</v>
      </c>
      <c r="D463" s="1" t="s">
        <v>321</v>
      </c>
      <c r="E463" s="1" t="s">
        <v>2909</v>
      </c>
      <c r="F463" s="1" t="s">
        <v>2910</v>
      </c>
      <c r="G463" s="1">
        <v>2013</v>
      </c>
      <c r="H463" s="1" t="s">
        <v>2911</v>
      </c>
      <c r="I463" s="1" t="str">
        <f>HYPERLINK("http://dx.doi.org/10.1371/journal.pone.0054698","http://dx.doi.org/10.1371/journal.pone.0054698")</f>
        <v>http://dx.doi.org/10.1371/journal.pone.0054698</v>
      </c>
    </row>
    <row r="464" spans="1:9" ht="252" x14ac:dyDescent="0.15">
      <c r="A464" s="1" t="s">
        <v>9</v>
      </c>
      <c r="B464" s="5" t="s">
        <v>1017</v>
      </c>
      <c r="C464" s="1" t="s">
        <v>1018</v>
      </c>
      <c r="D464" s="1" t="s">
        <v>1019</v>
      </c>
      <c r="E464" s="1" t="s">
        <v>1020</v>
      </c>
      <c r="F464" s="1" t="s">
        <v>21</v>
      </c>
      <c r="G464" s="1">
        <v>2017</v>
      </c>
      <c r="H464" s="1" t="s">
        <v>1021</v>
      </c>
      <c r="I464" s="1" t="str">
        <f>HYPERLINK("http://dx.doi.org/10.1007/s40656-017-0164-z","http://dx.doi.org/10.1007/s40656-017-0164-z")</f>
        <v>http://dx.doi.org/10.1007/s40656-017-0164-z</v>
      </c>
    </row>
    <row r="465" spans="1:9" ht="397" x14ac:dyDescent="0.15">
      <c r="A465" s="1" t="s">
        <v>9</v>
      </c>
      <c r="B465" s="5" t="s">
        <v>929</v>
      </c>
      <c r="C465" s="1" t="s">
        <v>930</v>
      </c>
      <c r="D465" s="1" t="s">
        <v>186</v>
      </c>
      <c r="E465" s="1" t="s">
        <v>931</v>
      </c>
      <c r="F465" s="1" t="s">
        <v>287</v>
      </c>
      <c r="G465" s="1">
        <v>2023</v>
      </c>
      <c r="H465" s="1" t="s">
        <v>932</v>
      </c>
      <c r="I465" s="1" t="str">
        <f>HYPERLINK("http://dx.doi.org/10.1016/j.envpol.2023.122284","http://dx.doi.org/10.1016/j.envpol.2023.122284")</f>
        <v>http://dx.doi.org/10.1016/j.envpol.2023.122284</v>
      </c>
    </row>
    <row r="466" spans="1:9" ht="358" x14ac:dyDescent="0.15">
      <c r="A466" s="1" t="s">
        <v>9</v>
      </c>
      <c r="B466" s="5" t="s">
        <v>1045</v>
      </c>
      <c r="C466" s="1" t="s">
        <v>1046</v>
      </c>
      <c r="D466" s="1" t="s">
        <v>78</v>
      </c>
      <c r="E466" s="1" t="s">
        <v>1047</v>
      </c>
      <c r="F466" s="1" t="s">
        <v>1048</v>
      </c>
      <c r="G466" s="1">
        <v>2023</v>
      </c>
      <c r="H466" s="1" t="s">
        <v>1049</v>
      </c>
      <c r="I466" s="1" t="str">
        <f>HYPERLINK("http://dx.doi.org/10.3389/fmars.2023.1163552","http://dx.doi.org/10.3389/fmars.2023.1163552")</f>
        <v>http://dx.doi.org/10.3389/fmars.2023.1163552</v>
      </c>
    </row>
    <row r="467" spans="1:9" ht="345" x14ac:dyDescent="0.15">
      <c r="A467" s="1" t="s">
        <v>9</v>
      </c>
      <c r="B467" s="5" t="s">
        <v>425</v>
      </c>
      <c r="C467" s="1" t="s">
        <v>426</v>
      </c>
      <c r="D467" s="1" t="s">
        <v>78</v>
      </c>
      <c r="E467" s="1" t="s">
        <v>427</v>
      </c>
      <c r="F467" s="1" t="s">
        <v>428</v>
      </c>
      <c r="G467" s="1">
        <v>2020</v>
      </c>
      <c r="H467" s="1" t="s">
        <v>429</v>
      </c>
      <c r="I467" s="1" t="str">
        <f>HYPERLINK("http://dx.doi.org/10.3389/fmars.2020.00284","http://dx.doi.org/10.3389/fmars.2020.00284")</f>
        <v>http://dx.doi.org/10.3389/fmars.2020.00284</v>
      </c>
    </row>
    <row r="468" spans="1:9" ht="358" x14ac:dyDescent="0.15">
      <c r="A468" s="1" t="s">
        <v>9</v>
      </c>
      <c r="B468" s="5" t="s">
        <v>855</v>
      </c>
      <c r="C468" s="1" t="s">
        <v>856</v>
      </c>
      <c r="D468" s="1" t="s">
        <v>857</v>
      </c>
      <c r="E468" s="1" t="s">
        <v>858</v>
      </c>
      <c r="F468" s="1" t="s">
        <v>21</v>
      </c>
      <c r="G468" s="1">
        <v>2024</v>
      </c>
      <c r="H468" s="1" t="s">
        <v>859</v>
      </c>
      <c r="I468" s="1" t="str">
        <f>HYPERLINK("http://dx.doi.org/10.1016/j.envint.2024.109163","http://dx.doi.org/10.1016/j.envint.2024.109163")</f>
        <v>http://dx.doi.org/10.1016/j.envint.2024.109163</v>
      </c>
    </row>
    <row r="469" spans="1:9" ht="332" x14ac:dyDescent="0.15">
      <c r="A469" s="1" t="s">
        <v>9</v>
      </c>
      <c r="B469" s="5" t="s">
        <v>1342</v>
      </c>
      <c r="C469" s="1" t="s">
        <v>1343</v>
      </c>
      <c r="D469" s="1" t="s">
        <v>1344</v>
      </c>
      <c r="E469" s="1" t="s">
        <v>1345</v>
      </c>
      <c r="F469" s="1" t="s">
        <v>221</v>
      </c>
      <c r="G469" s="1">
        <v>2023</v>
      </c>
      <c r="H469" s="1" t="s">
        <v>1346</v>
      </c>
      <c r="I469" s="1" t="str">
        <f>HYPERLINK("http://dx.doi.org/10.1007/s00126-022-01123-1","http://dx.doi.org/10.1007/s00126-022-01123-1")</f>
        <v>http://dx.doi.org/10.1007/s00126-022-01123-1</v>
      </c>
    </row>
    <row r="470" spans="1:9" ht="238" x14ac:dyDescent="0.15">
      <c r="A470" s="1" t="s">
        <v>9</v>
      </c>
      <c r="B470" s="5" t="s">
        <v>2356</v>
      </c>
      <c r="C470" s="1" t="s">
        <v>2357</v>
      </c>
      <c r="D470" s="1" t="s">
        <v>2358</v>
      </c>
      <c r="E470" s="1" t="s">
        <v>2359</v>
      </c>
      <c r="F470" s="1" t="s">
        <v>96</v>
      </c>
      <c r="G470" s="1">
        <v>2013</v>
      </c>
      <c r="H470" s="1" t="s">
        <v>2360</v>
      </c>
      <c r="I470" s="1" t="str">
        <f>HYPERLINK("http://dx.doi.org/10.1007/s11418-013-0742-7","http://dx.doi.org/10.1007/s11418-013-0742-7")</f>
        <v>http://dx.doi.org/10.1007/s11418-013-0742-7</v>
      </c>
    </row>
    <row r="471" spans="1:9" ht="196" x14ac:dyDescent="0.15">
      <c r="A471" s="1" t="s">
        <v>9</v>
      </c>
      <c r="B471" s="5" t="s">
        <v>598</v>
      </c>
      <c r="C471" s="1" t="s">
        <v>599</v>
      </c>
      <c r="D471" s="1" t="s">
        <v>600</v>
      </c>
      <c r="E471" s="1" t="s">
        <v>601</v>
      </c>
      <c r="F471" s="1" t="s">
        <v>106</v>
      </c>
      <c r="G471" s="1">
        <v>2001</v>
      </c>
      <c r="H471" s="1" t="s">
        <v>602</v>
      </c>
      <c r="I471" s="1" t="str">
        <f>HYPERLINK("http://dx.doi.org/10.1023/A:1011312808421","http://dx.doi.org/10.1023/A:1011312808421")</f>
        <v>http://dx.doi.org/10.1023/A:1011312808421</v>
      </c>
    </row>
    <row r="472" spans="1:9" ht="210" x14ac:dyDescent="0.15">
      <c r="A472" s="1" t="s">
        <v>9</v>
      </c>
      <c r="B472" s="5" t="s">
        <v>2379</v>
      </c>
      <c r="C472" s="1" t="s">
        <v>2380</v>
      </c>
      <c r="D472" s="1" t="s">
        <v>2264</v>
      </c>
      <c r="E472" s="1" t="s">
        <v>2381</v>
      </c>
      <c r="F472" s="1" t="s">
        <v>106</v>
      </c>
      <c r="G472" s="1">
        <v>2024</v>
      </c>
      <c r="H472" s="1" t="s">
        <v>2382</v>
      </c>
      <c r="I472" s="1" t="str">
        <f>HYPERLINK("http://dx.doi.org/10.1016/j.ydbio.2024.01.010","http://dx.doi.org/10.1016/j.ydbio.2024.01.010")</f>
        <v>http://dx.doi.org/10.1016/j.ydbio.2024.01.010</v>
      </c>
    </row>
    <row r="473" spans="1:9" ht="238" x14ac:dyDescent="0.15">
      <c r="A473" s="1" t="s">
        <v>9</v>
      </c>
      <c r="B473" s="5" t="s">
        <v>1867</v>
      </c>
      <c r="C473" s="1" t="s">
        <v>1868</v>
      </c>
      <c r="D473" s="1" t="s">
        <v>1869</v>
      </c>
      <c r="E473" s="1" t="s">
        <v>1870</v>
      </c>
      <c r="F473" s="1" t="s">
        <v>21</v>
      </c>
      <c r="G473" s="1">
        <v>2018</v>
      </c>
      <c r="H473" s="1" t="s">
        <v>1871</v>
      </c>
      <c r="I473" s="1" t="str">
        <f>HYPERLINK("http://dx.doi.org/10.1242/dev.167130","http://dx.doi.org/10.1242/dev.167130")</f>
        <v>http://dx.doi.org/10.1242/dev.167130</v>
      </c>
    </row>
    <row r="474" spans="1:9" ht="238" x14ac:dyDescent="0.15">
      <c r="A474" s="1" t="s">
        <v>9</v>
      </c>
      <c r="B474" s="5" t="s">
        <v>3330</v>
      </c>
      <c r="C474" s="1" t="s">
        <v>3331</v>
      </c>
      <c r="D474" s="1" t="s">
        <v>1511</v>
      </c>
      <c r="E474" s="1" t="s">
        <v>3332</v>
      </c>
      <c r="F474" s="1" t="s">
        <v>112</v>
      </c>
      <c r="G474" s="1">
        <v>2021</v>
      </c>
      <c r="H474" s="1" t="s">
        <v>3333</v>
      </c>
      <c r="I474" s="1" t="str">
        <f>HYPERLINK("http://dx.doi.org/10.1016/j.ympev.2020.107040","http://dx.doi.org/10.1016/j.ympev.2020.107040")</f>
        <v>http://dx.doi.org/10.1016/j.ympev.2020.107040</v>
      </c>
    </row>
    <row r="475" spans="1:9" ht="293" x14ac:dyDescent="0.15">
      <c r="A475" s="1" t="s">
        <v>9</v>
      </c>
      <c r="B475" s="5" t="s">
        <v>3814</v>
      </c>
      <c r="C475" s="1" t="s">
        <v>3815</v>
      </c>
      <c r="D475" s="1" t="s">
        <v>1932</v>
      </c>
      <c r="E475" s="1" t="s">
        <v>3816</v>
      </c>
      <c r="F475" s="1" t="s">
        <v>3817</v>
      </c>
      <c r="G475" s="1">
        <v>2025</v>
      </c>
      <c r="H475" s="1" t="s">
        <v>3818</v>
      </c>
      <c r="I475" s="1" t="str">
        <f>HYPERLINK("http://dx.doi.org/10.3389/fcimb.2025.1584812","http://dx.doi.org/10.3389/fcimb.2025.1584812")</f>
        <v>http://dx.doi.org/10.3389/fcimb.2025.1584812</v>
      </c>
    </row>
    <row r="476" spans="1:9" ht="409.6" x14ac:dyDescent="0.15">
      <c r="A476" s="1" t="s">
        <v>9</v>
      </c>
      <c r="B476" s="5" t="s">
        <v>3093</v>
      </c>
      <c r="C476" s="1" t="s">
        <v>3094</v>
      </c>
      <c r="D476" s="1" t="s">
        <v>48</v>
      </c>
      <c r="E476" s="1" t="s">
        <v>3095</v>
      </c>
      <c r="F476" s="1" t="s">
        <v>3096</v>
      </c>
      <c r="G476" s="1">
        <v>2018</v>
      </c>
      <c r="H476" s="1" t="s">
        <v>3097</v>
      </c>
      <c r="I476" s="1" t="str">
        <f>HYPERLINK("http://dx.doi.org/10.1186/s12864-018-4694-x","http://dx.doi.org/10.1186/s12864-018-4694-x")</f>
        <v>http://dx.doi.org/10.1186/s12864-018-4694-x</v>
      </c>
    </row>
    <row r="477" spans="1:9" ht="345" x14ac:dyDescent="0.15">
      <c r="A477" s="1" t="s">
        <v>9</v>
      </c>
      <c r="B477" s="5" t="s">
        <v>3138</v>
      </c>
      <c r="C477" s="1" t="s">
        <v>3139</v>
      </c>
      <c r="D477" s="1" t="s">
        <v>281</v>
      </c>
      <c r="E477" s="1" t="s">
        <v>3140</v>
      </c>
      <c r="F477" s="1" t="s">
        <v>138</v>
      </c>
      <c r="G477" s="1">
        <v>2016</v>
      </c>
      <c r="H477" s="1" t="s">
        <v>3141</v>
      </c>
      <c r="I477" s="1" t="str">
        <f>HYPERLINK("http://dx.doi.org/10.1016/j.chemosphere.2015.09.022","http://dx.doi.org/10.1016/j.chemosphere.2015.09.022")</f>
        <v>http://dx.doi.org/10.1016/j.chemosphere.2015.09.022</v>
      </c>
    </row>
    <row r="478" spans="1:9" ht="293" x14ac:dyDescent="0.15">
      <c r="A478" s="1" t="s">
        <v>9</v>
      </c>
      <c r="B478" s="5" t="s">
        <v>3731</v>
      </c>
      <c r="C478" s="1" t="s">
        <v>3732</v>
      </c>
      <c r="D478" s="1" t="s">
        <v>3114</v>
      </c>
      <c r="E478" s="1" t="s">
        <v>3733</v>
      </c>
      <c r="F478" s="1" t="s">
        <v>21</v>
      </c>
      <c r="G478" s="1">
        <v>2022</v>
      </c>
      <c r="H478" s="1" t="s">
        <v>3734</v>
      </c>
      <c r="I478" s="1" t="str">
        <f>HYPERLINK("http://dx.doi.org/10.1016/j.biopha.2022.113862","http://dx.doi.org/10.1016/j.biopha.2022.113862")</f>
        <v>http://dx.doi.org/10.1016/j.biopha.2022.113862</v>
      </c>
    </row>
    <row r="479" spans="1:9" ht="409.6" x14ac:dyDescent="0.15">
      <c r="A479" s="1" t="s">
        <v>9</v>
      </c>
      <c r="B479" s="5" t="s">
        <v>2671</v>
      </c>
      <c r="C479" s="1" t="s">
        <v>2672</v>
      </c>
      <c r="D479" s="1" t="s">
        <v>2673</v>
      </c>
      <c r="E479" s="1" t="s">
        <v>2674</v>
      </c>
      <c r="F479" s="1" t="s">
        <v>11</v>
      </c>
      <c r="G479" s="1">
        <v>2015</v>
      </c>
      <c r="H479" s="1" t="s">
        <v>2675</v>
      </c>
      <c r="I479" s="1" t="str">
        <f>HYPERLINK("http://dx.doi.org/10.17738/ajes.2015.0026","http://dx.doi.org/10.17738/ajes.2015.0026")</f>
        <v>http://dx.doi.org/10.17738/ajes.2015.0026</v>
      </c>
    </row>
    <row r="480" spans="1:9" ht="358" x14ac:dyDescent="0.15">
      <c r="A480" s="1" t="s">
        <v>9</v>
      </c>
      <c r="B480" s="5" t="s">
        <v>3866</v>
      </c>
      <c r="C480" s="1" t="s">
        <v>3867</v>
      </c>
      <c r="D480" s="1" t="s">
        <v>260</v>
      </c>
      <c r="E480" s="1" t="s">
        <v>3868</v>
      </c>
      <c r="F480" s="1" t="s">
        <v>2081</v>
      </c>
      <c r="G480" s="1">
        <v>2017</v>
      </c>
      <c r="H480" s="1" t="s">
        <v>3869</v>
      </c>
      <c r="I480" s="1" t="str">
        <f>HYPERLINK("http://dx.doi.org/10.1016/j.aquaculture.2017.08.028","http://dx.doi.org/10.1016/j.aquaculture.2017.08.028")</f>
        <v>http://dx.doi.org/10.1016/j.aquaculture.2017.08.028</v>
      </c>
    </row>
    <row r="481" spans="1:9" ht="332" x14ac:dyDescent="0.15">
      <c r="A481" s="1" t="s">
        <v>9</v>
      </c>
      <c r="B481" s="5" t="s">
        <v>2324</v>
      </c>
      <c r="C481" s="1" t="s">
        <v>2325</v>
      </c>
      <c r="D481" s="1" t="s">
        <v>2326</v>
      </c>
      <c r="E481" s="1" t="s">
        <v>2327</v>
      </c>
      <c r="F481" s="1" t="s">
        <v>138</v>
      </c>
      <c r="G481" s="1">
        <v>2012</v>
      </c>
      <c r="H481" s="1" t="s">
        <v>2328</v>
      </c>
      <c r="I481" s="1" t="str">
        <f>HYPERLINK("http://dx.doi.org/10.1007/s10750-011-0864-4","http://dx.doi.org/10.1007/s10750-011-0864-4")</f>
        <v>http://dx.doi.org/10.1007/s10750-011-0864-4</v>
      </c>
    </row>
    <row r="482" spans="1:9" ht="371" x14ac:dyDescent="0.15">
      <c r="A482" s="1" t="s">
        <v>9</v>
      </c>
      <c r="B482" s="5" t="s">
        <v>3365</v>
      </c>
      <c r="C482" s="1" t="s">
        <v>3366</v>
      </c>
      <c r="D482" s="1" t="s">
        <v>2326</v>
      </c>
      <c r="E482" s="1" t="s">
        <v>3367</v>
      </c>
      <c r="F482" s="1" t="s">
        <v>3368</v>
      </c>
      <c r="G482" s="1">
        <v>2005</v>
      </c>
      <c r="H482" s="1" t="s">
        <v>3369</v>
      </c>
      <c r="I482" s="1" t="str">
        <f>HYPERLINK("http://dx.doi.org/10.1007/s10750-004-4404-3","http://dx.doi.org/10.1007/s10750-004-4404-3")</f>
        <v>http://dx.doi.org/10.1007/s10750-004-4404-3</v>
      </c>
    </row>
    <row r="483" spans="1:9" ht="224" x14ac:dyDescent="0.15">
      <c r="A483" s="1" t="s">
        <v>9</v>
      </c>
      <c r="B483" s="5" t="s">
        <v>1311</v>
      </c>
      <c r="C483" s="1" t="s">
        <v>1312</v>
      </c>
      <c r="D483" s="1" t="s">
        <v>1042</v>
      </c>
      <c r="E483" s="1" t="s">
        <v>1313</v>
      </c>
      <c r="F483" s="1" t="s">
        <v>138</v>
      </c>
      <c r="G483" s="1">
        <v>2018</v>
      </c>
      <c r="H483" s="1" t="s">
        <v>1314</v>
      </c>
      <c r="I483" s="1" t="str">
        <f>HYPERLINK("http://dx.doi.org/10.1038/s41559-017-0428-8","http://dx.doi.org/10.1038/s41559-017-0428-8")</f>
        <v>http://dx.doi.org/10.1038/s41559-017-0428-8</v>
      </c>
    </row>
    <row r="484" spans="1:9" ht="280" x14ac:dyDescent="0.15">
      <c r="A484" s="1" t="s">
        <v>9</v>
      </c>
      <c r="B484" s="5" t="s">
        <v>690</v>
      </c>
      <c r="C484" s="1" t="s">
        <v>691</v>
      </c>
      <c r="D484" s="1" t="s">
        <v>692</v>
      </c>
      <c r="E484" s="1" t="s">
        <v>693</v>
      </c>
      <c r="F484" s="1" t="s">
        <v>694</v>
      </c>
      <c r="G484" s="1">
        <v>2015</v>
      </c>
      <c r="H484" s="1" t="s">
        <v>695</v>
      </c>
      <c r="I484" s="1" t="str">
        <f>HYPERLINK("http://dx.doi.org/10.1016/j.ygcen.2015.01.020","http://dx.doi.org/10.1016/j.ygcen.2015.01.020")</f>
        <v>http://dx.doi.org/10.1016/j.ygcen.2015.01.020</v>
      </c>
    </row>
    <row r="485" spans="1:9" ht="384" x14ac:dyDescent="0.15">
      <c r="A485" s="1" t="s">
        <v>9</v>
      </c>
      <c r="B485" s="5" t="s">
        <v>1225</v>
      </c>
      <c r="C485" s="1" t="s">
        <v>1226</v>
      </c>
      <c r="D485" s="1" t="s">
        <v>648</v>
      </c>
      <c r="E485" s="1" t="s">
        <v>1227</v>
      </c>
      <c r="F485" s="1" t="s">
        <v>68</v>
      </c>
      <c r="G485" s="1">
        <v>2014</v>
      </c>
      <c r="H485" s="1" t="s">
        <v>1228</v>
      </c>
      <c r="I485" s="1" t="str">
        <f>HYPERLINK("http://dx.doi.org/10.1242/jeb.100487","http://dx.doi.org/10.1242/jeb.100487")</f>
        <v>http://dx.doi.org/10.1242/jeb.100487</v>
      </c>
    </row>
    <row r="486" spans="1:9" ht="266" x14ac:dyDescent="0.15">
      <c r="A486" s="1" t="s">
        <v>9</v>
      </c>
      <c r="B486" s="5" t="s">
        <v>1195</v>
      </c>
      <c r="C486" s="1" t="s">
        <v>1196</v>
      </c>
      <c r="D486" s="1" t="s">
        <v>234</v>
      </c>
      <c r="E486" s="1" t="s">
        <v>1197</v>
      </c>
      <c r="F486" s="1" t="s">
        <v>96</v>
      </c>
      <c r="G486" s="1">
        <v>2018</v>
      </c>
      <c r="H486" s="1" t="s">
        <v>1198</v>
      </c>
      <c r="I486" s="1" t="str">
        <f>HYPERLINK("http://dx.doi.org/10.1016/j.cbpb.2017.12.017","http://dx.doi.org/10.1016/j.cbpb.2017.12.017")</f>
        <v>http://dx.doi.org/10.1016/j.cbpb.2017.12.017</v>
      </c>
    </row>
    <row r="487" spans="1:9" ht="397" x14ac:dyDescent="0.15">
      <c r="A487" s="1" t="s">
        <v>9</v>
      </c>
      <c r="B487" s="5" t="s">
        <v>3837</v>
      </c>
      <c r="C487" s="1" t="s">
        <v>3838</v>
      </c>
      <c r="D487" s="1" t="s">
        <v>48</v>
      </c>
      <c r="E487" s="1" t="s">
        <v>3839</v>
      </c>
      <c r="F487" s="1" t="s">
        <v>3840</v>
      </c>
      <c r="G487" s="1">
        <v>2009</v>
      </c>
      <c r="H487" s="1" t="s">
        <v>3841</v>
      </c>
      <c r="I487" s="1" t="str">
        <f>HYPERLINK("http://dx.doi.org/10.1186/1471-2164-10-549","http://dx.doi.org/10.1186/1471-2164-10-549")</f>
        <v>http://dx.doi.org/10.1186/1471-2164-10-549</v>
      </c>
    </row>
    <row r="488" spans="1:9" ht="371" x14ac:dyDescent="0.15">
      <c r="A488" s="1" t="s">
        <v>9</v>
      </c>
      <c r="B488" s="5" t="s">
        <v>2073</v>
      </c>
      <c r="C488" s="1" t="s">
        <v>2074</v>
      </c>
      <c r="D488" s="1" t="s">
        <v>234</v>
      </c>
      <c r="E488" s="1" t="s">
        <v>2075</v>
      </c>
      <c r="F488" s="1" t="s">
        <v>112</v>
      </c>
      <c r="G488" s="1">
        <v>2011</v>
      </c>
      <c r="H488" s="1" t="s">
        <v>2076</v>
      </c>
      <c r="I488" s="1" t="str">
        <f>HYPERLINK("http://dx.doi.org/10.1016/j.cbpb.2010.11.011","http://dx.doi.org/10.1016/j.cbpb.2010.11.011")</f>
        <v>http://dx.doi.org/10.1016/j.cbpb.2010.11.011</v>
      </c>
    </row>
    <row r="489" spans="1:9" ht="306" x14ac:dyDescent="0.15">
      <c r="A489" s="1" t="s">
        <v>9</v>
      </c>
      <c r="B489" s="5" t="s">
        <v>3471</v>
      </c>
      <c r="C489" s="1" t="s">
        <v>3472</v>
      </c>
      <c r="D489" s="1" t="s">
        <v>3473</v>
      </c>
      <c r="E489" s="1" t="s">
        <v>3474</v>
      </c>
      <c r="F489" s="1" t="s">
        <v>3475</v>
      </c>
      <c r="G489" s="1">
        <v>2012</v>
      </c>
      <c r="H489" s="1" t="s">
        <v>3476</v>
      </c>
      <c r="I489" s="1" t="str">
        <f>HYPERLINK("http://dx.doi.org/10.1111/j.1525-142X.2012.00536.x","http://dx.doi.org/10.1111/j.1525-142X.2012.00536.x")</f>
        <v>http://dx.doi.org/10.1111/j.1525-142X.2012.00536.x</v>
      </c>
    </row>
    <row r="490" spans="1:9" ht="293" x14ac:dyDescent="0.15">
      <c r="A490" s="1" t="s">
        <v>9</v>
      </c>
      <c r="B490" s="5" t="s">
        <v>1156</v>
      </c>
      <c r="C490" s="1" t="s">
        <v>1157</v>
      </c>
      <c r="D490" s="1" t="s">
        <v>344</v>
      </c>
      <c r="E490" s="1" t="s">
        <v>1158</v>
      </c>
      <c r="F490" s="1" t="s">
        <v>1159</v>
      </c>
      <c r="G490" s="1">
        <v>2024</v>
      </c>
      <c r="H490" s="1" t="s">
        <v>1160</v>
      </c>
      <c r="I490" s="1" t="str">
        <f>HYPERLINK("http://dx.doi.org/10.1021/acs.est.4c02014","http://dx.doi.org/10.1021/acs.est.4c02014")</f>
        <v>http://dx.doi.org/10.1021/acs.est.4c02014</v>
      </c>
    </row>
    <row r="491" spans="1:9" ht="280" x14ac:dyDescent="0.15">
      <c r="A491" s="1" t="s">
        <v>9</v>
      </c>
      <c r="B491" s="5" t="s">
        <v>2898</v>
      </c>
      <c r="C491" s="1" t="s">
        <v>2899</v>
      </c>
      <c r="D491" s="1" t="s">
        <v>1511</v>
      </c>
      <c r="E491" s="1" t="s">
        <v>2900</v>
      </c>
      <c r="F491" s="1" t="s">
        <v>96</v>
      </c>
      <c r="G491" s="1">
        <v>2013</v>
      </c>
      <c r="H491" s="1" t="s">
        <v>2901</v>
      </c>
      <c r="I491" s="1" t="str">
        <f>HYPERLINK("http://dx.doi.org/10.1016/j.ympev.2013.05.018","http://dx.doi.org/10.1016/j.ympev.2013.05.018")</f>
        <v>http://dx.doi.org/10.1016/j.ympev.2013.05.018</v>
      </c>
    </row>
    <row r="492" spans="1:9" ht="306" x14ac:dyDescent="0.15">
      <c r="A492" s="1" t="s">
        <v>9</v>
      </c>
      <c r="B492" s="5" t="s">
        <v>2797</v>
      </c>
      <c r="C492" s="1" t="s">
        <v>2798</v>
      </c>
      <c r="D492" s="1" t="s">
        <v>441</v>
      </c>
      <c r="E492" s="1" t="s">
        <v>2799</v>
      </c>
      <c r="F492" s="1" t="s">
        <v>56</v>
      </c>
      <c r="G492" s="1">
        <v>2024</v>
      </c>
      <c r="H492" s="1" t="s">
        <v>2800</v>
      </c>
      <c r="I492" s="1" t="str">
        <f>HYPERLINK("http://dx.doi.org/10.1016/j.ygeno.2024.110892","http://dx.doi.org/10.1016/j.ygeno.2024.110892")</f>
        <v>http://dx.doi.org/10.1016/j.ygeno.2024.110892</v>
      </c>
    </row>
    <row r="493" spans="1:9" ht="252" x14ac:dyDescent="0.15">
      <c r="A493" s="1" t="s">
        <v>9</v>
      </c>
      <c r="B493" s="5" t="s">
        <v>2481</v>
      </c>
      <c r="C493" s="1" t="s">
        <v>2482</v>
      </c>
      <c r="D493" s="1" t="s">
        <v>698</v>
      </c>
      <c r="E493" s="1" t="s">
        <v>2483</v>
      </c>
      <c r="F493" s="1" t="s">
        <v>2484</v>
      </c>
      <c r="G493" s="1">
        <v>2020</v>
      </c>
      <c r="H493" s="1" t="s">
        <v>2485</v>
      </c>
      <c r="I493" s="1" t="str">
        <f>HYPERLINK("http://dx.doi.org/10.3389/fmicb.2020.00572","http://dx.doi.org/10.3389/fmicb.2020.00572")</f>
        <v>http://dx.doi.org/10.3389/fmicb.2020.00572</v>
      </c>
    </row>
    <row r="494" spans="1:9" ht="371" x14ac:dyDescent="0.15">
      <c r="A494" s="1" t="s">
        <v>9</v>
      </c>
      <c r="B494" s="5" t="s">
        <v>2680</v>
      </c>
      <c r="C494" s="1" t="s">
        <v>2681</v>
      </c>
      <c r="D494" s="1" t="s">
        <v>2682</v>
      </c>
      <c r="E494" s="1" t="s">
        <v>2683</v>
      </c>
      <c r="F494" s="1" t="s">
        <v>11</v>
      </c>
      <c r="G494" s="1">
        <v>2020</v>
      </c>
      <c r="H494" s="1" t="s">
        <v>2684</v>
      </c>
      <c r="I494" s="1" t="str">
        <f>HYPERLINK("http://dx.doi.org/10.4149/neo_2020_191119N1187","http://dx.doi.org/10.4149/neo_2020_191119N1187")</f>
        <v>http://dx.doi.org/10.4149/neo_2020_191119N1187</v>
      </c>
    </row>
    <row r="495" spans="1:9" ht="345" x14ac:dyDescent="0.15">
      <c r="A495" s="1" t="s">
        <v>9</v>
      </c>
      <c r="B495" s="5" t="s">
        <v>1909</v>
      </c>
      <c r="C495" s="1" t="s">
        <v>1910</v>
      </c>
      <c r="D495" s="1" t="s">
        <v>1911</v>
      </c>
      <c r="E495" s="1" t="s">
        <v>1912</v>
      </c>
      <c r="F495" s="1" t="s">
        <v>33</v>
      </c>
      <c r="G495" s="1">
        <v>2022</v>
      </c>
      <c r="H495" s="1" t="s">
        <v>1913</v>
      </c>
      <c r="I495" s="1" t="str">
        <f>HYPERLINK("http://dx.doi.org/10.1053/j.gastro.2022.02.017","http://dx.doi.org/10.1053/j.gastro.2022.02.017")</f>
        <v>http://dx.doi.org/10.1053/j.gastro.2022.02.017</v>
      </c>
    </row>
    <row r="496" spans="1:9" ht="252" x14ac:dyDescent="0.15">
      <c r="A496" s="1" t="s">
        <v>9</v>
      </c>
      <c r="B496" s="5" t="s">
        <v>2985</v>
      </c>
      <c r="C496" s="1" t="s">
        <v>2986</v>
      </c>
      <c r="D496" s="1" t="s">
        <v>321</v>
      </c>
      <c r="E496" s="1" t="s">
        <v>2987</v>
      </c>
      <c r="F496" s="1" t="s">
        <v>2988</v>
      </c>
      <c r="G496" s="1">
        <v>2013</v>
      </c>
      <c r="H496" s="1" t="s">
        <v>2989</v>
      </c>
      <c r="I496" s="1" t="str">
        <f>HYPERLINK("http://dx.doi.org/10.1371/journal.pone.0075337","http://dx.doi.org/10.1371/journal.pone.0075337")</f>
        <v>http://dx.doi.org/10.1371/journal.pone.0075337</v>
      </c>
    </row>
    <row r="497" spans="1:9" ht="319" x14ac:dyDescent="0.15">
      <c r="A497" s="1" t="s">
        <v>9</v>
      </c>
      <c r="B497" s="5" t="s">
        <v>3134</v>
      </c>
      <c r="C497" s="1" t="s">
        <v>3135</v>
      </c>
      <c r="D497" s="1" t="s">
        <v>662</v>
      </c>
      <c r="E497" s="1" t="s">
        <v>3136</v>
      </c>
      <c r="F497" s="1" t="s">
        <v>62</v>
      </c>
      <c r="G497" s="1">
        <v>2015</v>
      </c>
      <c r="H497" s="1" t="s">
        <v>3137</v>
      </c>
      <c r="I497" s="1" t="str">
        <f>HYPERLINK("http://dx.doi.org/10.3390/md13053132","http://dx.doi.org/10.3390/md13053132")</f>
        <v>http://dx.doi.org/10.3390/md13053132</v>
      </c>
    </row>
    <row r="498" spans="1:9" ht="345" x14ac:dyDescent="0.15">
      <c r="A498" s="1" t="s">
        <v>9</v>
      </c>
      <c r="B498" s="5" t="s">
        <v>870</v>
      </c>
      <c r="C498" s="1" t="s">
        <v>871</v>
      </c>
      <c r="D498" s="1" t="s">
        <v>872</v>
      </c>
      <c r="E498" s="1" t="s">
        <v>873</v>
      </c>
      <c r="F498" s="1" t="s">
        <v>694</v>
      </c>
      <c r="G498" s="1">
        <v>2006</v>
      </c>
      <c r="H498" s="1" t="s">
        <v>874</v>
      </c>
      <c r="I498" s="1" t="str">
        <f>HYPERLINK("http://dx.doi.org/10.1002/cncr.22023","http://dx.doi.org/10.1002/cncr.22023")</f>
        <v>http://dx.doi.org/10.1002/cncr.22023</v>
      </c>
    </row>
    <row r="499" spans="1:9" ht="252" x14ac:dyDescent="0.15">
      <c r="A499" s="1" t="s">
        <v>9</v>
      </c>
      <c r="B499" s="5" t="s">
        <v>2661</v>
      </c>
      <c r="C499" s="1" t="s">
        <v>2662</v>
      </c>
      <c r="D499" s="1" t="s">
        <v>2663</v>
      </c>
      <c r="E499" s="1" t="s">
        <v>2664</v>
      </c>
      <c r="F499" s="1" t="s">
        <v>106</v>
      </c>
      <c r="G499" s="1">
        <v>2012</v>
      </c>
      <c r="H499" s="1" t="s">
        <v>2665</v>
      </c>
      <c r="I499" s="1" t="str">
        <f>HYPERLINK("http://dx.doi.org/10.1007/s00418-012-0915-6","http://dx.doi.org/10.1007/s00418-012-0915-6")</f>
        <v>http://dx.doi.org/10.1007/s00418-012-0915-6</v>
      </c>
    </row>
    <row r="500" spans="1:9" ht="168" x14ac:dyDescent="0.15">
      <c r="A500" s="1" t="s">
        <v>9</v>
      </c>
      <c r="B500" s="5" t="s">
        <v>3117</v>
      </c>
      <c r="C500" s="1" t="s">
        <v>3118</v>
      </c>
      <c r="D500" s="1" t="s">
        <v>2209</v>
      </c>
      <c r="E500" s="1" t="s">
        <v>3119</v>
      </c>
      <c r="F500" s="1" t="s">
        <v>2094</v>
      </c>
      <c r="G500" s="1">
        <v>2008</v>
      </c>
      <c r="H500" s="1" t="s">
        <v>3120</v>
      </c>
      <c r="I500" s="1" t="str">
        <f>HYPERLINK("http://dx.doi.org/10.1016/j.bmcl.2008.10.082","http://dx.doi.org/10.1016/j.bmcl.2008.10.082")</f>
        <v>http://dx.doi.org/10.1016/j.bmcl.2008.10.082</v>
      </c>
    </row>
    <row r="501" spans="1:9" ht="293" x14ac:dyDescent="0.15">
      <c r="A501" s="1" t="s">
        <v>9</v>
      </c>
      <c r="B501" s="5" t="s">
        <v>3598</v>
      </c>
      <c r="C501" s="1" t="s">
        <v>3599</v>
      </c>
      <c r="D501" s="1" t="s">
        <v>1358</v>
      </c>
      <c r="E501" s="1" t="s">
        <v>3600</v>
      </c>
      <c r="F501" s="1" t="s">
        <v>122</v>
      </c>
      <c r="G501" s="1">
        <v>2023</v>
      </c>
      <c r="H501" s="1" t="s">
        <v>3601</v>
      </c>
      <c r="I501" s="1" t="str">
        <f>HYPERLINK("http://dx.doi.org/10.2108/zs220075","http://dx.doi.org/10.2108/zs220075")</f>
        <v>http://dx.doi.org/10.2108/zs220075</v>
      </c>
    </row>
    <row r="502" spans="1:9" ht="224" x14ac:dyDescent="0.15">
      <c r="A502" s="1" t="s">
        <v>9</v>
      </c>
      <c r="B502" s="5" t="s">
        <v>1370</v>
      </c>
      <c r="C502" s="1" t="s">
        <v>1371</v>
      </c>
      <c r="D502" s="1" t="s">
        <v>1372</v>
      </c>
      <c r="E502" s="1" t="s">
        <v>1373</v>
      </c>
      <c r="F502" s="1" t="s">
        <v>11</v>
      </c>
      <c r="G502" s="1">
        <v>2006</v>
      </c>
      <c r="H502" s="1" t="s">
        <v>1374</v>
      </c>
      <c r="I502" s="1" t="str">
        <f>HYPERLINK("http://dx.doi.org/10.1039/b601741j","http://dx.doi.org/10.1039/b601741j")</f>
        <v>http://dx.doi.org/10.1039/b601741j</v>
      </c>
    </row>
    <row r="503" spans="1:9" ht="238" x14ac:dyDescent="0.15">
      <c r="A503" s="1" t="s">
        <v>9</v>
      </c>
      <c r="B503" s="5" t="s">
        <v>64</v>
      </c>
      <c r="C503" s="1" t="s">
        <v>65</v>
      </c>
      <c r="D503" s="1" t="s">
        <v>66</v>
      </c>
      <c r="E503" s="1" t="s">
        <v>67</v>
      </c>
      <c r="F503" s="1" t="s">
        <v>68</v>
      </c>
      <c r="G503" s="1">
        <v>2001</v>
      </c>
      <c r="H503" s="1" t="s">
        <v>69</v>
      </c>
      <c r="I503" s="1" t="str">
        <f>HYPERLINK("http://dx.doi.org/10.1023/A:1010260612109","http://dx.doi.org/10.1023/A:1010260612109")</f>
        <v>http://dx.doi.org/10.1023/A:1010260612109</v>
      </c>
    </row>
    <row r="504" spans="1:9" ht="319" x14ac:dyDescent="0.15">
      <c r="A504" s="1" t="s">
        <v>9</v>
      </c>
      <c r="B504" s="5" t="s">
        <v>2496</v>
      </c>
      <c r="C504" s="1" t="s">
        <v>2497</v>
      </c>
      <c r="D504" s="1" t="s">
        <v>344</v>
      </c>
      <c r="E504" s="1" t="s">
        <v>2498</v>
      </c>
      <c r="F504" s="1" t="s">
        <v>1648</v>
      </c>
      <c r="G504" s="1">
        <v>2021</v>
      </c>
      <c r="H504" s="1" t="s">
        <v>2499</v>
      </c>
      <c r="I504" s="1" t="str">
        <f>HYPERLINK("http://dx.doi.org/10.1021/acs.est.1c02669","http://dx.doi.org/10.1021/acs.est.1c02669")</f>
        <v>http://dx.doi.org/10.1021/acs.est.1c02669</v>
      </c>
    </row>
    <row r="505" spans="1:9" ht="210" x14ac:dyDescent="0.15">
      <c r="A505" s="1" t="s">
        <v>9</v>
      </c>
      <c r="B505" s="5" t="s">
        <v>82</v>
      </c>
      <c r="C505" s="1" t="s">
        <v>83</v>
      </c>
      <c r="D505" s="1" t="s">
        <v>84</v>
      </c>
      <c r="E505" s="1" t="s">
        <v>85</v>
      </c>
      <c r="F505" s="1" t="s">
        <v>86</v>
      </c>
      <c r="G505" s="1">
        <v>2023</v>
      </c>
      <c r="H505" s="1" t="s">
        <v>87</v>
      </c>
      <c r="I505" s="1" t="str">
        <f>HYPERLINK("http://dx.doi.org/10.1093/gbe/evad013","http://dx.doi.org/10.1093/gbe/evad013")</f>
        <v>http://dx.doi.org/10.1093/gbe/evad013</v>
      </c>
    </row>
    <row r="506" spans="1:9" ht="266" x14ac:dyDescent="0.15">
      <c r="A506" s="1" t="s">
        <v>9</v>
      </c>
      <c r="B506" s="5" t="s">
        <v>515</v>
      </c>
      <c r="C506" s="1" t="s">
        <v>516</v>
      </c>
      <c r="D506" s="1" t="s">
        <v>441</v>
      </c>
      <c r="E506" s="1" t="s">
        <v>517</v>
      </c>
      <c r="F506" s="1" t="s">
        <v>68</v>
      </c>
      <c r="G506" s="1">
        <v>2008</v>
      </c>
      <c r="H506" s="1" t="s">
        <v>518</v>
      </c>
      <c r="I506" s="1" t="str">
        <f>HYPERLINK("http://dx.doi.org/10.1016/j.ygeno.2008.03.009","http://dx.doi.org/10.1016/j.ygeno.2008.03.009")</f>
        <v>http://dx.doi.org/10.1016/j.ygeno.2008.03.009</v>
      </c>
    </row>
    <row r="507" spans="1:9" ht="306" x14ac:dyDescent="0.15">
      <c r="A507" s="1" t="s">
        <v>9</v>
      </c>
      <c r="B507" s="5" t="s">
        <v>3351</v>
      </c>
      <c r="C507" s="1" t="s">
        <v>3352</v>
      </c>
      <c r="D507" s="1" t="s">
        <v>3353</v>
      </c>
      <c r="E507" s="1" t="s">
        <v>3354</v>
      </c>
      <c r="F507" s="1" t="s">
        <v>209</v>
      </c>
      <c r="G507" s="1">
        <v>2020</v>
      </c>
      <c r="H507" s="1" t="s">
        <v>3355</v>
      </c>
      <c r="I507" s="1" t="str">
        <f>HYPERLINK("http://dx.doi.org/10.1002/minf.202000163","http://dx.doi.org/10.1002/minf.202000163")</f>
        <v>http://dx.doi.org/10.1002/minf.202000163</v>
      </c>
    </row>
    <row r="508" spans="1:9" ht="266" x14ac:dyDescent="0.15">
      <c r="A508" s="1" t="s">
        <v>9</v>
      </c>
      <c r="B508" s="5" t="s">
        <v>3088</v>
      </c>
      <c r="C508" s="1" t="s">
        <v>3089</v>
      </c>
      <c r="D508" s="1" t="s">
        <v>2718</v>
      </c>
      <c r="E508" s="1" t="s">
        <v>3090</v>
      </c>
      <c r="F508" s="1" t="s">
        <v>3091</v>
      </c>
      <c r="G508" s="1">
        <v>2013</v>
      </c>
      <c r="H508" s="1" t="s">
        <v>3092</v>
      </c>
      <c r="I508" s="1" t="str">
        <f>HYPERLINK("http://dx.doi.org/10.1074/jbc.M113.451112","http://dx.doi.org/10.1074/jbc.M113.451112")</f>
        <v>http://dx.doi.org/10.1074/jbc.M113.451112</v>
      </c>
    </row>
    <row r="509" spans="1:9" ht="266" x14ac:dyDescent="0.15">
      <c r="A509" s="1" t="s">
        <v>9</v>
      </c>
      <c r="B509" s="5" t="s">
        <v>2320</v>
      </c>
      <c r="C509" s="1" t="s">
        <v>2321</v>
      </c>
      <c r="D509" s="1" t="s">
        <v>72</v>
      </c>
      <c r="E509" s="1" t="s">
        <v>2322</v>
      </c>
      <c r="F509" s="1" t="s">
        <v>1223</v>
      </c>
      <c r="G509" s="1">
        <v>2023</v>
      </c>
      <c r="H509" s="1" t="s">
        <v>2323</v>
      </c>
      <c r="I509" s="1" t="str">
        <f>HYPERLINK("http://dx.doi.org/10.7717/peerj.14629","http://dx.doi.org/10.7717/peerj.14629")</f>
        <v>http://dx.doi.org/10.7717/peerj.14629</v>
      </c>
    </row>
    <row r="510" spans="1:9" ht="224" x14ac:dyDescent="0.15">
      <c r="A510" s="1" t="s">
        <v>9</v>
      </c>
      <c r="B510" s="5" t="s">
        <v>453</v>
      </c>
      <c r="C510" s="1" t="s">
        <v>454</v>
      </c>
      <c r="D510" s="1" t="s">
        <v>43</v>
      </c>
      <c r="E510" s="1" t="s">
        <v>455</v>
      </c>
      <c r="F510" s="1" t="s">
        <v>456</v>
      </c>
      <c r="G510" s="1">
        <v>2022</v>
      </c>
      <c r="H510" s="1" t="s">
        <v>457</v>
      </c>
      <c r="I510" s="1" t="str">
        <f>HYPERLINK("http://dx.doi.org/10.1126/sciadv.abn2258","http://dx.doi.org/10.1126/sciadv.abn2258")</f>
        <v>http://dx.doi.org/10.1126/sciadv.abn2258</v>
      </c>
    </row>
    <row r="511" spans="1:9" ht="332" x14ac:dyDescent="0.15">
      <c r="A511" s="1" t="s">
        <v>9</v>
      </c>
      <c r="B511" s="5" t="s">
        <v>2583</v>
      </c>
      <c r="C511" s="1" t="s">
        <v>2584</v>
      </c>
      <c r="D511" s="1" t="s">
        <v>2585</v>
      </c>
      <c r="E511" s="1" t="s">
        <v>2586</v>
      </c>
      <c r="F511" s="1" t="s">
        <v>21</v>
      </c>
      <c r="G511" s="1">
        <v>2005</v>
      </c>
      <c r="H511" s="1" t="s">
        <v>2587</v>
      </c>
      <c r="I511" s="1" t="str">
        <f>HYPERLINK("http://dx.doi.org/10.1128/EC.4.12.2057-2065.2005","http://dx.doi.org/10.1128/EC.4.12.2057-2065.2005")</f>
        <v>http://dx.doi.org/10.1128/EC.4.12.2057-2065.2005</v>
      </c>
    </row>
    <row r="512" spans="1:9" ht="238" x14ac:dyDescent="0.15">
      <c r="A512" s="1" t="s">
        <v>9</v>
      </c>
      <c r="B512" s="5" t="s">
        <v>114</v>
      </c>
      <c r="C512" s="1" t="s">
        <v>115</v>
      </c>
      <c r="D512" s="1" t="s">
        <v>84</v>
      </c>
      <c r="E512" s="1" t="s">
        <v>116</v>
      </c>
      <c r="F512" s="1" t="s">
        <v>56</v>
      </c>
      <c r="G512" s="1">
        <v>2020</v>
      </c>
      <c r="H512" s="1" t="s">
        <v>117</v>
      </c>
      <c r="I512" s="1" t="str">
        <f>HYPERLINK("http://dx.doi.org/10.1093/gbe/evaa181","http://dx.doi.org/10.1093/gbe/evaa181")</f>
        <v>http://dx.doi.org/10.1093/gbe/evaa181</v>
      </c>
    </row>
    <row r="513" spans="1:9" ht="266" x14ac:dyDescent="0.15">
      <c r="A513" s="1" t="s">
        <v>9</v>
      </c>
      <c r="B513" s="5" t="s">
        <v>2262</v>
      </c>
      <c r="C513" s="1" t="s">
        <v>2263</v>
      </c>
      <c r="D513" s="1" t="s">
        <v>2264</v>
      </c>
      <c r="E513" s="1" t="s">
        <v>2265</v>
      </c>
      <c r="F513" s="1" t="s">
        <v>1690</v>
      </c>
      <c r="G513" s="1">
        <v>2012</v>
      </c>
      <c r="H513" s="1" t="s">
        <v>2266</v>
      </c>
      <c r="I513" s="1" t="str">
        <f>HYPERLINK("http://dx.doi.org/10.1016/j.ydbio.2011.11.015","http://dx.doi.org/10.1016/j.ydbio.2011.11.015")</f>
        <v>http://dx.doi.org/10.1016/j.ydbio.2011.11.015</v>
      </c>
    </row>
    <row r="514" spans="1:9" ht="280" x14ac:dyDescent="0.15">
      <c r="A514" s="1" t="s">
        <v>9</v>
      </c>
      <c r="B514" s="5" t="s">
        <v>398</v>
      </c>
      <c r="C514" s="1" t="s">
        <v>399</v>
      </c>
      <c r="D514" s="1" t="s">
        <v>367</v>
      </c>
      <c r="E514" s="1" t="s">
        <v>400</v>
      </c>
      <c r="F514" s="1" t="s">
        <v>401</v>
      </c>
      <c r="G514" s="1">
        <v>2021</v>
      </c>
      <c r="H514" s="1" t="s">
        <v>402</v>
      </c>
      <c r="I514" s="1" t="str">
        <f>HYPERLINK("http://dx.doi.org/10.1016/j.jhazmat.2020.124490","http://dx.doi.org/10.1016/j.jhazmat.2020.124490")</f>
        <v>http://dx.doi.org/10.1016/j.jhazmat.2020.124490</v>
      </c>
    </row>
    <row r="515" spans="1:9" ht="319" x14ac:dyDescent="0.15">
      <c r="A515" s="1" t="s">
        <v>9</v>
      </c>
      <c r="B515" s="5" t="s">
        <v>3592</v>
      </c>
      <c r="C515" s="1" t="s">
        <v>3593</v>
      </c>
      <c r="D515" s="1" t="s">
        <v>3594</v>
      </c>
      <c r="E515" s="1" t="s">
        <v>3595</v>
      </c>
      <c r="F515" s="1" t="s">
        <v>3596</v>
      </c>
      <c r="G515" s="1">
        <v>2025</v>
      </c>
      <c r="H515" s="1" t="s">
        <v>3597</v>
      </c>
      <c r="I515" s="1" t="str">
        <f>HYPERLINK("http://dx.doi.org/10.3897/asp.83.e153079","http://dx.doi.org/10.3897/asp.83.e153079")</f>
        <v>http://dx.doi.org/10.3897/asp.83.e153079</v>
      </c>
    </row>
    <row r="516" spans="1:9" ht="397" x14ac:dyDescent="0.15">
      <c r="A516" s="1" t="s">
        <v>9</v>
      </c>
      <c r="B516" s="5" t="s">
        <v>1808</v>
      </c>
      <c r="C516" s="1" t="s">
        <v>1809</v>
      </c>
      <c r="D516" s="1" t="s">
        <v>1753</v>
      </c>
      <c r="E516" s="1" t="s">
        <v>1810</v>
      </c>
      <c r="F516" s="1" t="s">
        <v>11</v>
      </c>
      <c r="G516" s="1">
        <v>2010</v>
      </c>
      <c r="H516" s="1" t="s">
        <v>1811</v>
      </c>
      <c r="I516" s="1" t="str">
        <f>HYPERLINK("http://dx.doi.org/10.1071/IS10001","http://dx.doi.org/10.1071/IS10001")</f>
        <v>http://dx.doi.org/10.1071/IS10001</v>
      </c>
    </row>
    <row r="517" spans="1:9" ht="319" x14ac:dyDescent="0.15">
      <c r="A517" s="1" t="s">
        <v>9</v>
      </c>
      <c r="B517" s="5" t="s">
        <v>3874</v>
      </c>
      <c r="C517" s="1" t="s">
        <v>3875</v>
      </c>
      <c r="D517" s="1" t="s">
        <v>3876</v>
      </c>
      <c r="E517" s="1" t="s">
        <v>3877</v>
      </c>
      <c r="F517" s="1" t="s">
        <v>221</v>
      </c>
      <c r="G517" s="1">
        <v>2010</v>
      </c>
      <c r="H517" s="1" t="s">
        <v>3878</v>
      </c>
      <c r="I517" s="1" t="str">
        <f>HYPERLINK("http://dx.doi.org/10.1111/j.1472-4669.2009.00225.x","http://dx.doi.org/10.1111/j.1472-4669.2009.00225.x")</f>
        <v>http://dx.doi.org/10.1111/j.1472-4669.2009.00225.x</v>
      </c>
    </row>
    <row r="518" spans="1:9" ht="238" x14ac:dyDescent="0.15">
      <c r="A518" s="1" t="s">
        <v>9</v>
      </c>
      <c r="B518" s="5" t="s">
        <v>2411</v>
      </c>
      <c r="C518" s="1" t="s">
        <v>2412</v>
      </c>
      <c r="D518" s="1" t="s">
        <v>2413</v>
      </c>
      <c r="E518" s="1" t="s">
        <v>2414</v>
      </c>
      <c r="F518" s="1" t="s">
        <v>56</v>
      </c>
      <c r="G518" s="1">
        <v>2002</v>
      </c>
      <c r="H518" s="1" t="s">
        <v>2415</v>
      </c>
      <c r="I518" s="1" t="str">
        <f>HYPERLINK("http://dx.doi.org/10.1002/bies.10143","http://dx.doi.org/10.1002/bies.10143")</f>
        <v>http://dx.doi.org/10.1002/bies.10143</v>
      </c>
    </row>
    <row r="519" spans="1:9" ht="306" x14ac:dyDescent="0.15">
      <c r="A519" s="1" t="s">
        <v>9</v>
      </c>
      <c r="B519" s="5" t="s">
        <v>3938</v>
      </c>
      <c r="C519" s="1" t="s">
        <v>3939</v>
      </c>
      <c r="D519" s="1" t="s">
        <v>3940</v>
      </c>
      <c r="E519" s="1" t="s">
        <v>3941</v>
      </c>
      <c r="F519" s="1" t="s">
        <v>3942</v>
      </c>
      <c r="G519" s="1">
        <v>2025</v>
      </c>
      <c r="H519" s="1" t="s">
        <v>3943</v>
      </c>
      <c r="I519" s="1" t="str">
        <f>HYPERLINK("http://dx.doi.org/10.21769/BioProtoc.5266","http://dx.doi.org/10.21769/BioProtoc.5266")</f>
        <v>http://dx.doi.org/10.21769/BioProtoc.5266</v>
      </c>
    </row>
    <row r="520" spans="1:9" ht="266" x14ac:dyDescent="0.15">
      <c r="A520" s="1" t="s">
        <v>9</v>
      </c>
      <c r="B520" s="5" t="s">
        <v>2388</v>
      </c>
      <c r="C520" s="1" t="s">
        <v>2389</v>
      </c>
      <c r="D520" s="1" t="s">
        <v>2390</v>
      </c>
      <c r="E520" s="1" t="s">
        <v>2391</v>
      </c>
      <c r="F520" s="1" t="s">
        <v>2392</v>
      </c>
      <c r="G520" s="1">
        <v>2023</v>
      </c>
      <c r="H520" s="1" t="s">
        <v>2393</v>
      </c>
      <c r="I520" s="1" t="str">
        <f>HYPERLINK("http://dx.doi.org/10.54085/ap.2023.12.2.63","http://dx.doi.org/10.54085/ap.2023.12.2.63")</f>
        <v>http://dx.doi.org/10.54085/ap.2023.12.2.63</v>
      </c>
    </row>
    <row r="521" spans="1:9" ht="371" x14ac:dyDescent="0.15">
      <c r="A521" s="1" t="s">
        <v>9</v>
      </c>
      <c r="B521" s="5" t="s">
        <v>881</v>
      </c>
      <c r="C521" s="1" t="s">
        <v>882</v>
      </c>
      <c r="D521" s="1" t="s">
        <v>171</v>
      </c>
      <c r="E521" s="1" t="s">
        <v>883</v>
      </c>
      <c r="F521" s="1" t="s">
        <v>884</v>
      </c>
      <c r="G521" s="1">
        <v>2020</v>
      </c>
      <c r="H521" s="1" t="s">
        <v>885</v>
      </c>
      <c r="I521" s="1" t="str">
        <f>HYPERLINK("http://dx.doi.org/10.1186/s12915-020-00782-8","http://dx.doi.org/10.1186/s12915-020-00782-8")</f>
        <v>http://dx.doi.org/10.1186/s12915-020-00782-8</v>
      </c>
    </row>
    <row r="522" spans="1:9" ht="252" x14ac:dyDescent="0.15">
      <c r="A522" s="1" t="s">
        <v>9</v>
      </c>
      <c r="B522" s="5" t="s">
        <v>1477</v>
      </c>
      <c r="C522" s="1" t="s">
        <v>1478</v>
      </c>
      <c r="D522" s="1" t="s">
        <v>1479</v>
      </c>
      <c r="E522" s="1" t="s">
        <v>1480</v>
      </c>
      <c r="F522" s="1" t="s">
        <v>1481</v>
      </c>
      <c r="G522" s="1">
        <v>2024</v>
      </c>
      <c r="H522" s="1" t="s">
        <v>1482</v>
      </c>
      <c r="I522" s="1" t="str">
        <f>HYPERLINK("http://dx.doi.org/10.1093/zoolinnean/zlae102","http://dx.doi.org/10.1093/zoolinnean/zlae102")</f>
        <v>http://dx.doi.org/10.1093/zoolinnean/zlae102</v>
      </c>
    </row>
    <row r="523" spans="1:9" ht="345" x14ac:dyDescent="0.15">
      <c r="A523" s="1" t="s">
        <v>9</v>
      </c>
      <c r="B523" s="5" t="s">
        <v>1904</v>
      </c>
      <c r="C523" s="1" t="s">
        <v>1905</v>
      </c>
      <c r="D523" s="1" t="s">
        <v>1906</v>
      </c>
      <c r="E523" s="1" t="s">
        <v>1907</v>
      </c>
      <c r="F523" s="1" t="s">
        <v>68</v>
      </c>
      <c r="G523" s="1">
        <v>2013</v>
      </c>
      <c r="H523" s="1" t="s">
        <v>1908</v>
      </c>
      <c r="I523" s="1" t="str">
        <f>HYPERLINK("http://dx.doi.org/10.1002/cphy.c130007","http://dx.doi.org/10.1002/cphy.c130007")</f>
        <v>http://dx.doi.org/10.1002/cphy.c130007</v>
      </c>
    </row>
    <row r="524" spans="1:9" ht="196" x14ac:dyDescent="0.15">
      <c r="A524" s="1" t="s">
        <v>9</v>
      </c>
      <c r="B524" s="5" t="s">
        <v>1306</v>
      </c>
      <c r="C524" s="1" t="s">
        <v>1307</v>
      </c>
      <c r="D524" s="1" t="s">
        <v>1308</v>
      </c>
      <c r="E524" s="1" t="s">
        <v>1309</v>
      </c>
      <c r="F524" s="1" t="s">
        <v>11</v>
      </c>
      <c r="G524" s="1">
        <v>2025</v>
      </c>
      <c r="H524" s="1" t="s">
        <v>1310</v>
      </c>
      <c r="I524" s="1" t="str">
        <f>HYPERLINK("http://dx.doi.org/10.1016/j.csbj.2025.03.047","http://dx.doi.org/10.1016/j.csbj.2025.03.047")</f>
        <v>http://dx.doi.org/10.1016/j.csbj.2025.03.047</v>
      </c>
    </row>
    <row r="525" spans="1:9" ht="252" x14ac:dyDescent="0.15">
      <c r="A525" s="1" t="s">
        <v>9</v>
      </c>
      <c r="B525" s="5" t="s">
        <v>2048</v>
      </c>
      <c r="C525" s="1" t="s">
        <v>2049</v>
      </c>
      <c r="D525" s="1" t="s">
        <v>1090</v>
      </c>
      <c r="E525" s="1" t="s">
        <v>2050</v>
      </c>
      <c r="F525" s="1" t="s">
        <v>122</v>
      </c>
      <c r="G525" s="1">
        <v>2024</v>
      </c>
      <c r="H525" s="1" t="s">
        <v>2051</v>
      </c>
      <c r="I525" s="1" t="str">
        <f>HYPERLINK("http://dx.doi.org/10.1016/j.ijbiomac.2024.133302","http://dx.doi.org/10.1016/j.ijbiomac.2024.133302")</f>
        <v>http://dx.doi.org/10.1016/j.ijbiomac.2024.133302</v>
      </c>
    </row>
    <row r="526" spans="1:9" ht="332" x14ac:dyDescent="0.15">
      <c r="A526" s="1" t="s">
        <v>9</v>
      </c>
      <c r="B526" s="5" t="s">
        <v>1950</v>
      </c>
      <c r="C526" s="1" t="s">
        <v>1951</v>
      </c>
      <c r="D526" s="1" t="s">
        <v>1952</v>
      </c>
      <c r="E526" s="1" t="s">
        <v>1953</v>
      </c>
      <c r="F526" s="1" t="s">
        <v>106</v>
      </c>
      <c r="G526" s="1">
        <v>2019</v>
      </c>
      <c r="H526" s="1" t="s">
        <v>1954</v>
      </c>
      <c r="I526" s="1" t="str">
        <f>HYPERLINK("http://dx.doi.org/10.1002/jcp.27280","http://dx.doi.org/10.1002/jcp.27280")</f>
        <v>http://dx.doi.org/10.1002/jcp.27280</v>
      </c>
    </row>
    <row r="527" spans="1:9" ht="332" x14ac:dyDescent="0.15">
      <c r="A527" s="1" t="s">
        <v>9</v>
      </c>
      <c r="B527" s="5" t="s">
        <v>1366</v>
      </c>
      <c r="C527" s="1" t="s">
        <v>1367</v>
      </c>
      <c r="D527" s="1" t="s">
        <v>90</v>
      </c>
      <c r="E527" s="1" t="s">
        <v>1368</v>
      </c>
      <c r="F527" s="1" t="s">
        <v>21</v>
      </c>
      <c r="G527" s="1">
        <v>2024</v>
      </c>
      <c r="H527" s="1" t="s">
        <v>1369</v>
      </c>
      <c r="I527" s="1" t="str">
        <f>HYPERLINK("http://dx.doi.org/10.1016/j.cbd.2024.101277","http://dx.doi.org/10.1016/j.cbd.2024.101277")</f>
        <v>http://dx.doi.org/10.1016/j.cbd.2024.101277</v>
      </c>
    </row>
    <row r="528" spans="1:9" ht="224" x14ac:dyDescent="0.15">
      <c r="A528" s="1" t="s">
        <v>9</v>
      </c>
      <c r="B528" s="5" t="s">
        <v>646</v>
      </c>
      <c r="C528" s="1" t="s">
        <v>647</v>
      </c>
      <c r="D528" s="1" t="s">
        <v>648</v>
      </c>
      <c r="E528" s="1" t="s">
        <v>649</v>
      </c>
      <c r="F528" s="1" t="s">
        <v>56</v>
      </c>
      <c r="G528" s="1">
        <v>2019</v>
      </c>
      <c r="H528" s="1" t="s">
        <v>650</v>
      </c>
      <c r="I528" s="1" t="str">
        <f>HYPERLINK("http://dx.doi.org/10.1242/jeb.207571","http://dx.doi.org/10.1242/jeb.207571")</f>
        <v>http://dx.doi.org/10.1242/jeb.207571</v>
      </c>
    </row>
    <row r="529" spans="1:9" ht="409.6" x14ac:dyDescent="0.15">
      <c r="A529" s="1" t="s">
        <v>9</v>
      </c>
      <c r="B529" s="5" t="s">
        <v>2463</v>
      </c>
      <c r="C529" s="1" t="s">
        <v>2464</v>
      </c>
      <c r="D529" s="1" t="s">
        <v>321</v>
      </c>
      <c r="E529" s="1" t="s">
        <v>2465</v>
      </c>
      <c r="F529" s="1" t="s">
        <v>2466</v>
      </c>
      <c r="G529" s="1">
        <v>2015</v>
      </c>
      <c r="H529" s="1" t="s">
        <v>2467</v>
      </c>
      <c r="I529" s="1" t="str">
        <f>HYPERLINK("http://dx.doi.org/10.1371/journal.pone.0140341","http://dx.doi.org/10.1371/journal.pone.0140341")</f>
        <v>http://dx.doi.org/10.1371/journal.pone.0140341</v>
      </c>
    </row>
    <row r="530" spans="1:9" ht="266" x14ac:dyDescent="0.15">
      <c r="A530" s="1" t="s">
        <v>9</v>
      </c>
      <c r="B530" s="5" t="s">
        <v>2945</v>
      </c>
      <c r="C530" s="1" t="s">
        <v>2946</v>
      </c>
      <c r="D530" s="1" t="s">
        <v>2947</v>
      </c>
      <c r="E530" s="1" t="s">
        <v>2948</v>
      </c>
      <c r="F530" s="1" t="s">
        <v>221</v>
      </c>
      <c r="G530" s="1">
        <v>2012</v>
      </c>
      <c r="H530" s="1" t="s">
        <v>2949</v>
      </c>
      <c r="I530" s="1" t="str">
        <f>HYPERLINK("http://dx.doi.org/10.1093/jb/mvr118","http://dx.doi.org/10.1093/jb/mvr118")</f>
        <v>http://dx.doi.org/10.1093/jb/mvr118</v>
      </c>
    </row>
    <row r="531" spans="1:9" ht="238" x14ac:dyDescent="0.15">
      <c r="A531" s="1" t="s">
        <v>9</v>
      </c>
      <c r="B531" s="5" t="s">
        <v>2343</v>
      </c>
      <c r="C531" s="1" t="s">
        <v>2344</v>
      </c>
      <c r="D531" s="1" t="s">
        <v>2345</v>
      </c>
      <c r="E531" s="1" t="s">
        <v>2346</v>
      </c>
      <c r="F531" s="1" t="s">
        <v>96</v>
      </c>
      <c r="G531" s="1">
        <v>2023</v>
      </c>
      <c r="H531" s="1" t="s">
        <v>2347</v>
      </c>
      <c r="I531" s="1" t="str">
        <f>HYPERLINK("http://dx.doi.org/10.1016/j.zool.2023.126118","http://dx.doi.org/10.1016/j.zool.2023.126118")</f>
        <v>http://dx.doi.org/10.1016/j.zool.2023.126118</v>
      </c>
    </row>
    <row r="532" spans="1:9" ht="182" x14ac:dyDescent="0.15">
      <c r="A532" s="1" t="s">
        <v>9</v>
      </c>
      <c r="B532" s="5" t="s">
        <v>2366</v>
      </c>
      <c r="C532" s="1" t="s">
        <v>2367</v>
      </c>
      <c r="D532" s="1" t="s">
        <v>2368</v>
      </c>
      <c r="E532" s="1" t="s">
        <v>2369</v>
      </c>
      <c r="F532" s="1" t="s">
        <v>112</v>
      </c>
      <c r="G532" s="1">
        <v>2021</v>
      </c>
      <c r="H532" s="1" t="s">
        <v>2370</v>
      </c>
      <c r="I532" s="1" t="str">
        <f>HYPERLINK("http://dx.doi.org/10.1242/jcs.244749","http://dx.doi.org/10.1242/jcs.244749")</f>
        <v>http://dx.doi.org/10.1242/jcs.244749</v>
      </c>
    </row>
    <row r="533" spans="1:9" ht="384" x14ac:dyDescent="0.15">
      <c r="A533" s="1" t="s">
        <v>9</v>
      </c>
      <c r="B533" s="5" t="s">
        <v>1379</v>
      </c>
      <c r="C533" s="1" t="s">
        <v>1380</v>
      </c>
      <c r="D533" s="1" t="s">
        <v>142</v>
      </c>
      <c r="E533" s="1" t="s">
        <v>1381</v>
      </c>
      <c r="F533" s="1" t="s">
        <v>96</v>
      </c>
      <c r="G533" s="1">
        <v>2013</v>
      </c>
      <c r="H533" s="1" t="s">
        <v>1382</v>
      </c>
      <c r="I533" s="1" t="str">
        <f>HYPERLINK("http://dx.doi.org/10.1016/j.fsi.2013.06.017","http://dx.doi.org/10.1016/j.fsi.2013.06.017")</f>
        <v>http://dx.doi.org/10.1016/j.fsi.2013.06.017</v>
      </c>
    </row>
    <row r="534" spans="1:9" ht="332" x14ac:dyDescent="0.15">
      <c r="A534" s="1" t="s">
        <v>9</v>
      </c>
      <c r="B534" s="5" t="s">
        <v>2195</v>
      </c>
      <c r="C534" s="1" t="s">
        <v>2196</v>
      </c>
      <c r="D534" s="1" t="s">
        <v>1869</v>
      </c>
      <c r="E534" s="1" t="s">
        <v>2197</v>
      </c>
      <c r="F534" s="1" t="s">
        <v>112</v>
      </c>
      <c r="G534" s="1">
        <v>2001</v>
      </c>
      <c r="H534" s="1" t="s">
        <v>11</v>
      </c>
      <c r="I534" s="1" t="s">
        <v>11</v>
      </c>
    </row>
    <row r="535" spans="1:9" ht="306" x14ac:dyDescent="0.15">
      <c r="A535" s="1" t="s">
        <v>9</v>
      </c>
      <c r="B535" s="5" t="s">
        <v>3809</v>
      </c>
      <c r="C535" s="1" t="s">
        <v>3810</v>
      </c>
      <c r="D535" s="1" t="s">
        <v>3811</v>
      </c>
      <c r="E535" s="1" t="s">
        <v>3812</v>
      </c>
      <c r="F535" s="1" t="s">
        <v>3475</v>
      </c>
      <c r="G535" s="1">
        <v>2014</v>
      </c>
      <c r="H535" s="1" t="s">
        <v>3813</v>
      </c>
      <c r="I535" s="1" t="str">
        <f>HYPERLINK("http://dx.doi.org/10.2113/econgeo.109.2.513","http://dx.doi.org/10.2113/econgeo.109.2.513")</f>
        <v>http://dx.doi.org/10.2113/econgeo.109.2.513</v>
      </c>
    </row>
    <row r="536" spans="1:9" ht="154" x14ac:dyDescent="0.15">
      <c r="A536" s="1" t="s">
        <v>9</v>
      </c>
      <c r="B536" s="5" t="s">
        <v>2940</v>
      </c>
      <c r="C536" s="1" t="s">
        <v>2941</v>
      </c>
      <c r="D536" s="1" t="s">
        <v>2942</v>
      </c>
      <c r="E536" s="1" t="s">
        <v>2943</v>
      </c>
      <c r="F536" s="1" t="s">
        <v>68</v>
      </c>
      <c r="G536" s="1">
        <v>2017</v>
      </c>
      <c r="H536" s="1" t="s">
        <v>2944</v>
      </c>
      <c r="I536" s="1" t="str">
        <f>HYPERLINK("http://dx.doi.org/10.1021/acsomega.7b00417","http://dx.doi.org/10.1021/acsomega.7b00417")</f>
        <v>http://dx.doi.org/10.1021/acsomega.7b00417</v>
      </c>
    </row>
    <row r="537" spans="1:9" ht="238" x14ac:dyDescent="0.15">
      <c r="A537" s="1" t="s">
        <v>9</v>
      </c>
      <c r="B537" s="5" t="s">
        <v>3644</v>
      </c>
      <c r="C537" s="1" t="s">
        <v>3645</v>
      </c>
      <c r="D537" s="1" t="s">
        <v>3646</v>
      </c>
      <c r="E537" s="1" t="s">
        <v>3647</v>
      </c>
      <c r="F537" s="1" t="s">
        <v>221</v>
      </c>
      <c r="G537" s="1">
        <v>2010</v>
      </c>
      <c r="H537" s="1" t="s">
        <v>3648</v>
      </c>
      <c r="I537" s="1" t="str">
        <f>HYPERLINK("http://dx.doi.org/10.1002/cmdc.200900367","http://dx.doi.org/10.1002/cmdc.200900367")</f>
        <v>http://dx.doi.org/10.1002/cmdc.200900367</v>
      </c>
    </row>
    <row r="538" spans="1:9" ht="196" x14ac:dyDescent="0.15">
      <c r="A538" s="1" t="s">
        <v>9</v>
      </c>
      <c r="B538" s="5" t="s">
        <v>1551</v>
      </c>
      <c r="C538" s="1" t="s">
        <v>1552</v>
      </c>
      <c r="D538" s="1" t="s">
        <v>1553</v>
      </c>
      <c r="E538" s="1" t="s">
        <v>1554</v>
      </c>
      <c r="F538" s="1" t="s">
        <v>209</v>
      </c>
      <c r="G538" s="1">
        <v>2017</v>
      </c>
      <c r="H538" s="1" t="s">
        <v>1555</v>
      </c>
      <c r="I538" s="1" t="str">
        <f>HYPERLINK("http://dx.doi.org/10.1093/jcbiol/rux076","http://dx.doi.org/10.1093/jcbiol/rux076")</f>
        <v>http://dx.doi.org/10.1093/jcbiol/rux076</v>
      </c>
    </row>
    <row r="539" spans="1:9" ht="319" x14ac:dyDescent="0.15">
      <c r="A539" s="1" t="s">
        <v>9</v>
      </c>
      <c r="B539" s="5" t="s">
        <v>3692</v>
      </c>
      <c r="C539" s="1" t="s">
        <v>3693</v>
      </c>
      <c r="D539" s="1" t="s">
        <v>1511</v>
      </c>
      <c r="E539" s="1" t="s">
        <v>3694</v>
      </c>
      <c r="F539" s="1" t="s">
        <v>122</v>
      </c>
      <c r="G539" s="1">
        <v>2021</v>
      </c>
      <c r="H539" s="1" t="s">
        <v>3695</v>
      </c>
      <c r="I539" s="1" t="str">
        <f>HYPERLINK("http://dx.doi.org/10.1016/j.ympev.2021.107173","http://dx.doi.org/10.1016/j.ympev.2021.107173")</f>
        <v>http://dx.doi.org/10.1016/j.ympev.2021.107173</v>
      </c>
    </row>
    <row r="540" spans="1:9" ht="293" x14ac:dyDescent="0.15">
      <c r="A540" s="1" t="s">
        <v>9</v>
      </c>
      <c r="B540" s="5" t="s">
        <v>776</v>
      </c>
      <c r="C540" s="1" t="s">
        <v>777</v>
      </c>
      <c r="D540" s="1" t="s">
        <v>778</v>
      </c>
      <c r="E540" s="1" t="s">
        <v>779</v>
      </c>
      <c r="F540" s="1" t="s">
        <v>33</v>
      </c>
      <c r="G540" s="1">
        <v>2024</v>
      </c>
      <c r="H540" s="1" t="s">
        <v>780</v>
      </c>
      <c r="I540" s="1" t="str">
        <f>HYPERLINK("http://dx.doi.org/10.1136/jmg-2023-109700","http://dx.doi.org/10.1136/jmg-2023-109700")</f>
        <v>http://dx.doi.org/10.1136/jmg-2023-109700</v>
      </c>
    </row>
    <row r="541" spans="1:9" ht="293" x14ac:dyDescent="0.15">
      <c r="A541" s="1" t="s">
        <v>9</v>
      </c>
      <c r="B541" s="5" t="s">
        <v>1361</v>
      </c>
      <c r="C541" s="1" t="s">
        <v>1362</v>
      </c>
      <c r="D541" s="1" t="s">
        <v>1363</v>
      </c>
      <c r="E541" s="1" t="s">
        <v>1364</v>
      </c>
      <c r="F541" s="1" t="s">
        <v>68</v>
      </c>
      <c r="G541" s="1">
        <v>2019</v>
      </c>
      <c r="H541" s="1" t="s">
        <v>1365</v>
      </c>
      <c r="I541" s="1" t="str">
        <f>HYPERLINK("http://dx.doi.org/10.1007/s12192-019-00996-y","http://dx.doi.org/10.1007/s12192-019-00996-y")</f>
        <v>http://dx.doi.org/10.1007/s12192-019-00996-y</v>
      </c>
    </row>
    <row r="542" spans="1:9" ht="280" x14ac:dyDescent="0.15">
      <c r="A542" s="1" t="s">
        <v>9</v>
      </c>
      <c r="B542" s="5" t="s">
        <v>2248</v>
      </c>
      <c r="C542" s="1" t="s">
        <v>2249</v>
      </c>
      <c r="D542" s="1" t="s">
        <v>2250</v>
      </c>
      <c r="E542" s="1" t="s">
        <v>2251</v>
      </c>
      <c r="F542" s="1" t="s">
        <v>96</v>
      </c>
      <c r="G542" s="1">
        <v>2022</v>
      </c>
      <c r="H542" s="1" t="s">
        <v>2252</v>
      </c>
      <c r="I542" s="1" t="str">
        <f>HYPERLINK("http://dx.doi.org/10.1016/j.jid.2022.03.024","http://dx.doi.org/10.1016/j.jid.2022.03.024")</f>
        <v>http://dx.doi.org/10.1016/j.jid.2022.03.024</v>
      </c>
    </row>
    <row r="543" spans="1:9" ht="168" x14ac:dyDescent="0.15">
      <c r="A543" s="1" t="s">
        <v>9</v>
      </c>
      <c r="B543" s="5" t="s">
        <v>570</v>
      </c>
      <c r="C543" s="1" t="s">
        <v>571</v>
      </c>
      <c r="D543" s="1" t="s">
        <v>415</v>
      </c>
      <c r="E543" s="1" t="s">
        <v>572</v>
      </c>
      <c r="F543" s="1" t="s">
        <v>56</v>
      </c>
      <c r="G543" s="1">
        <v>2017</v>
      </c>
      <c r="H543" s="1" t="s">
        <v>573</v>
      </c>
      <c r="I543" s="1" t="str">
        <f>HYPERLINK("http://dx.doi.org/10.1038/NCLIMATE3374","http://dx.doi.org/10.1038/NCLIMATE3374")</f>
        <v>http://dx.doi.org/10.1038/NCLIMATE3374</v>
      </c>
    </row>
    <row r="544" spans="1:9" ht="280" x14ac:dyDescent="0.15">
      <c r="A544" s="1" t="s">
        <v>9</v>
      </c>
      <c r="B544" s="5" t="s">
        <v>2213</v>
      </c>
      <c r="C544" s="1" t="s">
        <v>2214</v>
      </c>
      <c r="D544" s="1" t="s">
        <v>526</v>
      </c>
      <c r="E544" s="1" t="s">
        <v>2215</v>
      </c>
      <c r="F544" s="1" t="s">
        <v>2216</v>
      </c>
      <c r="G544" s="1">
        <v>2016</v>
      </c>
      <c r="H544" s="1" t="s">
        <v>2217</v>
      </c>
      <c r="I544" s="1" t="str">
        <f>HYPERLINK("http://dx.doi.org/10.1186/s13072-016-0085-1","http://dx.doi.org/10.1186/s13072-016-0085-1")</f>
        <v>http://dx.doi.org/10.1186/s13072-016-0085-1</v>
      </c>
    </row>
    <row r="545" spans="1:9" ht="293" x14ac:dyDescent="0.15">
      <c r="A545" s="1" t="s">
        <v>9</v>
      </c>
      <c r="B545" s="5" t="s">
        <v>3727</v>
      </c>
      <c r="C545" s="1" t="s">
        <v>3728</v>
      </c>
      <c r="D545" s="1" t="s">
        <v>1694</v>
      </c>
      <c r="E545" s="1" t="s">
        <v>3729</v>
      </c>
      <c r="F545" s="1" t="s">
        <v>33</v>
      </c>
      <c r="G545" s="1">
        <v>2019</v>
      </c>
      <c r="H545" s="1" t="s">
        <v>3730</v>
      </c>
      <c r="I545" s="1" t="str">
        <f>HYPERLINK("http://dx.doi.org/10.1007/s12526-018-0917-2","http://dx.doi.org/10.1007/s12526-018-0917-2")</f>
        <v>http://dx.doi.org/10.1007/s12526-018-0917-2</v>
      </c>
    </row>
    <row r="546" spans="1:9" ht="293" x14ac:dyDescent="0.15">
      <c r="A546" s="1" t="s">
        <v>9</v>
      </c>
      <c r="B546" s="5" t="s">
        <v>2769</v>
      </c>
      <c r="C546" s="1" t="s">
        <v>2770</v>
      </c>
      <c r="D546" s="1" t="s">
        <v>2771</v>
      </c>
      <c r="E546" s="1" t="s">
        <v>2772</v>
      </c>
      <c r="F546" s="1" t="s">
        <v>106</v>
      </c>
      <c r="G546" s="1">
        <v>2000</v>
      </c>
      <c r="H546" s="1" t="s">
        <v>2773</v>
      </c>
      <c r="I546" s="1" t="str">
        <f>HYPERLINK("http://dx.doi.org/10.1007/s002040050656","http://dx.doi.org/10.1007/s002040050656")</f>
        <v>http://dx.doi.org/10.1007/s002040050656</v>
      </c>
    </row>
    <row r="547" spans="1:9" ht="319" x14ac:dyDescent="0.15">
      <c r="A547" s="1" t="s">
        <v>9</v>
      </c>
      <c r="B547" s="5" t="s">
        <v>160</v>
      </c>
      <c r="C547" s="1" t="s">
        <v>161</v>
      </c>
      <c r="D547" s="1" t="s">
        <v>136</v>
      </c>
      <c r="E547" s="1" t="s">
        <v>162</v>
      </c>
      <c r="F547" s="1" t="s">
        <v>62</v>
      </c>
      <c r="G547" s="1">
        <v>2022</v>
      </c>
      <c r="H547" s="1" t="s">
        <v>163</v>
      </c>
      <c r="I547" s="1" t="str">
        <f>HYPERLINK("http://dx.doi.org/10.1111/1755-0998.13542","http://dx.doi.org/10.1111/1755-0998.13542")</f>
        <v>http://dx.doi.org/10.1111/1755-0998.13542</v>
      </c>
    </row>
    <row r="548" spans="1:9" ht="252" x14ac:dyDescent="0.15">
      <c r="A548" s="1" t="s">
        <v>9</v>
      </c>
      <c r="B548" s="5" t="s">
        <v>2567</v>
      </c>
      <c r="C548" s="1" t="s">
        <v>2568</v>
      </c>
      <c r="D548" s="1" t="s">
        <v>2569</v>
      </c>
      <c r="E548" s="1" t="s">
        <v>2570</v>
      </c>
      <c r="F548" s="1" t="s">
        <v>68</v>
      </c>
      <c r="G548" s="1">
        <v>2021</v>
      </c>
      <c r="H548" s="1" t="s">
        <v>2571</v>
      </c>
      <c r="I548" s="1" t="str">
        <f>HYPERLINK("http://dx.doi.org/10.3390/pathogens10070786","http://dx.doi.org/10.3390/pathogens10070786")</f>
        <v>http://dx.doi.org/10.3390/pathogens10070786</v>
      </c>
    </row>
    <row r="549" spans="1:9" ht="293" x14ac:dyDescent="0.15">
      <c r="A549" s="1" t="s">
        <v>9</v>
      </c>
      <c r="B549" s="5" t="s">
        <v>3083</v>
      </c>
      <c r="C549" s="1" t="s">
        <v>3084</v>
      </c>
      <c r="D549" s="1" t="s">
        <v>3085</v>
      </c>
      <c r="E549" s="1" t="s">
        <v>3086</v>
      </c>
      <c r="F549" s="1" t="s">
        <v>96</v>
      </c>
      <c r="G549" s="1">
        <v>2022</v>
      </c>
      <c r="H549" s="1" t="s">
        <v>3087</v>
      </c>
      <c r="I549" s="1" t="str">
        <f>HYPERLINK("http://dx.doi.org/10.3390/cimb44100315","http://dx.doi.org/10.3390/cimb44100315")</f>
        <v>http://dx.doi.org/10.3390/cimb44100315</v>
      </c>
    </row>
    <row r="550" spans="1:9" ht="345" x14ac:dyDescent="0.15">
      <c r="A550" s="1" t="s">
        <v>9</v>
      </c>
      <c r="B550" s="5" t="s">
        <v>1292</v>
      </c>
      <c r="C550" s="1" t="s">
        <v>1293</v>
      </c>
      <c r="D550" s="1" t="s">
        <v>78</v>
      </c>
      <c r="E550" s="1" t="s">
        <v>1294</v>
      </c>
      <c r="F550" s="1" t="s">
        <v>1295</v>
      </c>
      <c r="G550" s="1">
        <v>2020</v>
      </c>
      <c r="H550" s="1" t="s">
        <v>1296</v>
      </c>
      <c r="I550" s="1" t="str">
        <f>HYPERLINK("http://dx.doi.org/10.3389/fmars.2020.00605","http://dx.doi.org/10.3389/fmars.2020.00605")</f>
        <v>http://dx.doi.org/10.3389/fmars.2020.00605</v>
      </c>
    </row>
    <row r="551" spans="1:9" ht="384" x14ac:dyDescent="0.15">
      <c r="A551" s="1" t="s">
        <v>9</v>
      </c>
      <c r="B551" s="5" t="s">
        <v>1978</v>
      </c>
      <c r="C551" s="1" t="s">
        <v>1979</v>
      </c>
      <c r="D551" s="1" t="s">
        <v>1511</v>
      </c>
      <c r="E551" s="1" t="s">
        <v>1980</v>
      </c>
      <c r="F551" s="1" t="s">
        <v>62</v>
      </c>
      <c r="G551" s="1">
        <v>2009</v>
      </c>
      <c r="H551" s="1" t="s">
        <v>1981</v>
      </c>
      <c r="I551" s="1" t="str">
        <f>HYPERLINK("http://dx.doi.org/10.1016/j.ympev.2009.01.015","http://dx.doi.org/10.1016/j.ympev.2009.01.015")</f>
        <v>http://dx.doi.org/10.1016/j.ympev.2009.01.015</v>
      </c>
    </row>
    <row r="552" spans="1:9" ht="345" x14ac:dyDescent="0.15">
      <c r="A552" s="1" t="s">
        <v>9</v>
      </c>
      <c r="B552" s="5" t="s">
        <v>954</v>
      </c>
      <c r="C552" s="1" t="s">
        <v>955</v>
      </c>
      <c r="D552" s="1" t="s">
        <v>956</v>
      </c>
      <c r="E552" s="1" t="s">
        <v>957</v>
      </c>
      <c r="F552" s="1" t="s">
        <v>68</v>
      </c>
      <c r="G552" s="1">
        <v>2025</v>
      </c>
      <c r="H552" s="1" t="s">
        <v>958</v>
      </c>
      <c r="I552" s="1" t="str">
        <f>HYPERLINK("http://dx.doi.org/10.1111/jbi.15147","http://dx.doi.org/10.1111/jbi.15147")</f>
        <v>http://dx.doi.org/10.1111/jbi.15147</v>
      </c>
    </row>
    <row r="553" spans="1:9" ht="293" x14ac:dyDescent="0.15">
      <c r="A553" s="1" t="s">
        <v>9</v>
      </c>
      <c r="B553" s="5" t="s">
        <v>2872</v>
      </c>
      <c r="C553" s="1" t="s">
        <v>2873</v>
      </c>
      <c r="D553" s="1" t="s">
        <v>2184</v>
      </c>
      <c r="E553" s="1" t="s">
        <v>2874</v>
      </c>
      <c r="F553" s="1" t="s">
        <v>106</v>
      </c>
      <c r="G553" s="1">
        <v>2020</v>
      </c>
      <c r="H553" s="1" t="s">
        <v>2875</v>
      </c>
      <c r="I553" s="1" t="str">
        <f>HYPERLINK("http://dx.doi.org/10.3390/d12040146","http://dx.doi.org/10.3390/d12040146")</f>
        <v>http://dx.doi.org/10.3390/d12040146</v>
      </c>
    </row>
    <row r="554" spans="1:9" ht="210" x14ac:dyDescent="0.15">
      <c r="A554" s="1" t="s">
        <v>9</v>
      </c>
      <c r="B554" s="5" t="s">
        <v>190</v>
      </c>
      <c r="C554" s="1" t="s">
        <v>191</v>
      </c>
      <c r="D554" s="1" t="s">
        <v>192</v>
      </c>
      <c r="E554" s="1" t="s">
        <v>193</v>
      </c>
      <c r="F554" s="1" t="s">
        <v>21</v>
      </c>
      <c r="G554" s="1">
        <v>2016</v>
      </c>
      <c r="H554" s="1" t="s">
        <v>194</v>
      </c>
      <c r="I554" s="1" t="str">
        <f>HYPERLINK("http://dx.doi.org/10.1007/s10529-016-2191-3","http://dx.doi.org/10.1007/s10529-016-2191-3")</f>
        <v>http://dx.doi.org/10.1007/s10529-016-2191-3</v>
      </c>
    </row>
    <row r="555" spans="1:9" ht="224" x14ac:dyDescent="0.15">
      <c r="A555" s="1" t="s">
        <v>9</v>
      </c>
      <c r="B555" s="5" t="s">
        <v>2531</v>
      </c>
      <c r="C555" s="1" t="s">
        <v>2532</v>
      </c>
      <c r="D555" s="1" t="s">
        <v>156</v>
      </c>
      <c r="E555" s="1" t="s">
        <v>2533</v>
      </c>
      <c r="F555" s="1" t="s">
        <v>2081</v>
      </c>
      <c r="G555" s="1">
        <v>2016</v>
      </c>
      <c r="H555" s="1" t="s">
        <v>2534</v>
      </c>
      <c r="I555" s="1" t="str">
        <f>HYPERLINK("http://dx.doi.org/10.1038/srep36758","http://dx.doi.org/10.1038/srep36758")</f>
        <v>http://dx.doi.org/10.1038/srep36758</v>
      </c>
    </row>
    <row r="556" spans="1:9" ht="371" x14ac:dyDescent="0.15">
      <c r="A556" s="1" t="s">
        <v>9</v>
      </c>
      <c r="B556" s="5" t="s">
        <v>887</v>
      </c>
      <c r="C556" s="1" t="s">
        <v>888</v>
      </c>
      <c r="D556" s="1" t="s">
        <v>889</v>
      </c>
      <c r="E556" s="1" t="s">
        <v>890</v>
      </c>
      <c r="F556" s="1" t="s">
        <v>62</v>
      </c>
      <c r="G556" s="1">
        <v>2013</v>
      </c>
      <c r="H556" s="1" t="s">
        <v>891</v>
      </c>
      <c r="I556" s="1" t="str">
        <f>HYPERLINK("http://dx.doi.org/10.1093/gerona/gls193","http://dx.doi.org/10.1093/gerona/gls193")</f>
        <v>http://dx.doi.org/10.1093/gerona/gls193</v>
      </c>
    </row>
    <row r="557" spans="1:9" ht="319" x14ac:dyDescent="0.15">
      <c r="A557" s="1" t="s">
        <v>9</v>
      </c>
      <c r="B557" s="5" t="s">
        <v>786</v>
      </c>
      <c r="C557" s="1" t="s">
        <v>787</v>
      </c>
      <c r="D557" s="1" t="s">
        <v>372</v>
      </c>
      <c r="E557" s="1" t="s">
        <v>788</v>
      </c>
      <c r="F557" s="1" t="s">
        <v>694</v>
      </c>
      <c r="G557" s="1">
        <v>2024</v>
      </c>
      <c r="H557" s="1" t="s">
        <v>789</v>
      </c>
      <c r="I557" s="1" t="str">
        <f>HYPERLINK("http://dx.doi.org/10.1038/s41467-024-50239-7","http://dx.doi.org/10.1038/s41467-024-50239-7")</f>
        <v>http://dx.doi.org/10.1038/s41467-024-50239-7</v>
      </c>
    </row>
    <row r="558" spans="1:9" ht="293" x14ac:dyDescent="0.15">
      <c r="A558" s="1" t="s">
        <v>9</v>
      </c>
      <c r="B558" s="5" t="s">
        <v>1320</v>
      </c>
      <c r="C558" s="1" t="s">
        <v>1321</v>
      </c>
      <c r="D558" s="1" t="s">
        <v>84</v>
      </c>
      <c r="E558" s="1" t="s">
        <v>1322</v>
      </c>
      <c r="F558" s="1" t="s">
        <v>138</v>
      </c>
      <c r="G558" s="1">
        <v>2018</v>
      </c>
      <c r="H558" s="1" t="s">
        <v>1323</v>
      </c>
      <c r="I558" s="1" t="str">
        <f>HYPERLINK("http://dx.doi.org/10.1093/gbe/evy003","http://dx.doi.org/10.1093/gbe/evy003")</f>
        <v>http://dx.doi.org/10.1093/gbe/evy003</v>
      </c>
    </row>
    <row r="559" spans="1:9" ht="409.6" x14ac:dyDescent="0.15">
      <c r="A559" s="1" t="s">
        <v>9</v>
      </c>
      <c r="B559" s="5" t="s">
        <v>925</v>
      </c>
      <c r="C559" s="1" t="s">
        <v>926</v>
      </c>
      <c r="D559" s="1" t="s">
        <v>311</v>
      </c>
      <c r="E559" s="1" t="s">
        <v>927</v>
      </c>
      <c r="F559" s="1" t="s">
        <v>21</v>
      </c>
      <c r="G559" s="1">
        <v>2021</v>
      </c>
      <c r="H559" s="1" t="s">
        <v>928</v>
      </c>
      <c r="I559" s="1" t="str">
        <f>HYPERLINK("http://dx.doi.org/10.2983/035.040.0313","http://dx.doi.org/10.2983/035.040.0313")</f>
        <v>http://dx.doi.org/10.2983/035.040.0313</v>
      </c>
    </row>
    <row r="560" spans="1:9" ht="409.6" x14ac:dyDescent="0.15">
      <c r="A560" s="1" t="s">
        <v>9</v>
      </c>
      <c r="B560" s="5" t="s">
        <v>2508</v>
      </c>
      <c r="C560" s="1" t="s">
        <v>2509</v>
      </c>
      <c r="D560" s="1" t="s">
        <v>1511</v>
      </c>
      <c r="E560" s="1" t="s">
        <v>2510</v>
      </c>
      <c r="F560" s="1" t="s">
        <v>138</v>
      </c>
      <c r="G560" s="1">
        <v>2017</v>
      </c>
      <c r="H560" s="1" t="s">
        <v>2511</v>
      </c>
      <c r="I560" s="1" t="str">
        <f>HYPERLINK("http://dx.doi.org/10.1016/j.ympev.2016.10.009","http://dx.doi.org/10.1016/j.ympev.2016.10.009")</f>
        <v>http://dx.doi.org/10.1016/j.ympev.2016.10.009</v>
      </c>
    </row>
    <row r="561" spans="1:9" ht="293" x14ac:dyDescent="0.15">
      <c r="A561" s="1" t="s">
        <v>9</v>
      </c>
      <c r="B561" s="5" t="s">
        <v>2539</v>
      </c>
      <c r="C561" s="1" t="s">
        <v>2540</v>
      </c>
      <c r="D561" s="1" t="s">
        <v>1231</v>
      </c>
      <c r="E561" s="1" t="s">
        <v>2541</v>
      </c>
      <c r="F561" s="1" t="s">
        <v>2542</v>
      </c>
      <c r="G561" s="1">
        <v>2015</v>
      </c>
      <c r="H561" s="1" t="s">
        <v>2543</v>
      </c>
      <c r="I561" s="1" t="str">
        <f>HYPERLINK("http://dx.doi.org/10.1016/j.gene.2014.11.008","http://dx.doi.org/10.1016/j.gene.2014.11.008")</f>
        <v>http://dx.doi.org/10.1016/j.gene.2014.11.008</v>
      </c>
    </row>
    <row r="562" spans="1:9" ht="306" x14ac:dyDescent="0.15">
      <c r="A562" s="1" t="s">
        <v>9</v>
      </c>
      <c r="B562" s="5" t="s">
        <v>2624</v>
      </c>
      <c r="C562" s="1" t="s">
        <v>2625</v>
      </c>
      <c r="D562" s="1" t="s">
        <v>2626</v>
      </c>
      <c r="E562" s="1" t="s">
        <v>2627</v>
      </c>
      <c r="F562" s="1" t="s">
        <v>489</v>
      </c>
      <c r="G562" s="1">
        <v>2020</v>
      </c>
      <c r="H562" s="1" t="s">
        <v>2628</v>
      </c>
      <c r="I562" s="1" t="str">
        <f>HYPERLINK("http://dx.doi.org/10.1016/j.bmc.2019.115279","http://dx.doi.org/10.1016/j.bmc.2019.115279")</f>
        <v>http://dx.doi.org/10.1016/j.bmc.2019.115279</v>
      </c>
    </row>
    <row r="563" spans="1:9" ht="319" x14ac:dyDescent="0.15">
      <c r="A563" s="1" t="s">
        <v>9</v>
      </c>
      <c r="B563" s="5" t="s">
        <v>761</v>
      </c>
      <c r="C563" s="1" t="s">
        <v>762</v>
      </c>
      <c r="D563" s="1" t="s">
        <v>763</v>
      </c>
      <c r="E563" s="1" t="s">
        <v>764</v>
      </c>
      <c r="F563" s="1" t="s">
        <v>33</v>
      </c>
      <c r="G563" s="1">
        <v>2016</v>
      </c>
      <c r="H563" s="1" t="s">
        <v>765</v>
      </c>
      <c r="I563" s="1" t="str">
        <f>HYPERLINK("http://dx.doi.org/10.1093/toxsci/kfw053","http://dx.doi.org/10.1093/toxsci/kfw053")</f>
        <v>http://dx.doi.org/10.1093/toxsci/kfw053</v>
      </c>
    </row>
    <row r="564" spans="1:9" ht="306" x14ac:dyDescent="0.15">
      <c r="A564" s="1" t="s">
        <v>9</v>
      </c>
      <c r="B564" s="5" t="s">
        <v>1084</v>
      </c>
      <c r="C564" s="1" t="s">
        <v>1085</v>
      </c>
      <c r="D564" s="1" t="s">
        <v>634</v>
      </c>
      <c r="E564" s="1" t="s">
        <v>1086</v>
      </c>
      <c r="F564" s="1" t="s">
        <v>96</v>
      </c>
      <c r="G564" s="1">
        <v>2025</v>
      </c>
      <c r="H564" s="1" t="s">
        <v>1087</v>
      </c>
      <c r="I564" s="1" t="str">
        <f>HYPERLINK("http://dx.doi.org/10.1093/icb/icaf138","http://dx.doi.org/10.1093/icb/icaf138")</f>
        <v>http://dx.doi.org/10.1093/icb/icaf138</v>
      </c>
    </row>
    <row r="565" spans="1:9" ht="266" x14ac:dyDescent="0.15">
      <c r="A565" s="1" t="s">
        <v>9</v>
      </c>
      <c r="B565" s="5" t="s">
        <v>701</v>
      </c>
      <c r="C565" s="1" t="s">
        <v>702</v>
      </c>
      <c r="D565" s="1" t="s">
        <v>311</v>
      </c>
      <c r="E565" s="1" t="s">
        <v>703</v>
      </c>
      <c r="F565" s="1" t="s">
        <v>21</v>
      </c>
      <c r="G565" s="1">
        <v>2019</v>
      </c>
      <c r="H565" s="1" t="s">
        <v>704</v>
      </c>
      <c r="I565" s="1" t="str">
        <f>HYPERLINK("http://dx.doi.org/10.2983/035.038.0325","http://dx.doi.org/10.2983/035.038.0325")</f>
        <v>http://dx.doi.org/10.2983/035.038.0325</v>
      </c>
    </row>
    <row r="566" spans="1:9" ht="266" x14ac:dyDescent="0.15">
      <c r="A566" s="1" t="s">
        <v>9</v>
      </c>
      <c r="B566" s="5" t="s">
        <v>10</v>
      </c>
      <c r="C566" s="1" t="s">
        <v>12</v>
      </c>
      <c r="D566" s="1" t="s">
        <v>13</v>
      </c>
      <c r="E566" s="1" t="s">
        <v>14</v>
      </c>
      <c r="F566" s="1" t="s">
        <v>11</v>
      </c>
      <c r="G566" s="1">
        <v>2018</v>
      </c>
      <c r="H566" s="1" t="s">
        <v>16</v>
      </c>
      <c r="I566" s="1" t="str">
        <f>HYPERLINK("http://dx.doi.org/10.1590/1678-4685-GMB-2017-0056","http://dx.doi.org/10.1590/1678-4685-GMB-2017-0056")</f>
        <v>http://dx.doi.org/10.1590/1678-4685-GMB-2017-0056</v>
      </c>
    </row>
    <row r="567" spans="1:9" ht="306" x14ac:dyDescent="0.15">
      <c r="A567" s="1" t="s">
        <v>9</v>
      </c>
      <c r="B567" s="5" t="s">
        <v>747</v>
      </c>
      <c r="C567" s="1" t="s">
        <v>748</v>
      </c>
      <c r="D567" s="1" t="s">
        <v>580</v>
      </c>
      <c r="E567" s="1" t="s">
        <v>749</v>
      </c>
      <c r="F567" s="1" t="s">
        <v>33</v>
      </c>
      <c r="G567" s="1">
        <v>2025</v>
      </c>
      <c r="H567" s="1" t="s">
        <v>750</v>
      </c>
      <c r="I567" s="1" t="str">
        <f>HYPERLINK("http://dx.doi.org/10.1016/j.marpolbul.2025.117866","http://dx.doi.org/10.1016/j.marpolbul.2025.117866")</f>
        <v>http://dx.doi.org/10.1016/j.marpolbul.2025.117866</v>
      </c>
    </row>
    <row r="568" spans="1:9" ht="266" x14ac:dyDescent="0.15">
      <c r="A568" s="1" t="s">
        <v>9</v>
      </c>
      <c r="B568" s="5" t="s">
        <v>714</v>
      </c>
      <c r="C568" s="1" t="s">
        <v>715</v>
      </c>
      <c r="D568" s="1" t="s">
        <v>716</v>
      </c>
      <c r="E568" s="1" t="s">
        <v>717</v>
      </c>
      <c r="F568" s="1" t="s">
        <v>68</v>
      </c>
      <c r="G568" s="1">
        <v>2019</v>
      </c>
      <c r="H568" s="1" t="s">
        <v>718</v>
      </c>
      <c r="I568" s="1" t="str">
        <f>HYPERLINK("http://dx.doi.org/10.1016/j.jcz.2019.06.006","http://dx.doi.org/10.1016/j.jcz.2019.06.006")</f>
        <v>http://dx.doi.org/10.1016/j.jcz.2019.06.006</v>
      </c>
    </row>
    <row r="569" spans="1:9" ht="280" x14ac:dyDescent="0.15">
      <c r="A569" s="1" t="s">
        <v>9</v>
      </c>
      <c r="B569" s="5" t="s">
        <v>732</v>
      </c>
      <c r="C569" s="1" t="s">
        <v>733</v>
      </c>
      <c r="D569" s="1" t="s">
        <v>734</v>
      </c>
      <c r="E569" s="1" t="s">
        <v>735</v>
      </c>
      <c r="F569" s="1" t="s">
        <v>736</v>
      </c>
      <c r="G569" s="1">
        <v>2015</v>
      </c>
      <c r="H569" s="1" t="s">
        <v>737</v>
      </c>
      <c r="I569" s="1" t="str">
        <f>HYPERLINK("http://dx.doi.org/10.1242/bio.014241","http://dx.doi.org/10.1242/bio.014241")</f>
        <v>http://dx.doi.org/10.1242/bio.014241</v>
      </c>
    </row>
    <row r="570" spans="1:9" ht="252" x14ac:dyDescent="0.15">
      <c r="A570" s="1" t="s">
        <v>9</v>
      </c>
      <c r="B570" s="5" t="s">
        <v>1467</v>
      </c>
      <c r="C570" s="1" t="s">
        <v>1468</v>
      </c>
      <c r="D570" s="1" t="s">
        <v>48</v>
      </c>
      <c r="E570" s="1" t="s">
        <v>1469</v>
      </c>
      <c r="F570" s="1" t="s">
        <v>1470</v>
      </c>
      <c r="G570" s="1">
        <v>2009</v>
      </c>
      <c r="H570" s="1" t="s">
        <v>1471</v>
      </c>
      <c r="I570" s="1" t="str">
        <f>HYPERLINK("http://dx.doi.org/10.1186/1471-2164-10-627","http://dx.doi.org/10.1186/1471-2164-10-627")</f>
        <v>http://dx.doi.org/10.1186/1471-2164-10-627</v>
      </c>
    </row>
    <row r="571" spans="1:9" ht="345" x14ac:dyDescent="0.15">
      <c r="A571" s="1" t="s">
        <v>9</v>
      </c>
      <c r="B571" s="5" t="s">
        <v>2572</v>
      </c>
      <c r="C571" s="1" t="s">
        <v>2573</v>
      </c>
      <c r="D571" s="1" t="s">
        <v>2574</v>
      </c>
      <c r="E571" s="1" t="s">
        <v>2575</v>
      </c>
      <c r="F571" s="1" t="s">
        <v>96</v>
      </c>
      <c r="G571" s="1">
        <v>2025</v>
      </c>
      <c r="H571" s="1" t="s">
        <v>2576</v>
      </c>
      <c r="I571" s="1" t="str">
        <f>HYPERLINK("http://dx.doi.org/10.1093/biolre/ioaf138","http://dx.doi.org/10.1093/biolre/ioaf138")</f>
        <v>http://dx.doi.org/10.1093/biolre/ioaf138</v>
      </c>
    </row>
    <row r="572" spans="1:9" ht="266" x14ac:dyDescent="0.15">
      <c r="A572" s="1" t="s">
        <v>9</v>
      </c>
      <c r="B572" s="5" t="s">
        <v>1462</v>
      </c>
      <c r="C572" s="1" t="s">
        <v>1463</v>
      </c>
      <c r="D572" s="1" t="s">
        <v>1464</v>
      </c>
      <c r="E572" s="1" t="s">
        <v>1465</v>
      </c>
      <c r="F572" s="1" t="s">
        <v>221</v>
      </c>
      <c r="G572" s="1">
        <v>2022</v>
      </c>
      <c r="H572" s="1" t="s">
        <v>1466</v>
      </c>
      <c r="I572" s="1" t="str">
        <f>HYPERLINK("http://dx.doi.org/10.1002/ecy.3565","http://dx.doi.org/10.1002/ecy.3565")</f>
        <v>http://dx.doi.org/10.1002/ecy.3565</v>
      </c>
    </row>
    <row r="573" spans="1:9" ht="409.6" x14ac:dyDescent="0.15">
      <c r="A573" s="1" t="s">
        <v>9</v>
      </c>
      <c r="B573" s="5" t="s">
        <v>901</v>
      </c>
      <c r="C573" s="1" t="s">
        <v>902</v>
      </c>
      <c r="D573" s="1" t="s">
        <v>903</v>
      </c>
      <c r="E573" s="1" t="s">
        <v>904</v>
      </c>
      <c r="F573" s="1" t="s">
        <v>11</v>
      </c>
      <c r="G573" s="1">
        <v>2012</v>
      </c>
      <c r="H573" s="1" t="s">
        <v>905</v>
      </c>
      <c r="I573" s="1" t="str">
        <f>HYPERLINK("http://dx.doi.org/10.4137/EBO.S8540","http://dx.doi.org/10.4137/EBO.S8540")</f>
        <v>http://dx.doi.org/10.4137/EBO.S8540</v>
      </c>
    </row>
    <row r="574" spans="1:9" ht="210" x14ac:dyDescent="0.15">
      <c r="A574" s="1" t="s">
        <v>9</v>
      </c>
      <c r="B574" s="5" t="s">
        <v>2845</v>
      </c>
      <c r="C574" s="1" t="s">
        <v>2846</v>
      </c>
      <c r="D574" s="1" t="s">
        <v>2847</v>
      </c>
      <c r="E574" s="1" t="s">
        <v>2848</v>
      </c>
      <c r="F574" s="1" t="s">
        <v>11</v>
      </c>
      <c r="G574" s="1">
        <v>2019</v>
      </c>
      <c r="H574" s="1" t="s">
        <v>11</v>
      </c>
      <c r="I574" s="1" t="s">
        <v>11</v>
      </c>
    </row>
    <row r="575" spans="1:9" ht="306" x14ac:dyDescent="0.15">
      <c r="A575" s="1" t="s">
        <v>9</v>
      </c>
      <c r="B575" s="5" t="s">
        <v>3467</v>
      </c>
      <c r="C575" s="1" t="s">
        <v>3468</v>
      </c>
      <c r="D575" s="1" t="s">
        <v>2999</v>
      </c>
      <c r="E575" s="1" t="s">
        <v>3469</v>
      </c>
      <c r="F575" s="1" t="s">
        <v>221</v>
      </c>
      <c r="G575" s="1">
        <v>2024</v>
      </c>
      <c r="H575" s="1" t="s">
        <v>3470</v>
      </c>
      <c r="I575" s="1" t="str">
        <f>HYPERLINK("http://dx.doi.org/10.1007/s00343-023-2403-3","http://dx.doi.org/10.1007/s00343-023-2403-3")</f>
        <v>http://dx.doi.org/10.1007/s00343-023-2403-3</v>
      </c>
    </row>
    <row r="576" spans="1:9" ht="332" x14ac:dyDescent="0.15">
      <c r="A576" s="1" t="s">
        <v>9</v>
      </c>
      <c r="B576" s="5" t="s">
        <v>3824</v>
      </c>
      <c r="C576" s="1" t="s">
        <v>3825</v>
      </c>
      <c r="D576" s="1" t="s">
        <v>3826</v>
      </c>
      <c r="E576" s="1" t="s">
        <v>3827</v>
      </c>
      <c r="F576" s="1" t="s">
        <v>3716</v>
      </c>
      <c r="G576" s="1">
        <v>2024</v>
      </c>
      <c r="H576" s="1" t="s">
        <v>3828</v>
      </c>
      <c r="I576" s="1" t="str">
        <f>HYPERLINK("http://dx.doi.org/10.1038/s41698-024-00503-2","http://dx.doi.org/10.1038/s41698-024-00503-2")</f>
        <v>http://dx.doi.org/10.1038/s41698-024-00503-2</v>
      </c>
    </row>
    <row r="577" spans="1:9" ht="409.6" x14ac:dyDescent="0.15">
      <c r="A577" s="1" t="s">
        <v>9</v>
      </c>
      <c r="B577" s="5" t="s">
        <v>2774</v>
      </c>
      <c r="C577" s="1" t="s">
        <v>2775</v>
      </c>
      <c r="D577" s="1" t="s">
        <v>90</v>
      </c>
      <c r="E577" s="1" t="s">
        <v>2776</v>
      </c>
      <c r="F577" s="1" t="s">
        <v>33</v>
      </c>
      <c r="G577" s="1">
        <v>2025</v>
      </c>
      <c r="H577" s="1" t="s">
        <v>2777</v>
      </c>
      <c r="I577" s="1" t="str">
        <f>HYPERLINK("http://dx.doi.org/10.1016/j.cbd.2025.101427","http://dx.doi.org/10.1016/j.cbd.2025.101427")</f>
        <v>http://dx.doi.org/10.1016/j.cbd.2025.101427</v>
      </c>
    </row>
    <row r="578" spans="1:9" ht="293" x14ac:dyDescent="0.15">
      <c r="A578" s="1" t="s">
        <v>9</v>
      </c>
      <c r="B578" s="5" t="s">
        <v>1566</v>
      </c>
      <c r="C578" s="1" t="s">
        <v>1567</v>
      </c>
      <c r="D578" s="1" t="s">
        <v>595</v>
      </c>
      <c r="E578" s="1" t="s">
        <v>1568</v>
      </c>
      <c r="F578" s="1" t="s">
        <v>1569</v>
      </c>
      <c r="G578" s="1">
        <v>2022</v>
      </c>
      <c r="H578" s="1" t="s">
        <v>1570</v>
      </c>
      <c r="I578" s="1" t="str">
        <f>HYPERLINK("http://dx.doi.org/10.1186/s12859-022-05118-7","http://dx.doi.org/10.1186/s12859-022-05118-7")</f>
        <v>http://dx.doi.org/10.1186/s12859-022-05118-7</v>
      </c>
    </row>
    <row r="579" spans="1:9" ht="358" x14ac:dyDescent="0.15">
      <c r="A579" s="1" t="s">
        <v>9</v>
      </c>
      <c r="B579" s="5" t="s">
        <v>46</v>
      </c>
      <c r="C579" s="1" t="s">
        <v>47</v>
      </c>
      <c r="D579" s="1" t="s">
        <v>48</v>
      </c>
      <c r="E579" s="1" t="s">
        <v>49</v>
      </c>
      <c r="F579" s="1" t="s">
        <v>50</v>
      </c>
      <c r="G579" s="1">
        <v>2014</v>
      </c>
      <c r="H579" s="1" t="s">
        <v>51</v>
      </c>
      <c r="I579" s="1" t="str">
        <f>HYPERLINK("http://dx.doi.org/10.1186/1471-2164-15-1119","http://dx.doi.org/10.1186/1471-2164-15-1119")</f>
        <v>http://dx.doi.org/10.1186/1471-2164-15-1119</v>
      </c>
    </row>
    <row r="580" spans="1:9" ht="266" x14ac:dyDescent="0.15">
      <c r="A580" s="1" t="s">
        <v>9</v>
      </c>
      <c r="B580" s="5" t="s">
        <v>293</v>
      </c>
      <c r="C580" s="1" t="s">
        <v>294</v>
      </c>
      <c r="D580" s="1" t="s">
        <v>295</v>
      </c>
      <c r="E580" s="1" t="s">
        <v>296</v>
      </c>
      <c r="F580" s="1" t="s">
        <v>56</v>
      </c>
      <c r="G580" s="1">
        <v>2023</v>
      </c>
      <c r="H580" s="1" t="s">
        <v>297</v>
      </c>
      <c r="I580" s="1" t="str">
        <f>HYPERLINK("http://dx.doi.org/10.1016/j.intimp.2023.110549","http://dx.doi.org/10.1016/j.intimp.2023.110549")</f>
        <v>http://dx.doi.org/10.1016/j.intimp.2023.110549</v>
      </c>
    </row>
    <row r="581" spans="1:9" ht="345" x14ac:dyDescent="0.15">
      <c r="A581" s="1" t="s">
        <v>9</v>
      </c>
      <c r="B581" s="5" t="s">
        <v>258</v>
      </c>
      <c r="C581" s="1" t="s">
        <v>259</v>
      </c>
      <c r="D581" s="1" t="s">
        <v>260</v>
      </c>
      <c r="E581" s="1" t="s">
        <v>261</v>
      </c>
      <c r="F581" s="1" t="s">
        <v>262</v>
      </c>
      <c r="G581" s="1">
        <v>2026</v>
      </c>
      <c r="H581" s="1" t="s">
        <v>263</v>
      </c>
      <c r="I581" s="1" t="str">
        <f>HYPERLINK("http://dx.doi.org/10.1016/j.aquaculture.2025.743153","http://dx.doi.org/10.1016/j.aquaculture.2025.743153")</f>
        <v>http://dx.doi.org/10.1016/j.aquaculture.2025.743153</v>
      </c>
    </row>
    <row r="582" spans="1:9" ht="345" x14ac:dyDescent="0.15">
      <c r="A582" s="1" t="s">
        <v>9</v>
      </c>
      <c r="B582" s="5" t="s">
        <v>2596</v>
      </c>
      <c r="C582" s="1" t="s">
        <v>2597</v>
      </c>
      <c r="D582" s="1" t="s">
        <v>2598</v>
      </c>
      <c r="E582" s="1" t="s">
        <v>2599</v>
      </c>
      <c r="F582" s="1" t="s">
        <v>68</v>
      </c>
      <c r="G582" s="1">
        <v>2020</v>
      </c>
      <c r="H582" s="1" t="s">
        <v>2600</v>
      </c>
      <c r="I582" s="1" t="str">
        <f>HYPERLINK("http://dx.doi.org/10.1002/jcla.23359","http://dx.doi.org/10.1002/jcla.23359")</f>
        <v>http://dx.doi.org/10.1002/jcla.23359</v>
      </c>
    </row>
    <row r="583" spans="1:9" ht="409.6" x14ac:dyDescent="0.15">
      <c r="A583" s="1" t="s">
        <v>9</v>
      </c>
      <c r="B583" s="5" t="s">
        <v>2997</v>
      </c>
      <c r="C583" s="1" t="s">
        <v>2998</v>
      </c>
      <c r="D583" s="1" t="s">
        <v>2999</v>
      </c>
      <c r="E583" s="1" t="s">
        <v>3000</v>
      </c>
      <c r="F583" s="1" t="s">
        <v>62</v>
      </c>
      <c r="G583" s="1">
        <v>2022</v>
      </c>
      <c r="H583" s="1" t="s">
        <v>3001</v>
      </c>
      <c r="I583" s="1" t="str">
        <f>HYPERLINK("http://dx.doi.org/10.1007/s00343-021-1068-z","http://dx.doi.org/10.1007/s00343-021-1068-z")</f>
        <v>http://dx.doi.org/10.1007/s00343-021-1068-z</v>
      </c>
    </row>
    <row r="584" spans="1:9" ht="126" x14ac:dyDescent="0.15">
      <c r="A584" s="1" t="s">
        <v>9</v>
      </c>
      <c r="B584" s="5" t="s">
        <v>2440</v>
      </c>
      <c r="C584" s="1" t="s">
        <v>2441</v>
      </c>
      <c r="D584" s="1" t="s">
        <v>2442</v>
      </c>
      <c r="E584" s="1" t="s">
        <v>2443</v>
      </c>
      <c r="F584" s="1" t="s">
        <v>106</v>
      </c>
      <c r="G584" s="1">
        <v>2010</v>
      </c>
      <c r="H584" s="1" t="s">
        <v>2444</v>
      </c>
      <c r="I584" s="1" t="str">
        <f>HYPERLINK("http://dx.doi.org/10.1021/np900526y","http://dx.doi.org/10.1021/np900526y")</f>
        <v>http://dx.doi.org/10.1021/np900526y</v>
      </c>
    </row>
    <row r="585" spans="1:9" ht="293" x14ac:dyDescent="0.15">
      <c r="A585" s="1" t="s">
        <v>9</v>
      </c>
      <c r="B585" s="5" t="s">
        <v>2517</v>
      </c>
      <c r="C585" s="1" t="s">
        <v>2518</v>
      </c>
      <c r="D585" s="1" t="s">
        <v>2502</v>
      </c>
      <c r="E585" s="1" t="s">
        <v>2519</v>
      </c>
      <c r="F585" s="1" t="s">
        <v>56</v>
      </c>
      <c r="G585" s="1">
        <v>2023</v>
      </c>
      <c r="H585" s="1" t="s">
        <v>2520</v>
      </c>
      <c r="I585" s="1" t="str">
        <f>HYPERLINK("http://dx.doi.org/10.1111/dgd.12875","http://dx.doi.org/10.1111/dgd.12875")</f>
        <v>http://dx.doi.org/10.1111/dgd.12875</v>
      </c>
    </row>
    <row r="586" spans="1:9" ht="306" x14ac:dyDescent="0.15">
      <c r="A586" s="1" t="s">
        <v>9</v>
      </c>
      <c r="B586" s="5" t="s">
        <v>2083</v>
      </c>
      <c r="C586" s="1" t="s">
        <v>2084</v>
      </c>
      <c r="D586" s="1" t="s">
        <v>1479</v>
      </c>
      <c r="E586" s="1" t="s">
        <v>2085</v>
      </c>
      <c r="F586" s="1" t="s">
        <v>122</v>
      </c>
      <c r="G586" s="1">
        <v>2016</v>
      </c>
      <c r="H586" s="1" t="s">
        <v>2086</v>
      </c>
      <c r="I586" s="1" t="str">
        <f>HYPERLINK("http://dx.doi.org/10.1111/zoj.12390","http://dx.doi.org/10.1111/zoj.12390")</f>
        <v>http://dx.doi.org/10.1111/zoj.12390</v>
      </c>
    </row>
    <row r="587" spans="1:9" ht="280" x14ac:dyDescent="0.15">
      <c r="A587" s="1" t="s">
        <v>9</v>
      </c>
      <c r="B587" s="5" t="s">
        <v>1440</v>
      </c>
      <c r="C587" s="1" t="s">
        <v>1441</v>
      </c>
      <c r="D587" s="1" t="s">
        <v>1442</v>
      </c>
      <c r="E587" s="1" t="s">
        <v>1443</v>
      </c>
      <c r="F587" s="1" t="s">
        <v>1444</v>
      </c>
      <c r="G587" s="1">
        <v>2020</v>
      </c>
      <c r="H587" s="1" t="s">
        <v>1445</v>
      </c>
      <c r="I587" s="1" t="str">
        <f>HYPERLINK("http://dx.doi.org/10.1080/14772000.2020.1729891","http://dx.doi.org/10.1080/14772000.2020.1729891")</f>
        <v>http://dx.doi.org/10.1080/14772000.2020.1729891</v>
      </c>
    </row>
    <row r="588" spans="1:9" ht="397" x14ac:dyDescent="0.15">
      <c r="A588" s="1" t="s">
        <v>9</v>
      </c>
      <c r="B588" s="5" t="s">
        <v>3263</v>
      </c>
      <c r="C588" s="1" t="s">
        <v>3264</v>
      </c>
      <c r="D588" s="1" t="s">
        <v>186</v>
      </c>
      <c r="E588" s="1" t="s">
        <v>3265</v>
      </c>
      <c r="F588" s="1" t="s">
        <v>112</v>
      </c>
      <c r="G588" s="1">
        <v>2018</v>
      </c>
      <c r="H588" s="1" t="s">
        <v>3266</v>
      </c>
      <c r="I588" s="1" t="str">
        <f>HYPERLINK("http://dx.doi.org/10.1016/j.envpol.2017.11.090","http://dx.doi.org/10.1016/j.envpol.2017.11.090")</f>
        <v>http://dx.doi.org/10.1016/j.envpol.2017.11.090</v>
      </c>
    </row>
    <row r="589" spans="1:9" ht="409.6" x14ac:dyDescent="0.15">
      <c r="A589" s="1" t="s">
        <v>9</v>
      </c>
      <c r="B589" s="5" t="s">
        <v>906</v>
      </c>
      <c r="C589" s="1" t="s">
        <v>907</v>
      </c>
      <c r="D589" s="1" t="s">
        <v>48</v>
      </c>
      <c r="E589" s="1" t="s">
        <v>908</v>
      </c>
      <c r="F589" s="1" t="s">
        <v>909</v>
      </c>
      <c r="G589" s="1">
        <v>2021</v>
      </c>
      <c r="H589" s="1" t="s">
        <v>910</v>
      </c>
      <c r="I589" s="1" t="str">
        <f>HYPERLINK("http://dx.doi.org/10.1186/s12864-020-07327-x","http://dx.doi.org/10.1186/s12864-020-07327-x")</f>
        <v>http://dx.doi.org/10.1186/s12864-020-07327-x</v>
      </c>
    </row>
    <row r="590" spans="1:9" ht="293" x14ac:dyDescent="0.15">
      <c r="A590" s="1" t="s">
        <v>9</v>
      </c>
      <c r="B590" s="5" t="s">
        <v>1147</v>
      </c>
      <c r="C590" s="1" t="s">
        <v>1148</v>
      </c>
      <c r="D590" s="1" t="s">
        <v>120</v>
      </c>
      <c r="E590" s="1" t="s">
        <v>1149</v>
      </c>
      <c r="F590" s="1" t="s">
        <v>21</v>
      </c>
      <c r="G590" s="1">
        <v>2015</v>
      </c>
      <c r="H590" s="1" t="s">
        <v>1150</v>
      </c>
      <c r="I590" s="1" t="str">
        <f>HYPERLINK("http://dx.doi.org/10.1016/j.jembe.2015.08.009","http://dx.doi.org/10.1016/j.jembe.2015.08.009")</f>
        <v>http://dx.doi.org/10.1016/j.jembe.2015.08.009</v>
      </c>
    </row>
    <row r="591" spans="1:9" ht="332" x14ac:dyDescent="0.15">
      <c r="A591" s="1" t="s">
        <v>9</v>
      </c>
      <c r="B591" s="5" t="s">
        <v>1692</v>
      </c>
      <c r="C591" s="1" t="s">
        <v>1693</v>
      </c>
      <c r="D591" s="1" t="s">
        <v>1694</v>
      </c>
      <c r="E591" s="1" t="s">
        <v>1695</v>
      </c>
      <c r="F591" s="1" t="s">
        <v>96</v>
      </c>
      <c r="G591" s="1">
        <v>2019</v>
      </c>
      <c r="H591" s="1" t="s">
        <v>1696</v>
      </c>
      <c r="I591" s="1" t="str">
        <f>HYPERLINK("http://dx.doi.org/10.1007/s12526-018-0906-5","http://dx.doi.org/10.1007/s12526-018-0906-5")</f>
        <v>http://dx.doi.org/10.1007/s12526-018-0906-5</v>
      </c>
    </row>
    <row r="592" spans="1:9" ht="293" x14ac:dyDescent="0.15">
      <c r="A592" s="1" t="s">
        <v>9</v>
      </c>
      <c r="B592" s="5" t="s">
        <v>529</v>
      </c>
      <c r="C592" s="1" t="s">
        <v>530</v>
      </c>
      <c r="D592" s="1" t="s">
        <v>531</v>
      </c>
      <c r="E592" s="1" t="s">
        <v>532</v>
      </c>
      <c r="F592" s="1" t="s">
        <v>68</v>
      </c>
      <c r="G592" s="1">
        <v>2010</v>
      </c>
      <c r="H592" s="1" t="s">
        <v>533</v>
      </c>
      <c r="I592" s="1" t="str">
        <f>HYPERLINK("http://dx.doi.org/10.1093/biostatistics/kxq005","http://dx.doi.org/10.1093/biostatistics/kxq005")</f>
        <v>http://dx.doi.org/10.1093/biostatistics/kxq005</v>
      </c>
    </row>
    <row r="593" spans="1:9" ht="280" x14ac:dyDescent="0.15">
      <c r="A593" s="1" t="s">
        <v>9</v>
      </c>
      <c r="B593" s="5" t="s">
        <v>2544</v>
      </c>
      <c r="C593" s="1" t="s">
        <v>2545</v>
      </c>
      <c r="D593" s="1" t="s">
        <v>2546</v>
      </c>
      <c r="E593" s="1" t="s">
        <v>2547</v>
      </c>
      <c r="F593" s="1" t="s">
        <v>2094</v>
      </c>
      <c r="G593" s="1">
        <v>2023</v>
      </c>
      <c r="H593" s="1" t="s">
        <v>11</v>
      </c>
      <c r="I593" s="1" t="s">
        <v>11</v>
      </c>
    </row>
    <row r="594" spans="1:9" ht="345" x14ac:dyDescent="0.15">
      <c r="A594" s="1" t="s">
        <v>9</v>
      </c>
      <c r="B594" s="5" t="s">
        <v>3325</v>
      </c>
      <c r="C594" s="1" t="s">
        <v>3326</v>
      </c>
      <c r="D594" s="1" t="s">
        <v>3327</v>
      </c>
      <c r="E594" s="1" t="s">
        <v>3328</v>
      </c>
      <c r="F594" s="1" t="s">
        <v>11</v>
      </c>
      <c r="G594" s="1">
        <v>2019</v>
      </c>
      <c r="H594" s="1" t="s">
        <v>3329</v>
      </c>
      <c r="I594" s="1" t="str">
        <f>HYPERLINK("http://dx.doi.org/10.26355/eurrev_201911_19435","http://dx.doi.org/10.26355/eurrev_201911_19435")</f>
        <v>http://dx.doi.org/10.26355/eurrev_201911_19435</v>
      </c>
    </row>
    <row r="595" spans="1:9" ht="280" x14ac:dyDescent="0.15">
      <c r="A595" s="1" t="s">
        <v>9</v>
      </c>
      <c r="B595" s="5" t="s">
        <v>2096</v>
      </c>
      <c r="C595" s="1" t="s">
        <v>2097</v>
      </c>
      <c r="D595" s="1" t="s">
        <v>2098</v>
      </c>
      <c r="E595" s="1" t="s">
        <v>2099</v>
      </c>
      <c r="F595" s="1" t="s">
        <v>62</v>
      </c>
      <c r="G595" s="1">
        <v>2025</v>
      </c>
      <c r="H595" s="1" t="s">
        <v>2100</v>
      </c>
      <c r="I595" s="1" t="str">
        <f>HYPERLINK("http://dx.doi.org/10.1002/adfm.202422305","http://dx.doi.org/10.1002/adfm.202422305")</f>
        <v>http://dx.doi.org/10.1002/adfm.202422305</v>
      </c>
    </row>
    <row r="596" spans="1:9" ht="319" x14ac:dyDescent="0.15">
      <c r="A596" s="1" t="s">
        <v>9</v>
      </c>
      <c r="B596" s="5" t="s">
        <v>1666</v>
      </c>
      <c r="C596" s="1" t="s">
        <v>1667</v>
      </c>
      <c r="D596" s="1" t="s">
        <v>1668</v>
      </c>
      <c r="E596" s="1" t="s">
        <v>1669</v>
      </c>
      <c r="F596" s="1" t="s">
        <v>68</v>
      </c>
      <c r="G596" s="1">
        <v>2021</v>
      </c>
      <c r="H596" s="1" t="s">
        <v>1670</v>
      </c>
      <c r="I596" s="1" t="str">
        <f>HYPERLINK("http://dx.doi.org/10.22074/cellj.2021.7143","http://dx.doi.org/10.22074/cellj.2021.7143")</f>
        <v>http://dx.doi.org/10.22074/cellj.2021.7143</v>
      </c>
    </row>
    <row r="597" spans="1:9" ht="293" x14ac:dyDescent="0.15">
      <c r="A597" s="1" t="s">
        <v>9</v>
      </c>
      <c r="B597" s="5" t="s">
        <v>2814</v>
      </c>
      <c r="C597" s="1" t="s">
        <v>2815</v>
      </c>
      <c r="D597" s="1" t="s">
        <v>1753</v>
      </c>
      <c r="E597" s="1" t="s">
        <v>2816</v>
      </c>
      <c r="F597" s="1" t="s">
        <v>11</v>
      </c>
      <c r="G597" s="1">
        <v>2020</v>
      </c>
      <c r="H597" s="1" t="s">
        <v>2817</v>
      </c>
      <c r="I597" s="1" t="str">
        <f>HYPERLINK("http://dx.doi.org/10.1071/IS19036","http://dx.doi.org/10.1071/IS19036")</f>
        <v>http://dx.doi.org/10.1071/IS19036</v>
      </c>
    </row>
    <row r="598" spans="1:9" ht="409.6" x14ac:dyDescent="0.15">
      <c r="A598" s="1" t="s">
        <v>9</v>
      </c>
      <c r="B598" s="5" t="s">
        <v>3098</v>
      </c>
      <c r="C598" s="1" t="s">
        <v>3099</v>
      </c>
      <c r="D598" s="1" t="s">
        <v>1738</v>
      </c>
      <c r="E598" s="1" t="s">
        <v>3100</v>
      </c>
      <c r="F598" s="1" t="s">
        <v>56</v>
      </c>
      <c r="G598" s="1">
        <v>2024</v>
      </c>
      <c r="H598" s="1" t="s">
        <v>3101</v>
      </c>
      <c r="I598" s="1" t="str">
        <f>HYPERLINK("http://dx.doi.org/10.1111/zsc.12677","http://dx.doi.org/10.1111/zsc.12677")</f>
        <v>http://dx.doi.org/10.1111/zsc.12677</v>
      </c>
    </row>
    <row r="599" spans="1:9" ht="306" x14ac:dyDescent="0.15">
      <c r="A599" s="1" t="s">
        <v>9</v>
      </c>
      <c r="B599" s="5" t="s">
        <v>3883</v>
      </c>
      <c r="C599" s="1" t="s">
        <v>3884</v>
      </c>
      <c r="D599" s="1" t="s">
        <v>3885</v>
      </c>
      <c r="E599" s="1" t="s">
        <v>3886</v>
      </c>
      <c r="F599" s="1" t="s">
        <v>21</v>
      </c>
      <c r="G599" s="1">
        <v>2023</v>
      </c>
      <c r="H599" s="1" t="s">
        <v>3887</v>
      </c>
      <c r="I599" s="1" t="str">
        <f>HYPERLINK("http://dx.doi.org/10.1111/jcmm.17998","http://dx.doi.org/10.1111/jcmm.17998")</f>
        <v>http://dx.doi.org/10.1111/jcmm.17998</v>
      </c>
    </row>
    <row r="600" spans="1:9" ht="345" x14ac:dyDescent="0.15">
      <c r="A600" s="1" t="s">
        <v>9</v>
      </c>
      <c r="B600" s="5" t="s">
        <v>3961</v>
      </c>
      <c r="C600" s="1" t="s">
        <v>3962</v>
      </c>
      <c r="D600" s="1" t="s">
        <v>935</v>
      </c>
      <c r="E600" s="1" t="s">
        <v>3963</v>
      </c>
      <c r="F600" s="1" t="s">
        <v>33</v>
      </c>
      <c r="G600" s="1">
        <v>2020</v>
      </c>
      <c r="H600" s="1" t="s">
        <v>3964</v>
      </c>
      <c r="I600" s="1" t="str">
        <f>HYPERLINK("http://dx.doi.org/10.3892/ijmm.2020.4549","http://dx.doi.org/10.3892/ijmm.2020.4549")</f>
        <v>http://dx.doi.org/10.3892/ijmm.2020.4549</v>
      </c>
    </row>
    <row r="601" spans="1:9" ht="397" x14ac:dyDescent="0.15">
      <c r="A601" s="1" t="s">
        <v>9</v>
      </c>
      <c r="B601" s="5" t="s">
        <v>3584</v>
      </c>
      <c r="C601" s="1" t="s">
        <v>3585</v>
      </c>
      <c r="D601" s="1" t="s">
        <v>2236</v>
      </c>
      <c r="E601" s="1" t="s">
        <v>3586</v>
      </c>
      <c r="F601" s="1" t="s">
        <v>33</v>
      </c>
      <c r="G601" s="1">
        <v>2023</v>
      </c>
      <c r="H601" s="1" t="s">
        <v>3587</v>
      </c>
      <c r="I601" s="1" t="str">
        <f>HYPERLINK("http://dx.doi.org/10.23812/j.biol.regul.homeost.agents.20233706.289","http://dx.doi.org/10.23812/j.biol.regul.homeost.agents.20233706.289")</f>
        <v>http://dx.doi.org/10.23812/j.biol.regul.homeost.agents.20233706.289</v>
      </c>
    </row>
    <row r="602" spans="1:9" ht="224" x14ac:dyDescent="0.15">
      <c r="A602" s="1" t="s">
        <v>9</v>
      </c>
      <c r="B602" s="5" t="s">
        <v>3683</v>
      </c>
      <c r="C602" s="1" t="s">
        <v>3684</v>
      </c>
      <c r="D602" s="1" t="s">
        <v>3685</v>
      </c>
      <c r="E602" s="1" t="s">
        <v>3686</v>
      </c>
      <c r="F602" s="1" t="s">
        <v>209</v>
      </c>
      <c r="G602" s="1">
        <v>2013</v>
      </c>
      <c r="H602" s="1" t="s">
        <v>3687</v>
      </c>
      <c r="I602" s="1" t="str">
        <f>HYPERLINK("http://dx.doi.org/10.1016/j.procbio.2013.08.007","http://dx.doi.org/10.1016/j.procbio.2013.08.007")</f>
        <v>http://dx.doi.org/10.1016/j.procbio.2013.08.007</v>
      </c>
    </row>
    <row r="603" spans="1:9" ht="319" x14ac:dyDescent="0.15">
      <c r="A603" s="1" t="s">
        <v>9</v>
      </c>
      <c r="B603" s="5" t="s">
        <v>981</v>
      </c>
      <c r="C603" s="1" t="s">
        <v>982</v>
      </c>
      <c r="D603" s="1" t="s">
        <v>498</v>
      </c>
      <c r="E603" s="1" t="s">
        <v>983</v>
      </c>
      <c r="F603" s="1" t="s">
        <v>106</v>
      </c>
      <c r="G603" s="1">
        <v>2022</v>
      </c>
      <c r="H603" s="1" t="s">
        <v>984</v>
      </c>
      <c r="I603" s="1" t="str">
        <f>HYPERLINK("http://dx.doi.org/10.1016/j.aqrep.2022.101040","http://dx.doi.org/10.1016/j.aqrep.2022.101040")</f>
        <v>http://dx.doi.org/10.1016/j.aqrep.2022.101040</v>
      </c>
    </row>
    <row r="604" spans="1:9" ht="182" x14ac:dyDescent="0.15">
      <c r="A604" s="1" t="s">
        <v>9</v>
      </c>
      <c r="B604" s="5" t="s">
        <v>1960</v>
      </c>
      <c r="C604" s="1" t="s">
        <v>1961</v>
      </c>
      <c r="D604" s="1" t="s">
        <v>1962</v>
      </c>
      <c r="E604" s="1" t="s">
        <v>1963</v>
      </c>
      <c r="F604" s="1" t="s">
        <v>112</v>
      </c>
      <c r="G604" s="1">
        <v>2015</v>
      </c>
      <c r="H604" s="1" t="s">
        <v>1964</v>
      </c>
      <c r="I604" s="1" t="str">
        <f>HYPERLINK("http://dx.doi.org/10.3892/mmr.2014.2897","http://dx.doi.org/10.3892/mmr.2014.2897")</f>
        <v>http://dx.doi.org/10.3892/mmr.2014.2897</v>
      </c>
    </row>
    <row r="605" spans="1:9" ht="332" x14ac:dyDescent="0.15">
      <c r="A605" s="1" t="s">
        <v>9</v>
      </c>
      <c r="B605" s="5" t="s">
        <v>3360</v>
      </c>
      <c r="C605" s="1" t="s">
        <v>3361</v>
      </c>
      <c r="D605" s="1" t="s">
        <v>3362</v>
      </c>
      <c r="E605" s="1" t="s">
        <v>3363</v>
      </c>
      <c r="F605" s="1" t="s">
        <v>96</v>
      </c>
      <c r="G605" s="1">
        <v>2022</v>
      </c>
      <c r="H605" s="1" t="s">
        <v>3364</v>
      </c>
      <c r="I605" s="1" t="str">
        <f>HYPERLINK("http://dx.doi.org/10.1016/j.jbo.2022.100453","http://dx.doi.org/10.1016/j.jbo.2022.100453")</f>
        <v>http://dx.doi.org/10.1016/j.jbo.2022.100453</v>
      </c>
    </row>
    <row r="606" spans="1:9" ht="345" x14ac:dyDescent="0.15">
      <c r="A606" s="1" t="s">
        <v>9</v>
      </c>
      <c r="B606" s="5" t="s">
        <v>1352</v>
      </c>
      <c r="C606" s="1" t="s">
        <v>1353</v>
      </c>
      <c r="D606" s="1" t="s">
        <v>300</v>
      </c>
      <c r="E606" s="1" t="s">
        <v>1354</v>
      </c>
      <c r="F606" s="1" t="s">
        <v>559</v>
      </c>
      <c r="G606" s="1">
        <v>2023</v>
      </c>
      <c r="H606" s="1" t="s">
        <v>1355</v>
      </c>
      <c r="I606" s="1" t="str">
        <f>HYPERLINK("http://dx.doi.org/10.1016/j.scitotenv.2023.161522","http://dx.doi.org/10.1016/j.scitotenv.2023.161522")</f>
        <v>http://dx.doi.org/10.1016/j.scitotenv.2023.161522</v>
      </c>
    </row>
    <row r="607" spans="1:9" ht="409.6" x14ac:dyDescent="0.15">
      <c r="A607" s="1" t="s">
        <v>9</v>
      </c>
      <c r="B607" s="5" t="s">
        <v>1702</v>
      </c>
      <c r="C607" s="1" t="s">
        <v>1703</v>
      </c>
      <c r="D607" s="1" t="s">
        <v>946</v>
      </c>
      <c r="E607" s="1" t="s">
        <v>1704</v>
      </c>
      <c r="F607" s="1" t="s">
        <v>62</v>
      </c>
      <c r="G607" s="1">
        <v>2021</v>
      </c>
      <c r="H607" s="1" t="s">
        <v>1705</v>
      </c>
      <c r="I607" s="1" t="str">
        <f>HYPERLINK("http://dx.doi.org/10.3390/biology10050432","http://dx.doi.org/10.3390/biology10050432")</f>
        <v>http://dx.doi.org/10.3390/biology10050432</v>
      </c>
    </row>
    <row r="608" spans="1:9" ht="252" x14ac:dyDescent="0.15">
      <c r="A608" s="1" t="s">
        <v>9</v>
      </c>
      <c r="B608" s="5" t="s">
        <v>2783</v>
      </c>
      <c r="C608" s="1" t="s">
        <v>2784</v>
      </c>
      <c r="D608" s="1" t="s">
        <v>2785</v>
      </c>
      <c r="E608" s="1" t="s">
        <v>2786</v>
      </c>
      <c r="F608" s="1" t="s">
        <v>56</v>
      </c>
      <c r="G608" s="1">
        <v>2024</v>
      </c>
      <c r="H608" s="1" t="s">
        <v>2787</v>
      </c>
      <c r="I608" s="1" t="str">
        <f>HYPERLINK("http://dx.doi.org/10.1016/j.ncrna.2024.04.002","http://dx.doi.org/10.1016/j.ncrna.2024.04.002")</f>
        <v>http://dx.doi.org/10.1016/j.ncrna.2024.04.002</v>
      </c>
    </row>
    <row r="609" spans="1:9" ht="238" x14ac:dyDescent="0.15">
      <c r="A609" s="1" t="s">
        <v>9</v>
      </c>
      <c r="B609" s="5" t="s">
        <v>3493</v>
      </c>
      <c r="C609" s="1" t="s">
        <v>3494</v>
      </c>
      <c r="D609" s="1" t="s">
        <v>1869</v>
      </c>
      <c r="E609" s="1" t="s">
        <v>3495</v>
      </c>
      <c r="F609" s="1" t="s">
        <v>387</v>
      </c>
      <c r="G609" s="1">
        <v>2012</v>
      </c>
      <c r="H609" s="1" t="s">
        <v>3496</v>
      </c>
      <c r="I609" s="1" t="str">
        <f>HYPERLINK("http://dx.doi.org/10.1242/dev.081828","http://dx.doi.org/10.1242/dev.081828")</f>
        <v>http://dx.doi.org/10.1242/dev.081828</v>
      </c>
    </row>
    <row r="610" spans="1:9" ht="293" x14ac:dyDescent="0.15">
      <c r="A610" s="1" t="s">
        <v>9</v>
      </c>
      <c r="B610" s="5" t="s">
        <v>2827</v>
      </c>
      <c r="C610" s="1" t="s">
        <v>2828</v>
      </c>
      <c r="D610" s="1" t="s">
        <v>2829</v>
      </c>
      <c r="E610" s="1" t="s">
        <v>2830</v>
      </c>
      <c r="F610" s="1" t="s">
        <v>106</v>
      </c>
      <c r="G610" s="1">
        <v>2021</v>
      </c>
      <c r="H610" s="1" t="s">
        <v>2831</v>
      </c>
      <c r="I610" s="1" t="str">
        <f>HYPERLINK("http://dx.doi.org/10.1530/EC-21-0046","http://dx.doi.org/10.1530/EC-21-0046")</f>
        <v>http://dx.doi.org/10.1530/EC-21-0046</v>
      </c>
    </row>
    <row r="611" spans="1:9" ht="266" x14ac:dyDescent="0.15">
      <c r="A611" s="1" t="s">
        <v>9</v>
      </c>
      <c r="B611" s="5" t="s">
        <v>17</v>
      </c>
      <c r="C611" s="1" t="s">
        <v>18</v>
      </c>
      <c r="D611" s="1" t="s">
        <v>19</v>
      </c>
      <c r="E611" s="1" t="s">
        <v>20</v>
      </c>
      <c r="F611" s="1" t="s">
        <v>21</v>
      </c>
      <c r="G611" s="1">
        <v>2018</v>
      </c>
      <c r="H611" s="1" t="s">
        <v>22</v>
      </c>
      <c r="I611" s="1" t="str">
        <f>HYPERLINK("http://dx.doi.org/10.1101/lm.047977.118","http://dx.doi.org/10.1101/lm.047977.118")</f>
        <v>http://dx.doi.org/10.1101/lm.047977.118</v>
      </c>
    </row>
    <row r="612" spans="1:9" ht="319" x14ac:dyDescent="0.15">
      <c r="A612" s="1" t="s">
        <v>9</v>
      </c>
      <c r="B612" s="5" t="s">
        <v>3420</v>
      </c>
      <c r="C612" s="1" t="s">
        <v>3421</v>
      </c>
      <c r="D612" s="1" t="s">
        <v>951</v>
      </c>
      <c r="E612" s="1" t="s">
        <v>3422</v>
      </c>
      <c r="F612" s="1" t="s">
        <v>122</v>
      </c>
      <c r="G612" s="1">
        <v>2024</v>
      </c>
      <c r="H612" s="1" t="s">
        <v>3423</v>
      </c>
      <c r="I612" s="1" t="str">
        <f>HYPERLINK("http://dx.doi.org/10.3390/ijms25158152","http://dx.doi.org/10.3390/ijms25158152")</f>
        <v>http://dx.doi.org/10.3390/ijms25158152</v>
      </c>
    </row>
    <row r="613" spans="1:9" ht="224" x14ac:dyDescent="0.15">
      <c r="A613" s="1" t="s">
        <v>9</v>
      </c>
      <c r="B613" s="5" t="s">
        <v>1839</v>
      </c>
      <c r="C613" s="1" t="s">
        <v>1840</v>
      </c>
      <c r="D613" s="1" t="s">
        <v>156</v>
      </c>
      <c r="E613" s="1" t="s">
        <v>1841</v>
      </c>
      <c r="F613" s="1" t="s">
        <v>1842</v>
      </c>
      <c r="G613" s="1">
        <v>2018</v>
      </c>
      <c r="H613" s="1" t="s">
        <v>1843</v>
      </c>
      <c r="I613" s="1" t="str">
        <f>HYPERLINK("http://dx.doi.org/10.1038/s41598-018-29360-3","http://dx.doi.org/10.1038/s41598-018-29360-3")</f>
        <v>http://dx.doi.org/10.1038/s41598-018-29360-3</v>
      </c>
    </row>
    <row r="614" spans="1:9" ht="238" x14ac:dyDescent="0.15">
      <c r="A614" s="1" t="s">
        <v>9</v>
      </c>
      <c r="B614" s="5" t="s">
        <v>1974</v>
      </c>
      <c r="C614" s="1" t="s">
        <v>1975</v>
      </c>
      <c r="D614" s="1" t="s">
        <v>1090</v>
      </c>
      <c r="E614" s="1" t="s">
        <v>1976</v>
      </c>
      <c r="F614" s="1" t="s">
        <v>96</v>
      </c>
      <c r="G614" s="1">
        <v>2024</v>
      </c>
      <c r="H614" s="1" t="s">
        <v>1977</v>
      </c>
      <c r="I614" s="1" t="str">
        <f>HYPERLINK("http://dx.doi.org/10.1016/j.ijbiomac.2024.133814","http://dx.doi.org/10.1016/j.ijbiomac.2024.133814")</f>
        <v>http://dx.doi.org/10.1016/j.ijbiomac.2024.133814</v>
      </c>
    </row>
    <row r="615" spans="1:9" ht="293" x14ac:dyDescent="0.15">
      <c r="A615" s="1" t="s">
        <v>9</v>
      </c>
      <c r="B615" s="5" t="s">
        <v>757</v>
      </c>
      <c r="C615" s="1" t="s">
        <v>758</v>
      </c>
      <c r="D615" s="1" t="s">
        <v>682</v>
      </c>
      <c r="E615" s="1" t="s">
        <v>759</v>
      </c>
      <c r="F615" s="1" t="s">
        <v>122</v>
      </c>
      <c r="G615" s="1">
        <v>2019</v>
      </c>
      <c r="H615" s="1" t="s">
        <v>760</v>
      </c>
      <c r="I615" s="1" t="str">
        <f>HYPERLINK("http://dx.doi.org/10.1038/s41396-019-0413-0","http://dx.doi.org/10.1038/s41396-019-0413-0")</f>
        <v>http://dx.doi.org/10.1038/s41396-019-0413-0</v>
      </c>
    </row>
    <row r="616" spans="1:9" ht="210" x14ac:dyDescent="0.15">
      <c r="A616" s="1" t="s">
        <v>9</v>
      </c>
      <c r="B616" s="5" t="s">
        <v>1751</v>
      </c>
      <c r="C616" s="1" t="s">
        <v>1752</v>
      </c>
      <c r="D616" s="1" t="s">
        <v>1753</v>
      </c>
      <c r="E616" s="1" t="s">
        <v>1754</v>
      </c>
      <c r="F616" s="1" t="s">
        <v>11</v>
      </c>
      <c r="G616" s="1">
        <v>2020</v>
      </c>
      <c r="H616" s="1" t="s">
        <v>1755</v>
      </c>
      <c r="I616" s="1" t="str">
        <f>HYPERLINK("http://dx.doi.org/10.1071/IS19042","http://dx.doi.org/10.1071/IS19042")</f>
        <v>http://dx.doi.org/10.1071/IS19042</v>
      </c>
    </row>
    <row r="617" spans="1:9" ht="293" x14ac:dyDescent="0.15">
      <c r="A617" s="1" t="s">
        <v>9</v>
      </c>
      <c r="B617" s="5" t="s">
        <v>3108</v>
      </c>
      <c r="C617" s="1" t="s">
        <v>3109</v>
      </c>
      <c r="D617" s="1" t="s">
        <v>1738</v>
      </c>
      <c r="E617" s="1" t="s">
        <v>3110</v>
      </c>
      <c r="F617" s="1" t="s">
        <v>221</v>
      </c>
      <c r="G617" s="1">
        <v>2025</v>
      </c>
      <c r="H617" s="1" t="s">
        <v>3111</v>
      </c>
      <c r="I617" s="1" t="str">
        <f>HYPERLINK("http://dx.doi.org/10.1111/zsc.12694","http://dx.doi.org/10.1111/zsc.12694")</f>
        <v>http://dx.doi.org/10.1111/zsc.12694</v>
      </c>
    </row>
    <row r="618" spans="1:9" ht="196" x14ac:dyDescent="0.15">
      <c r="A618" s="1" t="s">
        <v>9</v>
      </c>
      <c r="B618" s="5" t="s">
        <v>1404</v>
      </c>
      <c r="C618" s="1" t="s">
        <v>1405</v>
      </c>
      <c r="D618" s="1" t="s">
        <v>580</v>
      </c>
      <c r="E618" s="1" t="s">
        <v>1406</v>
      </c>
      <c r="F618" s="1" t="s">
        <v>122</v>
      </c>
      <c r="G618" s="1">
        <v>2024</v>
      </c>
      <c r="H618" s="1" t="s">
        <v>1407</v>
      </c>
      <c r="I618" s="1" t="str">
        <f>HYPERLINK("http://dx.doi.org/10.1016/j.marpolbul.2024.116552","http://dx.doi.org/10.1016/j.marpolbul.2024.116552")</f>
        <v>http://dx.doi.org/10.1016/j.marpolbul.2024.116552</v>
      </c>
    </row>
    <row r="619" spans="1:9" ht="196" x14ac:dyDescent="0.15">
      <c r="A619" s="1" t="s">
        <v>9</v>
      </c>
      <c r="B619" s="5" t="s">
        <v>2702</v>
      </c>
      <c r="C619" s="1" t="s">
        <v>2703</v>
      </c>
      <c r="D619" s="1" t="s">
        <v>2704</v>
      </c>
      <c r="E619" s="1" t="s">
        <v>2705</v>
      </c>
      <c r="F619" s="1" t="s">
        <v>221</v>
      </c>
      <c r="G619" s="1">
        <v>2019</v>
      </c>
      <c r="H619" s="1" t="s">
        <v>2706</v>
      </c>
      <c r="I619" s="1" t="str">
        <f>HYPERLINK("http://dx.doi.org/10.1163/15685403-00003910","http://dx.doi.org/10.1163/15685403-00003910")</f>
        <v>http://dx.doi.org/10.1163/15685403-00003910</v>
      </c>
    </row>
    <row r="620" spans="1:9" ht="252" x14ac:dyDescent="0.15">
      <c r="A620" s="1" t="s">
        <v>9</v>
      </c>
      <c r="B620" s="5" t="s">
        <v>665</v>
      </c>
      <c r="C620" s="1" t="s">
        <v>666</v>
      </c>
      <c r="D620" s="1" t="s">
        <v>156</v>
      </c>
      <c r="E620" s="1" t="s">
        <v>667</v>
      </c>
      <c r="F620" s="1" t="s">
        <v>668</v>
      </c>
      <c r="G620" s="1">
        <v>2024</v>
      </c>
      <c r="H620" s="1" t="s">
        <v>669</v>
      </c>
      <c r="I620" s="1" t="str">
        <f>HYPERLINK("http://dx.doi.org/10.1038/s41598-024-80479-y","http://dx.doi.org/10.1038/s41598-024-80479-y")</f>
        <v>http://dx.doi.org/10.1038/s41598-024-80479-y</v>
      </c>
    </row>
    <row r="621" spans="1:9" ht="319" x14ac:dyDescent="0.15">
      <c r="A621" s="1" t="s">
        <v>9</v>
      </c>
      <c r="B621" s="5" t="s">
        <v>2726</v>
      </c>
      <c r="C621" s="1" t="s">
        <v>2727</v>
      </c>
      <c r="D621" s="1" t="s">
        <v>2728</v>
      </c>
      <c r="E621" s="1" t="s">
        <v>2729</v>
      </c>
      <c r="F621" s="1" t="s">
        <v>11</v>
      </c>
      <c r="G621" s="1">
        <v>2025</v>
      </c>
      <c r="H621" s="1" t="s">
        <v>2730</v>
      </c>
      <c r="I621" s="1" t="str">
        <f>HYPERLINK("http://dx.doi.org/10.32604/or.2024.046774","http://dx.doi.org/10.32604/or.2024.046774")</f>
        <v>http://dx.doi.org/10.32604/or.2024.046774</v>
      </c>
    </row>
    <row r="622" spans="1:9" ht="293" x14ac:dyDescent="0.15">
      <c r="A622" s="1" t="s">
        <v>9</v>
      </c>
      <c r="B622" s="5" t="s">
        <v>3463</v>
      </c>
      <c r="C622" s="1" t="s">
        <v>3464</v>
      </c>
      <c r="D622" s="1" t="s">
        <v>78</v>
      </c>
      <c r="E622" s="1" t="s">
        <v>3465</v>
      </c>
      <c r="F622" s="1" t="s">
        <v>2669</v>
      </c>
      <c r="G622" s="1">
        <v>2022</v>
      </c>
      <c r="H622" s="1" t="s">
        <v>3466</v>
      </c>
      <c r="I622" s="1" t="str">
        <f>HYPERLINK("http://dx.doi.org/10.3389/fmars.2022.991391","http://dx.doi.org/10.3389/fmars.2022.991391")</f>
        <v>http://dx.doi.org/10.3389/fmars.2022.991391</v>
      </c>
    </row>
    <row r="623" spans="1:9" ht="345" x14ac:dyDescent="0.15">
      <c r="A623" s="1" t="s">
        <v>9</v>
      </c>
      <c r="B623" s="5" t="s">
        <v>3152</v>
      </c>
      <c r="C623" s="1" t="s">
        <v>3153</v>
      </c>
      <c r="D623" s="1" t="s">
        <v>1947</v>
      </c>
      <c r="E623" s="1" t="s">
        <v>3154</v>
      </c>
      <c r="F623" s="1" t="s">
        <v>11</v>
      </c>
      <c r="G623" s="1">
        <v>2015</v>
      </c>
      <c r="H623" s="1" t="s">
        <v>3155</v>
      </c>
      <c r="I623" s="1" t="str">
        <f>HYPERLINK("http://dx.doi.org/10.4238/2015.December.28.16","http://dx.doi.org/10.4238/2015.December.28.16")</f>
        <v>http://dx.doi.org/10.4238/2015.December.28.16</v>
      </c>
    </row>
    <row r="624" spans="1:9" ht="293" x14ac:dyDescent="0.15">
      <c r="A624" s="1" t="s">
        <v>9</v>
      </c>
      <c r="B624" s="5" t="s">
        <v>2963</v>
      </c>
      <c r="C624" s="1" t="s">
        <v>2964</v>
      </c>
      <c r="D624" s="1" t="s">
        <v>180</v>
      </c>
      <c r="E624" s="1" t="s">
        <v>2965</v>
      </c>
      <c r="F624" s="1" t="s">
        <v>2966</v>
      </c>
      <c r="G624" s="1">
        <v>2023</v>
      </c>
      <c r="H624" s="1" t="s">
        <v>2967</v>
      </c>
      <c r="I624" s="1" t="str">
        <f>HYPERLINK("http://dx.doi.org/10.3389/fcell.2023.1166517","http://dx.doi.org/10.3389/fcell.2023.1166517")</f>
        <v>http://dx.doi.org/10.3389/fcell.2023.1166517</v>
      </c>
    </row>
    <row r="625" spans="1:12" ht="252" x14ac:dyDescent="0.15">
      <c r="A625" s="1" t="s">
        <v>15</v>
      </c>
      <c r="B625" s="5" t="s">
        <v>2383</v>
      </c>
      <c r="C625" s="1" t="s">
        <v>2384</v>
      </c>
      <c r="D625" s="1" t="s">
        <v>2385</v>
      </c>
      <c r="E625" s="1" t="s">
        <v>2386</v>
      </c>
      <c r="F625" s="1" t="s">
        <v>11</v>
      </c>
      <c r="G625" s="1">
        <v>2021</v>
      </c>
      <c r="H625" s="1" t="s">
        <v>2387</v>
      </c>
      <c r="I625" s="1" t="str">
        <f>HYPERLINK("http://dx.doi.org/10.1007/978-1-0716-0974-3_10","http://dx.doi.org/10.1007/978-1-0716-0974-3_10")</f>
        <v>http://dx.doi.org/10.1007/978-1-0716-0974-3_10</v>
      </c>
    </row>
    <row r="626" spans="1:12" ht="319" x14ac:dyDescent="0.15">
      <c r="A626" s="1" t="s">
        <v>9</v>
      </c>
      <c r="B626" s="5" t="s">
        <v>3957</v>
      </c>
      <c r="C626" s="1" t="s">
        <v>3958</v>
      </c>
      <c r="D626" s="1" t="s">
        <v>1458</v>
      </c>
      <c r="E626" s="1" t="s">
        <v>3959</v>
      </c>
      <c r="F626" s="1" t="s">
        <v>1575</v>
      </c>
      <c r="G626" s="1">
        <v>2005</v>
      </c>
      <c r="H626" s="1" t="s">
        <v>3960</v>
      </c>
      <c r="I626" s="1" t="str">
        <f>HYPERLINK("http://dx.doi.org/10.1073/pnas.0509507102","http://dx.doi.org/10.1073/pnas.0509507102")</f>
        <v>http://dx.doi.org/10.1073/pnas.0509507102</v>
      </c>
    </row>
    <row r="627" spans="1:12" ht="280" x14ac:dyDescent="0.15">
      <c r="A627" s="1" t="s">
        <v>9</v>
      </c>
      <c r="B627" s="5" t="s">
        <v>2445</v>
      </c>
      <c r="C627" s="1" t="s">
        <v>2446</v>
      </c>
      <c r="D627" s="1" t="s">
        <v>1139</v>
      </c>
      <c r="E627" s="1" t="s">
        <v>2447</v>
      </c>
      <c r="F627" s="1" t="s">
        <v>11</v>
      </c>
      <c r="G627" s="1">
        <v>2006</v>
      </c>
      <c r="H627" s="1" t="s">
        <v>2448</v>
      </c>
      <c r="I627" s="1" t="str">
        <f>HYPERLINK("http://dx.doi.org/10.1093/nar/gkl359","http://dx.doi.org/10.1093/nar/gkl359")</f>
        <v>http://dx.doi.org/10.1093/nar/gkl359</v>
      </c>
    </row>
    <row r="628" spans="1:12" ht="224" x14ac:dyDescent="0.15">
      <c r="A628" s="1" t="s">
        <v>9</v>
      </c>
      <c r="B628" s="7" t="s">
        <v>3411</v>
      </c>
      <c r="C628" s="1" t="s">
        <v>3412</v>
      </c>
      <c r="D628" s="1" t="s">
        <v>3413</v>
      </c>
      <c r="E628" s="1" t="s">
        <v>3414</v>
      </c>
      <c r="F628" s="1" t="s">
        <v>122</v>
      </c>
      <c r="G628" s="1">
        <v>2025</v>
      </c>
      <c r="H628" s="1" t="s">
        <v>3415</v>
      </c>
      <c r="I628" s="1" t="str">
        <f>HYPERLINK("http://dx.doi.org/10.1016/j.ijpddr.2025.100601","http://dx.doi.org/10.1016/j.ijpddr.2025.100601")</f>
        <v>http://dx.doi.org/10.1016/j.ijpddr.2025.100601</v>
      </c>
    </row>
    <row r="629" spans="1:12" ht="224" x14ac:dyDescent="0.15">
      <c r="A629" s="1" t="s">
        <v>9</v>
      </c>
      <c r="B629" s="5" t="s">
        <v>3397</v>
      </c>
      <c r="C629" s="1" t="s">
        <v>3398</v>
      </c>
      <c r="D629" s="1" t="s">
        <v>3399</v>
      </c>
      <c r="E629" s="1" t="s">
        <v>3400</v>
      </c>
      <c r="F629" s="1" t="s">
        <v>56</v>
      </c>
      <c r="G629" s="1">
        <v>2023</v>
      </c>
      <c r="H629" s="1" t="s">
        <v>3401</v>
      </c>
      <c r="I629" s="1" t="str">
        <f>HYPERLINK("http://dx.doi.org/10.47665/tb.40.3.012","http://dx.doi.org/10.47665/tb.40.3.012")</f>
        <v>http://dx.doi.org/10.47665/tb.40.3.012</v>
      </c>
    </row>
    <row r="630" spans="1:12" ht="345" x14ac:dyDescent="0.15">
      <c r="A630" s="1" t="s">
        <v>9</v>
      </c>
      <c r="B630" s="5" t="s">
        <v>2968</v>
      </c>
      <c r="C630" s="1" t="s">
        <v>2969</v>
      </c>
      <c r="D630" s="1" t="s">
        <v>1713</v>
      </c>
      <c r="E630" s="1" t="s">
        <v>2970</v>
      </c>
      <c r="F630" s="1" t="s">
        <v>2971</v>
      </c>
      <c r="G630" s="1">
        <v>2020</v>
      </c>
      <c r="H630" s="1" t="s">
        <v>2972</v>
      </c>
      <c r="I630" s="1" t="str">
        <f>HYPERLINK("http://dx.doi.org/10.1186/s12935-020-01178-y","http://dx.doi.org/10.1186/s12935-020-01178-y")</f>
        <v>http://dx.doi.org/10.1186/s12935-020-01178-y</v>
      </c>
    </row>
    <row r="631" spans="1:12" ht="358" x14ac:dyDescent="0.15">
      <c r="A631" s="1" t="s">
        <v>9</v>
      </c>
      <c r="B631" s="5" t="s">
        <v>815</v>
      </c>
      <c r="C631" s="1" t="s">
        <v>816</v>
      </c>
      <c r="D631" s="1" t="s">
        <v>156</v>
      </c>
      <c r="E631" s="1" t="s">
        <v>817</v>
      </c>
      <c r="F631" s="1" t="s">
        <v>818</v>
      </c>
      <c r="G631" s="1">
        <v>2024</v>
      </c>
      <c r="H631" s="1" t="s">
        <v>819</v>
      </c>
      <c r="I631" s="1" t="str">
        <f>HYPERLINK("http://dx.doi.org/10.1038/s41598-024-61272-3","http://dx.doi.org/10.1038/s41598-024-61272-3")</f>
        <v>http://dx.doi.org/10.1038/s41598-024-61272-3</v>
      </c>
    </row>
    <row r="632" spans="1:12" ht="409.6" x14ac:dyDescent="0.15">
      <c r="A632" s="1" t="s">
        <v>9</v>
      </c>
      <c r="B632" s="5" t="s">
        <v>3658</v>
      </c>
      <c r="C632" s="1" t="s">
        <v>3659</v>
      </c>
      <c r="D632" s="1" t="s">
        <v>3660</v>
      </c>
      <c r="E632" s="1" t="s">
        <v>3661</v>
      </c>
      <c r="F632" s="1" t="s">
        <v>3662</v>
      </c>
      <c r="G632" s="1">
        <v>2022</v>
      </c>
      <c r="H632" s="1" t="s">
        <v>3663</v>
      </c>
      <c r="I632" s="1" t="str">
        <f>HYPERLINK("http://dx.doi.org/10.1186/s12943-022-01495-y","http://dx.doi.org/10.1186/s12943-022-01495-y")</f>
        <v>http://dx.doi.org/10.1186/s12943-022-01495-y</v>
      </c>
    </row>
    <row r="633" spans="1:12" ht="358" x14ac:dyDescent="0.15">
      <c r="A633" s="1" t="s">
        <v>9</v>
      </c>
      <c r="B633" s="5" t="s">
        <v>2224</v>
      </c>
      <c r="C633" s="1" t="s">
        <v>2225</v>
      </c>
      <c r="D633" s="1" t="s">
        <v>78</v>
      </c>
      <c r="E633" s="1" t="s">
        <v>2226</v>
      </c>
      <c r="F633" s="1" t="s">
        <v>2227</v>
      </c>
      <c r="G633" s="1">
        <v>2024</v>
      </c>
      <c r="H633" s="1" t="s">
        <v>2228</v>
      </c>
      <c r="I633" s="1" t="str">
        <f>HYPERLINK("http://dx.doi.org/10.3389/fmars.2024.1362078","http://dx.doi.org/10.3389/fmars.2024.1362078")</f>
        <v>http://dx.doi.org/10.3389/fmars.2024.1362078</v>
      </c>
    </row>
    <row r="634" spans="1:12" ht="409.6" x14ac:dyDescent="0.15">
      <c r="A634" s="1" t="s">
        <v>9</v>
      </c>
      <c r="B634" s="5" t="s">
        <v>2643</v>
      </c>
      <c r="C634" s="1" t="s">
        <v>2644</v>
      </c>
      <c r="D634" s="1" t="s">
        <v>2645</v>
      </c>
      <c r="E634" s="1" t="s">
        <v>2646</v>
      </c>
      <c r="F634" s="1" t="s">
        <v>221</v>
      </c>
      <c r="G634" s="1">
        <v>2024</v>
      </c>
      <c r="H634" s="1" t="s">
        <v>2647</v>
      </c>
      <c r="I634" s="1" t="str">
        <f>HYPERLINK("http://dx.doi.org/10.1371/journal.ppat.1011366","http://dx.doi.org/10.1371/journal.ppat.1011366")</f>
        <v>http://dx.doi.org/10.1371/journal.ppat.1011366</v>
      </c>
    </row>
    <row r="635" spans="1:12" ht="182" x14ac:dyDescent="0.15">
      <c r="A635" s="1" t="s">
        <v>9</v>
      </c>
      <c r="B635" s="5" t="s">
        <v>1518</v>
      </c>
      <c r="C635" s="1" t="s">
        <v>1519</v>
      </c>
      <c r="D635" s="1" t="s">
        <v>894</v>
      </c>
      <c r="E635" s="1" t="s">
        <v>1520</v>
      </c>
      <c r="F635" s="1" t="s">
        <v>21</v>
      </c>
      <c r="G635" s="1">
        <v>2015</v>
      </c>
      <c r="H635" s="1" t="s">
        <v>1521</v>
      </c>
      <c r="I635" s="1" t="str">
        <f>HYPERLINK("http://dx.doi.org/10.1016/j.margen.2015.09.004","http://dx.doi.org/10.1016/j.margen.2015.09.004")</f>
        <v>http://dx.doi.org/10.1016/j.margen.2015.09.004</v>
      </c>
    </row>
    <row r="636" spans="1:12" ht="252" x14ac:dyDescent="0.15">
      <c r="A636" s="1" t="s">
        <v>9</v>
      </c>
      <c r="B636" s="5" t="s">
        <v>1829</v>
      </c>
      <c r="C636" s="1" t="s">
        <v>1830</v>
      </c>
      <c r="D636" s="1" t="s">
        <v>1831</v>
      </c>
      <c r="E636" s="1" t="s">
        <v>1832</v>
      </c>
      <c r="F636" s="1" t="s">
        <v>96</v>
      </c>
      <c r="G636" s="1">
        <v>2024</v>
      </c>
      <c r="H636" s="1" t="s">
        <v>1833</v>
      </c>
      <c r="I636" s="1" t="str">
        <f>HYPERLINK("http://dx.doi.org/10.1016/j.ajur.2024.01.007","http://dx.doi.org/10.1016/j.ajur.2024.01.007")</f>
        <v>http://dx.doi.org/10.1016/j.ajur.2024.01.007</v>
      </c>
    </row>
    <row r="637" spans="1:12" ht="280" x14ac:dyDescent="0.15">
      <c r="A637" s="1" t="s">
        <v>9</v>
      </c>
      <c r="B637" s="5" t="s">
        <v>3217</v>
      </c>
      <c r="C637" s="1" t="s">
        <v>3218</v>
      </c>
      <c r="D637" s="1" t="s">
        <v>1511</v>
      </c>
      <c r="E637" s="1" t="s">
        <v>3219</v>
      </c>
      <c r="F637" s="1" t="s">
        <v>209</v>
      </c>
      <c r="G637" s="1">
        <v>2011</v>
      </c>
      <c r="H637" s="1" t="s">
        <v>3220</v>
      </c>
      <c r="I637" s="1" t="str">
        <f>HYPERLINK("http://dx.doi.org/10.1016/j.ympev.2011.07.014","http://dx.doi.org/10.1016/j.ympev.2011.07.014")</f>
        <v>http://dx.doi.org/10.1016/j.ympev.2011.07.014</v>
      </c>
    </row>
    <row r="638" spans="1:12" ht="293" x14ac:dyDescent="0.15">
      <c r="A638" s="1" t="s">
        <v>9</v>
      </c>
      <c r="B638" s="5" t="s">
        <v>2863</v>
      </c>
      <c r="C638" s="1" t="s">
        <v>2864</v>
      </c>
      <c r="D638" s="1" t="s">
        <v>2865</v>
      </c>
      <c r="E638" s="1" t="s">
        <v>2866</v>
      </c>
      <c r="F638" s="1" t="s">
        <v>33</v>
      </c>
      <c r="G638" s="1">
        <v>2017</v>
      </c>
      <c r="H638" s="1" t="s">
        <v>2867</v>
      </c>
      <c r="I638" s="1" t="str">
        <f>HYPERLINK("http://dx.doi.org/10.1016/j.actatropica.2017.02.007","http://dx.doi.org/10.1016/j.actatropica.2017.02.007")</f>
        <v>http://dx.doi.org/10.1016/j.actatropica.2017.02.007</v>
      </c>
    </row>
    <row r="639" spans="1:12" ht="332" x14ac:dyDescent="0.15">
      <c r="A639" s="1" t="s">
        <v>9</v>
      </c>
      <c r="B639" s="4" t="s">
        <v>242</v>
      </c>
      <c r="C639" s="1" t="s">
        <v>243</v>
      </c>
      <c r="D639" s="1" t="s">
        <v>244</v>
      </c>
      <c r="E639" s="1" t="s">
        <v>245</v>
      </c>
      <c r="F639" s="1" t="s">
        <v>138</v>
      </c>
      <c r="G639" s="1">
        <v>2021</v>
      </c>
      <c r="H639" s="1" t="s">
        <v>246</v>
      </c>
      <c r="I639" s="1" t="str">
        <f>HYPERLINK("http://dx.doi.org/10.1007/s11356-020-11021-6","http://dx.doi.org/10.1007/s11356-020-11021-6")</f>
        <v>http://dx.doi.org/10.1007/s11356-020-11021-6</v>
      </c>
      <c r="L639">
        <f>COUNTA(B639:B860)</f>
        <v>222</v>
      </c>
    </row>
    <row r="640" spans="1:12" ht="280" x14ac:dyDescent="0.15">
      <c r="A640" s="1" t="s">
        <v>9</v>
      </c>
      <c r="B640" s="4" t="s">
        <v>149</v>
      </c>
      <c r="C640" s="1" t="s">
        <v>150</v>
      </c>
      <c r="D640" s="1" t="s">
        <v>151</v>
      </c>
      <c r="E640" s="1" t="s">
        <v>152</v>
      </c>
      <c r="F640" s="1" t="s">
        <v>21</v>
      </c>
      <c r="G640" s="1">
        <v>2021</v>
      </c>
      <c r="H640" s="1" t="s">
        <v>153</v>
      </c>
      <c r="I640" s="1" t="str">
        <f>HYPERLINK("http://dx.doi.org/10.1002/ece3.8309","http://dx.doi.org/10.1002/ece3.8309")</f>
        <v>http://dx.doi.org/10.1002/ece3.8309</v>
      </c>
    </row>
    <row r="641" spans="1:9" ht="280" x14ac:dyDescent="0.15">
      <c r="A641" s="1" t="s">
        <v>9</v>
      </c>
      <c r="B641" s="4" t="s">
        <v>430</v>
      </c>
      <c r="C641" s="1" t="s">
        <v>431</v>
      </c>
      <c r="D641" s="1" t="s">
        <v>37</v>
      </c>
      <c r="E641" s="1" t="s">
        <v>432</v>
      </c>
      <c r="F641" s="1" t="s">
        <v>138</v>
      </c>
      <c r="G641" s="1">
        <v>2021</v>
      </c>
      <c r="H641" s="1" t="s">
        <v>433</v>
      </c>
      <c r="I641" s="1" t="str">
        <f>HYPERLINK("http://dx.doi.org/10.1016/j.ecoenv.2020.111849","http://dx.doi.org/10.1016/j.ecoenv.2020.111849")</f>
        <v>http://dx.doi.org/10.1016/j.ecoenv.2020.111849</v>
      </c>
    </row>
    <row r="642" spans="1:9" ht="332" x14ac:dyDescent="0.15">
      <c r="A642" s="1" t="s">
        <v>9</v>
      </c>
      <c r="B642" s="4" t="s">
        <v>542</v>
      </c>
      <c r="C642" s="1" t="s">
        <v>543</v>
      </c>
      <c r="D642" s="1" t="s">
        <v>120</v>
      </c>
      <c r="E642" s="1" t="s">
        <v>544</v>
      </c>
      <c r="F642" s="1" t="s">
        <v>68</v>
      </c>
      <c r="G642" s="1">
        <v>2019</v>
      </c>
      <c r="H642" s="1" t="s">
        <v>545</v>
      </c>
      <c r="I642" s="1" t="str">
        <f>HYPERLINK("http://dx.doi.org/10.1016/j.jembe.2019.05.002","http://dx.doi.org/10.1016/j.jembe.2019.05.002")</f>
        <v>http://dx.doi.org/10.1016/j.jembe.2019.05.002</v>
      </c>
    </row>
    <row r="643" spans="1:9" ht="345" x14ac:dyDescent="0.15">
      <c r="A643" s="1" t="s">
        <v>9</v>
      </c>
      <c r="B643" s="4" t="s">
        <v>795</v>
      </c>
      <c r="C643" s="1" t="s">
        <v>796</v>
      </c>
      <c r="D643" s="1" t="s">
        <v>441</v>
      </c>
      <c r="E643" s="1" t="s">
        <v>797</v>
      </c>
      <c r="F643" s="1" t="s">
        <v>56</v>
      </c>
      <c r="G643" s="1">
        <v>2025</v>
      </c>
      <c r="H643" s="1" t="s">
        <v>798</v>
      </c>
      <c r="I643" s="1" t="str">
        <f>HYPERLINK("http://dx.doi.org/10.1016/j.ygeno.2025.111080","http://dx.doi.org/10.1016/j.ygeno.2025.111080")</f>
        <v>http://dx.doi.org/10.1016/j.ygeno.2025.111080</v>
      </c>
    </row>
    <row r="644" spans="1:9" ht="319" x14ac:dyDescent="0.15">
      <c r="A644" s="1" t="s">
        <v>9</v>
      </c>
      <c r="B644" s="4" t="s">
        <v>829</v>
      </c>
      <c r="C644" s="1" t="s">
        <v>830</v>
      </c>
      <c r="D644" s="1" t="s">
        <v>37</v>
      </c>
      <c r="E644" s="1" t="s">
        <v>831</v>
      </c>
      <c r="F644" s="1" t="s">
        <v>387</v>
      </c>
      <c r="G644" s="1">
        <v>2025</v>
      </c>
      <c r="H644" s="1" t="s">
        <v>832</v>
      </c>
      <c r="I644" s="1" t="str">
        <f>HYPERLINK("http://dx.doi.org/10.1016/j.ecoenv.2025.119081","http://dx.doi.org/10.1016/j.ecoenv.2025.119081")</f>
        <v>http://dx.doi.org/10.1016/j.ecoenv.2025.119081</v>
      </c>
    </row>
    <row r="645" spans="1:9" ht="266" x14ac:dyDescent="0.15">
      <c r="A645" s="1" t="s">
        <v>9</v>
      </c>
      <c r="B645" s="4" t="s">
        <v>476</v>
      </c>
      <c r="C645" s="1" t="s">
        <v>477</v>
      </c>
      <c r="D645" s="1" t="s">
        <v>156</v>
      </c>
      <c r="E645" s="1" t="s">
        <v>478</v>
      </c>
      <c r="F645" s="1" t="s">
        <v>479</v>
      </c>
      <c r="G645" s="1">
        <v>2017</v>
      </c>
      <c r="H645" s="1" t="s">
        <v>480</v>
      </c>
      <c r="I645" s="1" t="str">
        <f>HYPERLINK("http://dx.doi.org/10.1038/srep42193","http://dx.doi.org/10.1038/srep42193")</f>
        <v>http://dx.doi.org/10.1038/srep42193</v>
      </c>
    </row>
    <row r="646" spans="1:9" ht="252" x14ac:dyDescent="0.15">
      <c r="A646" s="1" t="s">
        <v>9</v>
      </c>
      <c r="B646" s="4" t="s">
        <v>467</v>
      </c>
      <c r="C646" s="1" t="s">
        <v>468</v>
      </c>
      <c r="D646" s="1" t="s">
        <v>37</v>
      </c>
      <c r="E646" s="1" t="s">
        <v>469</v>
      </c>
      <c r="F646" s="1" t="s">
        <v>122</v>
      </c>
      <c r="G646" s="1">
        <v>2017</v>
      </c>
      <c r="H646" s="1" t="s">
        <v>470</v>
      </c>
      <c r="I646" s="1" t="str">
        <f>HYPERLINK("http://dx.doi.org/10.1016/j.ecoenv.2017.03.030","http://dx.doi.org/10.1016/j.ecoenv.2017.03.030")</f>
        <v>http://dx.doi.org/10.1016/j.ecoenv.2017.03.030</v>
      </c>
    </row>
    <row r="647" spans="1:9" ht="266" x14ac:dyDescent="0.15">
      <c r="A647" s="1" t="s">
        <v>9</v>
      </c>
      <c r="B647" s="4" t="s">
        <v>510</v>
      </c>
      <c r="C647" s="1" t="s">
        <v>511</v>
      </c>
      <c r="D647" s="1" t="s">
        <v>367</v>
      </c>
      <c r="E647" s="1" t="s">
        <v>512</v>
      </c>
      <c r="F647" s="1" t="s">
        <v>513</v>
      </c>
      <c r="G647" s="1">
        <v>2017</v>
      </c>
      <c r="H647" s="1" t="s">
        <v>514</v>
      </c>
      <c r="I647" s="1" t="str">
        <f>HYPERLINK("http://dx.doi.org/10.1016/j.jhazmat.2017.06.024","http://dx.doi.org/10.1016/j.jhazmat.2017.06.024")</f>
        <v>http://dx.doi.org/10.1016/j.jhazmat.2017.06.024</v>
      </c>
    </row>
    <row r="648" spans="1:9" ht="332" x14ac:dyDescent="0.15">
      <c r="A648" s="1" t="s">
        <v>9</v>
      </c>
      <c r="B648" s="4" t="s">
        <v>154</v>
      </c>
      <c r="C648" s="1" t="s">
        <v>155</v>
      </c>
      <c r="D648" s="1" t="s">
        <v>156</v>
      </c>
      <c r="E648" s="1" t="s">
        <v>157</v>
      </c>
      <c r="F648" s="1" t="s">
        <v>158</v>
      </c>
      <c r="G648" s="1">
        <v>2022</v>
      </c>
      <c r="H648" s="1" t="s">
        <v>159</v>
      </c>
      <c r="I648" s="1" t="str">
        <f>HYPERLINK("http://dx.doi.org/10.1038/s41598-022-23165-1","http://dx.doi.org/10.1038/s41598-022-23165-1")</f>
        <v>http://dx.doi.org/10.1038/s41598-022-23165-1</v>
      </c>
    </row>
    <row r="649" spans="1:9" ht="266" x14ac:dyDescent="0.15">
      <c r="A649" s="1" t="s">
        <v>9</v>
      </c>
      <c r="B649" s="4" t="s">
        <v>2044</v>
      </c>
      <c r="C649" s="1" t="s">
        <v>2045</v>
      </c>
      <c r="D649" s="1" t="s">
        <v>918</v>
      </c>
      <c r="E649" s="1" t="s">
        <v>2046</v>
      </c>
      <c r="F649" s="1" t="s">
        <v>33</v>
      </c>
      <c r="G649" s="1">
        <v>2020</v>
      </c>
      <c r="H649" s="1" t="s">
        <v>2047</v>
      </c>
      <c r="I649" s="1" t="str">
        <f>HYPERLINK("http://dx.doi.org/10.1016/j.dci.2020.103642","http://dx.doi.org/10.1016/j.dci.2020.103642")</f>
        <v>http://dx.doi.org/10.1016/j.dci.2020.103642</v>
      </c>
    </row>
    <row r="650" spans="1:9" ht="280" x14ac:dyDescent="0.15">
      <c r="A650" s="1" t="s">
        <v>9</v>
      </c>
      <c r="B650" s="4" t="s">
        <v>3062</v>
      </c>
      <c r="C650" s="1" t="s">
        <v>3063</v>
      </c>
      <c r="D650" s="1" t="s">
        <v>54</v>
      </c>
      <c r="E650" s="1" t="s">
        <v>3064</v>
      </c>
      <c r="F650" s="1" t="s">
        <v>221</v>
      </c>
      <c r="G650" s="1">
        <v>2018</v>
      </c>
      <c r="H650" s="1" t="s">
        <v>3065</v>
      </c>
      <c r="I650" s="1" t="str">
        <f>HYPERLINK("http://dx.doi.org/10.1111/mec.14452","http://dx.doi.org/10.1111/mec.14452")</f>
        <v>http://dx.doi.org/10.1111/mec.14452</v>
      </c>
    </row>
    <row r="651" spans="1:9" ht="182" x14ac:dyDescent="0.15">
      <c r="A651" s="1" t="s">
        <v>9</v>
      </c>
      <c r="B651" s="4" t="s">
        <v>253</v>
      </c>
      <c r="C651" s="1" t="s">
        <v>254</v>
      </c>
      <c r="D651" s="1" t="s">
        <v>78</v>
      </c>
      <c r="E651" s="1" t="s">
        <v>255</v>
      </c>
      <c r="F651" s="1" t="s">
        <v>256</v>
      </c>
      <c r="G651" s="1">
        <v>2025</v>
      </c>
      <c r="H651" s="1" t="s">
        <v>257</v>
      </c>
      <c r="I651" s="1" t="str">
        <f>HYPERLINK("http://dx.doi.org/10.3389/fmars.2025.1579913","http://dx.doi.org/10.3389/fmars.2025.1579913")</f>
        <v>http://dx.doi.org/10.3389/fmars.2025.1579913</v>
      </c>
    </row>
    <row r="652" spans="1:9" ht="371" x14ac:dyDescent="0.15">
      <c r="A652" s="1" t="s">
        <v>9</v>
      </c>
      <c r="B652" s="4" t="s">
        <v>124</v>
      </c>
      <c r="C652" s="1" t="s">
        <v>125</v>
      </c>
      <c r="D652" s="1" t="s">
        <v>78</v>
      </c>
      <c r="E652" s="1" t="s">
        <v>126</v>
      </c>
      <c r="F652" s="1" t="s">
        <v>127</v>
      </c>
      <c r="G652" s="1">
        <v>2020</v>
      </c>
      <c r="H652" s="1" t="s">
        <v>128</v>
      </c>
      <c r="I652" s="1" t="str">
        <f>HYPERLINK("http://dx.doi.org/10.3389/fmars.2019.00788","http://dx.doi.org/10.3389/fmars.2019.00788")</f>
        <v>http://dx.doi.org/10.3389/fmars.2019.00788</v>
      </c>
    </row>
    <row r="653" spans="1:9" ht="332" x14ac:dyDescent="0.15">
      <c r="A653" s="1" t="s">
        <v>9</v>
      </c>
      <c r="B653" s="4" t="s">
        <v>389</v>
      </c>
      <c r="C653" s="1" t="s">
        <v>390</v>
      </c>
      <c r="D653" s="1" t="s">
        <v>171</v>
      </c>
      <c r="E653" s="1" t="s">
        <v>391</v>
      </c>
      <c r="F653" s="1" t="s">
        <v>392</v>
      </c>
      <c r="G653" s="1">
        <v>2023</v>
      </c>
      <c r="H653" s="1" t="s">
        <v>393</v>
      </c>
      <c r="I653" s="1" t="str">
        <f>HYPERLINK("http://dx.doi.org/10.1186/s12915-023-01645-8","http://dx.doi.org/10.1186/s12915-023-01645-8")</f>
        <v>http://dx.doi.org/10.1186/s12915-023-01645-8</v>
      </c>
    </row>
    <row r="654" spans="1:9" ht="266" x14ac:dyDescent="0.15">
      <c r="A654" s="1" t="s">
        <v>9</v>
      </c>
      <c r="B654" s="4" t="s">
        <v>1456</v>
      </c>
      <c r="C654" s="1" t="s">
        <v>1457</v>
      </c>
      <c r="D654" s="1" t="s">
        <v>1458</v>
      </c>
      <c r="E654" s="1" t="s">
        <v>1459</v>
      </c>
      <c r="F654" s="1" t="s">
        <v>1460</v>
      </c>
      <c r="G654" s="1">
        <v>2025</v>
      </c>
      <c r="H654" s="1" t="s">
        <v>1461</v>
      </c>
      <c r="I654" s="1" t="str">
        <f>HYPERLINK("http://dx.doi.org/10.1073/pnas.2422782122","http://dx.doi.org/10.1073/pnas.2422782122")</f>
        <v>http://dx.doi.org/10.1073/pnas.2422782122</v>
      </c>
    </row>
    <row r="655" spans="1:9" ht="332" x14ac:dyDescent="0.15">
      <c r="A655" s="1" t="s">
        <v>9</v>
      </c>
      <c r="B655" s="4" t="s">
        <v>2925</v>
      </c>
      <c r="C655" s="1" t="s">
        <v>2926</v>
      </c>
      <c r="D655" s="1" t="s">
        <v>2927</v>
      </c>
      <c r="E655" s="1" t="s">
        <v>2928</v>
      </c>
      <c r="F655" s="1" t="s">
        <v>256</v>
      </c>
      <c r="G655" s="1">
        <v>2003</v>
      </c>
      <c r="H655" s="1" t="s">
        <v>2929</v>
      </c>
      <c r="I655" s="1" t="str">
        <f>HYPERLINK("http://dx.doi.org/10.1016/S1383-5718(03)00050-0","http://dx.doi.org/10.1016/S1383-5718(03)00050-0")</f>
        <v>http://dx.doi.org/10.1016/S1383-5718(03)00050-0</v>
      </c>
    </row>
    <row r="656" spans="1:9" ht="266" x14ac:dyDescent="0.15">
      <c r="A656" s="1" t="s">
        <v>9</v>
      </c>
      <c r="B656" s="9" t="s">
        <v>4009</v>
      </c>
      <c r="C656" s="1" t="s">
        <v>1028</v>
      </c>
      <c r="D656" s="1" t="s">
        <v>78</v>
      </c>
      <c r="E656" s="1" t="s">
        <v>1029</v>
      </c>
      <c r="F656" s="1" t="s">
        <v>1030</v>
      </c>
      <c r="G656" s="1">
        <v>2022</v>
      </c>
      <c r="H656" s="1" t="s">
        <v>1031</v>
      </c>
      <c r="I656" s="1" t="str">
        <f>HYPERLINK("http://dx.doi.org/10.3389/fmars.2022.1014810","http://dx.doi.org/10.3389/fmars.2022.1014810")</f>
        <v>http://dx.doi.org/10.3389/fmars.2022.1014810</v>
      </c>
    </row>
    <row r="657" spans="1:9" ht="409.6" x14ac:dyDescent="0.15">
      <c r="A657" s="1" t="s">
        <v>9</v>
      </c>
      <c r="B657" s="4" t="s">
        <v>1191</v>
      </c>
      <c r="C657" s="1" t="s">
        <v>1192</v>
      </c>
      <c r="D657" s="1" t="s">
        <v>946</v>
      </c>
      <c r="E657" s="1" t="s">
        <v>1193</v>
      </c>
      <c r="F657" s="1" t="s">
        <v>221</v>
      </c>
      <c r="G657" s="1">
        <v>2023</v>
      </c>
      <c r="H657" s="1" t="s">
        <v>1194</v>
      </c>
      <c r="I657" s="1" t="str">
        <f>HYPERLINK("http://dx.doi.org/10.3390/biology12010106","http://dx.doi.org/10.3390/biology12010106")</f>
        <v>http://dx.doi.org/10.3390/biology12010106</v>
      </c>
    </row>
    <row r="658" spans="1:9" ht="252" x14ac:dyDescent="0.15">
      <c r="A658" s="1" t="s">
        <v>9</v>
      </c>
      <c r="B658" s="4" t="s">
        <v>632</v>
      </c>
      <c r="C658" s="1" t="s">
        <v>633</v>
      </c>
      <c r="D658" s="1" t="s">
        <v>634</v>
      </c>
      <c r="E658" s="1" t="s">
        <v>635</v>
      </c>
      <c r="F658" s="1" t="s">
        <v>122</v>
      </c>
      <c r="G658" s="1">
        <v>2020</v>
      </c>
      <c r="H658" s="1" t="s">
        <v>636</v>
      </c>
      <c r="I658" s="1" t="str">
        <f>HYPERLINK("http://dx.doi.org/10.1093/icb/icaa023","http://dx.doi.org/10.1093/icb/icaa023")</f>
        <v>http://dx.doi.org/10.1093/icb/icaa023</v>
      </c>
    </row>
    <row r="659" spans="1:9" ht="384" x14ac:dyDescent="0.15">
      <c r="A659" s="1" t="s">
        <v>9</v>
      </c>
      <c r="B659" s="4" t="s">
        <v>2421</v>
      </c>
      <c r="C659" s="1" t="s">
        <v>2422</v>
      </c>
      <c r="D659" s="1" t="s">
        <v>2423</v>
      </c>
      <c r="E659" s="1" t="s">
        <v>2424</v>
      </c>
      <c r="F659" s="1" t="s">
        <v>11</v>
      </c>
      <c r="G659" s="1">
        <v>2015</v>
      </c>
      <c r="H659" s="1" t="s">
        <v>2425</v>
      </c>
      <c r="I659" s="1" t="str">
        <f>HYPERLINK("http://dx.doi.org/10.1016/j.micres.2014.08.011","http://dx.doi.org/10.1016/j.micres.2014.08.011")</f>
        <v>http://dx.doi.org/10.1016/j.micres.2014.08.011</v>
      </c>
    </row>
    <row r="660" spans="1:9" ht="319" x14ac:dyDescent="0.15">
      <c r="A660" s="1" t="s">
        <v>9</v>
      </c>
      <c r="B660" s="4" t="s">
        <v>1333</v>
      </c>
      <c r="C660" s="1" t="s">
        <v>1334</v>
      </c>
      <c r="D660" s="1" t="s">
        <v>142</v>
      </c>
      <c r="E660" s="1" t="s">
        <v>1335</v>
      </c>
      <c r="F660" s="1" t="s">
        <v>62</v>
      </c>
      <c r="G660" s="1">
        <v>2017</v>
      </c>
      <c r="H660" s="1" t="s">
        <v>1336</v>
      </c>
      <c r="I660" s="1" t="str">
        <f>HYPERLINK("http://dx.doi.org/10.1016/j.fsi.2017.03.020","http://dx.doi.org/10.1016/j.fsi.2017.03.020")</f>
        <v>http://dx.doi.org/10.1016/j.fsi.2017.03.020</v>
      </c>
    </row>
    <row r="661" spans="1:9" ht="252" x14ac:dyDescent="0.15">
      <c r="A661" s="1" t="s">
        <v>9</v>
      </c>
      <c r="B661" s="4" t="s">
        <v>496</v>
      </c>
      <c r="C661" s="1" t="s">
        <v>497</v>
      </c>
      <c r="D661" s="1" t="s">
        <v>498</v>
      </c>
      <c r="E661" s="1" t="s">
        <v>499</v>
      </c>
      <c r="F661" s="1" t="s">
        <v>96</v>
      </c>
      <c r="G661" s="1">
        <v>2024</v>
      </c>
      <c r="H661" s="1" t="s">
        <v>500</v>
      </c>
      <c r="I661" s="1" t="str">
        <f>HYPERLINK("http://dx.doi.org/10.1016/j.aqrep.2024.102339","http://dx.doi.org/10.1016/j.aqrep.2024.102339")</f>
        <v>http://dx.doi.org/10.1016/j.aqrep.2024.102339</v>
      </c>
    </row>
    <row r="662" spans="1:9" ht="280" x14ac:dyDescent="0.15">
      <c r="A662" s="1" t="s">
        <v>9</v>
      </c>
      <c r="B662" s="4" t="s">
        <v>1889</v>
      </c>
      <c r="C662" s="1" t="s">
        <v>1890</v>
      </c>
      <c r="D662" s="1" t="s">
        <v>951</v>
      </c>
      <c r="E662" s="1" t="s">
        <v>1891</v>
      </c>
      <c r="F662" s="1" t="s">
        <v>112</v>
      </c>
      <c r="G662" s="1">
        <v>2023</v>
      </c>
      <c r="H662" s="1" t="s">
        <v>1892</v>
      </c>
      <c r="I662" s="1" t="str">
        <f>HYPERLINK("http://dx.doi.org/10.3390/ijms24065928","http://dx.doi.org/10.3390/ijms24065928")</f>
        <v>http://dx.doi.org/10.3390/ijms24065928</v>
      </c>
    </row>
    <row r="663" spans="1:9" ht="252" x14ac:dyDescent="0.15">
      <c r="A663" s="1" t="s">
        <v>9</v>
      </c>
      <c r="B663" s="4" t="s">
        <v>491</v>
      </c>
      <c r="C663" s="1" t="s">
        <v>492</v>
      </c>
      <c r="D663" s="1" t="s">
        <v>493</v>
      </c>
      <c r="E663" s="1" t="s">
        <v>494</v>
      </c>
      <c r="F663" s="1" t="s">
        <v>209</v>
      </c>
      <c r="G663" s="1">
        <v>2021</v>
      </c>
      <c r="H663" s="1" t="s">
        <v>495</v>
      </c>
      <c r="I663" s="1" t="str">
        <f>HYPERLINK("http://dx.doi.org/10.1016/j.etap.2021.103753","http://dx.doi.org/10.1016/j.etap.2021.103753")</f>
        <v>http://dx.doi.org/10.1016/j.etap.2021.103753</v>
      </c>
    </row>
    <row r="664" spans="1:9" ht="397" x14ac:dyDescent="0.15">
      <c r="A664" s="1" t="s">
        <v>9</v>
      </c>
      <c r="B664" s="4" t="s">
        <v>3800</v>
      </c>
      <c r="C664" s="1" t="s">
        <v>3801</v>
      </c>
      <c r="D664" s="1" t="s">
        <v>2611</v>
      </c>
      <c r="E664" s="1" t="s">
        <v>3802</v>
      </c>
      <c r="F664" s="1" t="s">
        <v>33</v>
      </c>
      <c r="G664" s="1">
        <v>2023</v>
      </c>
      <c r="H664" s="1" t="s">
        <v>3803</v>
      </c>
      <c r="I664" s="1" t="str">
        <f>HYPERLINK("http://dx.doi.org/10.1111/fwb.14084","http://dx.doi.org/10.1111/fwb.14084")</f>
        <v>http://dx.doi.org/10.1111/fwb.14084</v>
      </c>
    </row>
    <row r="665" spans="1:9" ht="252" x14ac:dyDescent="0.15">
      <c r="A665" s="1" t="s">
        <v>9</v>
      </c>
      <c r="B665" s="4" t="s">
        <v>1400</v>
      </c>
      <c r="C665" s="1" t="s">
        <v>1401</v>
      </c>
      <c r="D665" s="1" t="s">
        <v>78</v>
      </c>
      <c r="E665" s="1" t="s">
        <v>1402</v>
      </c>
      <c r="F665" s="1" t="s">
        <v>1015</v>
      </c>
      <c r="G665" s="1">
        <v>2025</v>
      </c>
      <c r="H665" s="1" t="s">
        <v>1403</v>
      </c>
      <c r="I665" s="1" t="str">
        <f>HYPERLINK("http://dx.doi.org/10.3389/fmars.2025.1528020","http://dx.doi.org/10.3389/fmars.2025.1528020")</f>
        <v>http://dx.doi.org/10.3389/fmars.2025.1528020</v>
      </c>
    </row>
    <row r="666" spans="1:9" ht="252" x14ac:dyDescent="0.15">
      <c r="A666" s="1" t="s">
        <v>9</v>
      </c>
      <c r="B666" s="4" t="s">
        <v>1514</v>
      </c>
      <c r="C666" s="1" t="s">
        <v>1515</v>
      </c>
      <c r="D666" s="1" t="s">
        <v>894</v>
      </c>
      <c r="E666" s="1" t="s">
        <v>1516</v>
      </c>
      <c r="F666" s="1" t="s">
        <v>33</v>
      </c>
      <c r="G666" s="1">
        <v>2010</v>
      </c>
      <c r="H666" s="1" t="s">
        <v>1517</v>
      </c>
      <c r="I666" s="1" t="str">
        <f>HYPERLINK("http://dx.doi.org/10.1016/j.margen.2010.05.002","http://dx.doi.org/10.1016/j.margen.2010.05.002")</f>
        <v>http://dx.doi.org/10.1016/j.margen.2010.05.002</v>
      </c>
    </row>
    <row r="667" spans="1:9" ht="293" x14ac:dyDescent="0.15">
      <c r="A667" s="1" t="s">
        <v>9</v>
      </c>
      <c r="B667" s="4" t="s">
        <v>534</v>
      </c>
      <c r="C667" s="1" t="s">
        <v>535</v>
      </c>
      <c r="D667" s="1" t="s">
        <v>110</v>
      </c>
      <c r="E667" s="1" t="s">
        <v>536</v>
      </c>
      <c r="F667" s="1" t="s">
        <v>21</v>
      </c>
      <c r="G667" s="1">
        <v>2018</v>
      </c>
      <c r="H667" s="1" t="s">
        <v>537</v>
      </c>
      <c r="I667" s="1" t="str">
        <f>HYPERLINK("http://dx.doi.org/10.1016/j.aquatox.2018.09.015","http://dx.doi.org/10.1016/j.aquatox.2018.09.015")</f>
        <v>http://dx.doi.org/10.1016/j.aquatox.2018.09.015</v>
      </c>
    </row>
    <row r="668" spans="1:9" ht="332" x14ac:dyDescent="0.15">
      <c r="A668" s="1" t="s">
        <v>9</v>
      </c>
      <c r="B668" s="4" t="s">
        <v>357</v>
      </c>
      <c r="C668" s="1" t="s">
        <v>358</v>
      </c>
      <c r="D668" s="1" t="s">
        <v>54</v>
      </c>
      <c r="E668" s="1" t="s">
        <v>359</v>
      </c>
      <c r="F668" s="1" t="s">
        <v>221</v>
      </c>
      <c r="G668" s="1">
        <v>2023</v>
      </c>
      <c r="H668" s="1" t="s">
        <v>360</v>
      </c>
      <c r="I668" s="1" t="str">
        <f>HYPERLINK("http://dx.doi.org/10.1111/mec.16751","http://dx.doi.org/10.1111/mec.16751")</f>
        <v>http://dx.doi.org/10.1111/mec.16751</v>
      </c>
    </row>
    <row r="669" spans="1:9" ht="210" x14ac:dyDescent="0.15">
      <c r="A669" s="1" t="s">
        <v>9</v>
      </c>
      <c r="B669" s="4" t="s">
        <v>1802</v>
      </c>
      <c r="C669" s="1" t="s">
        <v>1803</v>
      </c>
      <c r="D669" s="1" t="s">
        <v>1804</v>
      </c>
      <c r="E669" s="1" t="s">
        <v>1805</v>
      </c>
      <c r="F669" s="1" t="s">
        <v>1806</v>
      </c>
      <c r="G669" s="1">
        <v>2014</v>
      </c>
      <c r="H669" s="1" t="s">
        <v>1807</v>
      </c>
      <c r="I669" s="1" t="str">
        <f>HYPERLINK("http://dx.doi.org/10.1086/676138","http://dx.doi.org/10.1086/676138")</f>
        <v>http://dx.doi.org/10.1086/676138</v>
      </c>
    </row>
    <row r="670" spans="1:9" ht="306" x14ac:dyDescent="0.15">
      <c r="A670" s="1" t="s">
        <v>9</v>
      </c>
      <c r="B670" s="4" t="s">
        <v>1522</v>
      </c>
      <c r="C670" s="1" t="s">
        <v>1523</v>
      </c>
      <c r="D670" s="1" t="s">
        <v>894</v>
      </c>
      <c r="E670" s="1" t="s">
        <v>1524</v>
      </c>
      <c r="F670" s="1" t="s">
        <v>33</v>
      </c>
      <c r="G670" s="1">
        <v>2017</v>
      </c>
      <c r="H670" s="1" t="s">
        <v>1525</v>
      </c>
      <c r="I670" s="1" t="str">
        <f>HYPERLINK("http://dx.doi.org/10.1016/j.margen.2017.01.002","http://dx.doi.org/10.1016/j.margen.2017.01.002")</f>
        <v>http://dx.doi.org/10.1016/j.margen.2017.01.002</v>
      </c>
    </row>
    <row r="671" spans="1:9" ht="293" x14ac:dyDescent="0.15">
      <c r="A671" s="1" t="s">
        <v>9</v>
      </c>
      <c r="B671" s="4" t="s">
        <v>279</v>
      </c>
      <c r="C671" s="1" t="s">
        <v>280</v>
      </c>
      <c r="D671" s="1" t="s">
        <v>281</v>
      </c>
      <c r="E671" s="1" t="s">
        <v>282</v>
      </c>
      <c r="F671" s="1" t="s">
        <v>33</v>
      </c>
      <c r="G671" s="1">
        <v>2015</v>
      </c>
      <c r="H671" s="1" t="s">
        <v>283</v>
      </c>
      <c r="I671" s="1" t="str">
        <f>HYPERLINK("http://dx.doi.org/10.1016/j.chemosphere.2015.01.045","http://dx.doi.org/10.1016/j.chemosphere.2015.01.045")</f>
        <v>http://dx.doi.org/10.1016/j.chemosphere.2015.01.045</v>
      </c>
    </row>
    <row r="672" spans="1:9" ht="280" x14ac:dyDescent="0.15">
      <c r="A672" s="1" t="s">
        <v>9</v>
      </c>
      <c r="B672" s="4" t="s">
        <v>617</v>
      </c>
      <c r="C672" s="1" t="s">
        <v>618</v>
      </c>
      <c r="D672" s="1" t="s">
        <v>619</v>
      </c>
      <c r="E672" s="1" t="s">
        <v>620</v>
      </c>
      <c r="F672" s="1" t="s">
        <v>112</v>
      </c>
      <c r="G672" s="1">
        <v>2023</v>
      </c>
      <c r="H672" s="1" t="s">
        <v>621</v>
      </c>
      <c r="I672" s="1" t="str">
        <f>HYPERLINK("http://dx.doi.org/10.3791/64817","http://dx.doi.org/10.3791/64817")</f>
        <v>http://dx.doi.org/10.3791/64817</v>
      </c>
    </row>
    <row r="673" spans="1:9" ht="266" x14ac:dyDescent="0.15">
      <c r="A673" s="1" t="s">
        <v>9</v>
      </c>
      <c r="B673" s="4" t="s">
        <v>1918</v>
      </c>
      <c r="C673" s="1" t="s">
        <v>1919</v>
      </c>
      <c r="D673" s="1" t="s">
        <v>142</v>
      </c>
      <c r="E673" s="1" t="s">
        <v>1920</v>
      </c>
      <c r="F673" s="1" t="s">
        <v>221</v>
      </c>
      <c r="G673" s="1">
        <v>2011</v>
      </c>
      <c r="H673" s="1" t="s">
        <v>1921</v>
      </c>
      <c r="I673" s="1" t="str">
        <f>HYPERLINK("http://dx.doi.org/10.1016/j.fsi.2010.09.006","http://dx.doi.org/10.1016/j.fsi.2010.09.006")</f>
        <v>http://dx.doi.org/10.1016/j.fsi.2010.09.006</v>
      </c>
    </row>
    <row r="674" spans="1:9" ht="319" x14ac:dyDescent="0.15">
      <c r="A674" s="1" t="s">
        <v>9</v>
      </c>
      <c r="B674" s="4" t="s">
        <v>342</v>
      </c>
      <c r="C674" s="1" t="s">
        <v>343</v>
      </c>
      <c r="D674" s="1" t="s">
        <v>344</v>
      </c>
      <c r="E674" s="1" t="s">
        <v>345</v>
      </c>
      <c r="F674" s="1" t="s">
        <v>346</v>
      </c>
      <c r="G674" s="1">
        <v>2024</v>
      </c>
      <c r="H674" s="1" t="s">
        <v>347</v>
      </c>
      <c r="I674" s="1" t="str">
        <f>HYPERLINK("http://dx.doi.org/10.1021/acs.est.3c08201","http://dx.doi.org/10.1021/acs.est.3c08201")</f>
        <v>http://dx.doi.org/10.1021/acs.est.3c08201</v>
      </c>
    </row>
    <row r="675" spans="1:9" ht="358" x14ac:dyDescent="0.15">
      <c r="A675" s="1" t="s">
        <v>9</v>
      </c>
      <c r="B675" s="4" t="s">
        <v>408</v>
      </c>
      <c r="C675" s="1" t="s">
        <v>409</v>
      </c>
      <c r="D675" s="1" t="s">
        <v>186</v>
      </c>
      <c r="E675" s="1" t="s">
        <v>410</v>
      </c>
      <c r="F675" s="1" t="s">
        <v>411</v>
      </c>
      <c r="G675" s="1">
        <v>2023</v>
      </c>
      <c r="H675" s="1" t="s">
        <v>412</v>
      </c>
      <c r="I675" s="1" t="str">
        <f>HYPERLINK("http://dx.doi.org/10.1016/j.envpol.2023.121472","http://dx.doi.org/10.1016/j.envpol.2023.121472")</f>
        <v>http://dx.doi.org/10.1016/j.envpol.2023.121472</v>
      </c>
    </row>
    <row r="676" spans="1:9" ht="397" x14ac:dyDescent="0.15">
      <c r="A676" s="1" t="s">
        <v>9</v>
      </c>
      <c r="B676" s="4" t="s">
        <v>211</v>
      </c>
      <c r="C676" s="1" t="s">
        <v>212</v>
      </c>
      <c r="D676" s="1" t="s">
        <v>78</v>
      </c>
      <c r="E676" s="1" t="s">
        <v>216</v>
      </c>
      <c r="F676" s="1" t="s">
        <v>214</v>
      </c>
      <c r="G676" s="1">
        <v>2020</v>
      </c>
      <c r="H676" s="1" t="s">
        <v>217</v>
      </c>
      <c r="I676" s="1" t="str">
        <f>HYPERLINK("http://dx.doi.org/10.3389/fmars.7070.566419","http://dx.doi.org/10.3389/fmars.7070.566419")</f>
        <v>http://dx.doi.org/10.3389/fmars.7070.566419</v>
      </c>
    </row>
    <row r="677" spans="1:9" ht="224" x14ac:dyDescent="0.15">
      <c r="A677" s="1" t="s">
        <v>15</v>
      </c>
      <c r="B677" s="4" t="s">
        <v>1107</v>
      </c>
      <c r="C677" s="1" t="s">
        <v>1108</v>
      </c>
      <c r="D677" s="1" t="s">
        <v>1109</v>
      </c>
      <c r="E677" s="1" t="s">
        <v>1110</v>
      </c>
      <c r="F677" s="1" t="s">
        <v>11</v>
      </c>
      <c r="G677" s="1">
        <v>2011</v>
      </c>
      <c r="H677" s="1" t="s">
        <v>1111</v>
      </c>
      <c r="I677" s="1" t="str">
        <f>HYPERLINK("http://dx.doi.org/10.1007/978-3-7643-8989-5_4","http://dx.doi.org/10.1007/978-3-7643-8989-5_4")</f>
        <v>http://dx.doi.org/10.1007/978-3-7643-8989-5_4</v>
      </c>
    </row>
    <row r="678" spans="1:9" ht="332" x14ac:dyDescent="0.15">
      <c r="A678" s="1" t="s">
        <v>9</v>
      </c>
      <c r="B678" s="4" t="s">
        <v>768</v>
      </c>
      <c r="C678" s="1" t="s">
        <v>769</v>
      </c>
      <c r="D678" s="1" t="s">
        <v>54</v>
      </c>
      <c r="E678" s="1" t="s">
        <v>770</v>
      </c>
      <c r="F678" s="1" t="s">
        <v>68</v>
      </c>
      <c r="G678" s="1">
        <v>2019</v>
      </c>
      <c r="H678" s="1" t="s">
        <v>771</v>
      </c>
      <c r="I678" s="1" t="str">
        <f>HYPERLINK("http://dx.doi.org/10.1111/mec.15140","http://dx.doi.org/10.1111/mec.15140")</f>
        <v>http://dx.doi.org/10.1111/mec.15140</v>
      </c>
    </row>
    <row r="679" spans="1:9" ht="345" x14ac:dyDescent="0.15">
      <c r="A679" s="1" t="s">
        <v>9</v>
      </c>
      <c r="B679" s="4" t="s">
        <v>314</v>
      </c>
      <c r="C679" s="1" t="s">
        <v>315</v>
      </c>
      <c r="D679" s="1" t="s">
        <v>316</v>
      </c>
      <c r="E679" s="1" t="s">
        <v>317</v>
      </c>
      <c r="F679" s="1" t="s">
        <v>96</v>
      </c>
      <c r="G679" s="1">
        <v>2017</v>
      </c>
      <c r="H679" s="1" t="s">
        <v>318</v>
      </c>
      <c r="I679" s="1" t="str">
        <f>HYPERLINK("http://dx.doi.org/10.1016/j.jip.2017.08.007","http://dx.doi.org/10.1016/j.jip.2017.08.007")</f>
        <v>http://dx.doi.org/10.1016/j.jip.2017.08.007</v>
      </c>
    </row>
    <row r="680" spans="1:9" ht="384" x14ac:dyDescent="0.15">
      <c r="A680" s="1" t="s">
        <v>9</v>
      </c>
      <c r="B680" s="4" t="s">
        <v>892</v>
      </c>
      <c r="C680" s="1" t="s">
        <v>893</v>
      </c>
      <c r="D680" s="1" t="s">
        <v>894</v>
      </c>
      <c r="E680" s="1" t="s">
        <v>895</v>
      </c>
      <c r="F680" s="1" t="s">
        <v>138</v>
      </c>
      <c r="G680" s="1">
        <v>2015</v>
      </c>
      <c r="H680" s="1" t="s">
        <v>896</v>
      </c>
      <c r="I680" s="1" t="str">
        <f>HYPERLINK("http://dx.doi.org/10.1016/j.margen.2014.09.002","http://dx.doi.org/10.1016/j.margen.2014.09.002")</f>
        <v>http://dx.doi.org/10.1016/j.margen.2014.09.002</v>
      </c>
    </row>
    <row r="681" spans="1:9" ht="306" x14ac:dyDescent="0.15">
      <c r="A681" s="1" t="s">
        <v>9</v>
      </c>
      <c r="B681" s="4" t="s">
        <v>462</v>
      </c>
      <c r="C681" s="1" t="s">
        <v>463</v>
      </c>
      <c r="D681" s="1" t="s">
        <v>186</v>
      </c>
      <c r="E681" s="1" t="s">
        <v>464</v>
      </c>
      <c r="F681" s="1" t="s">
        <v>465</v>
      </c>
      <c r="G681" s="1">
        <v>2025</v>
      </c>
      <c r="H681" s="1" t="s">
        <v>466</v>
      </c>
      <c r="I681" s="1" t="str">
        <f>HYPERLINK("http://dx.doi.org/10.1016/j.envpol.2025.127002","http://dx.doi.org/10.1016/j.envpol.2025.127002")</f>
        <v>http://dx.doi.org/10.1016/j.envpol.2025.127002</v>
      </c>
    </row>
    <row r="682" spans="1:9" ht="384" x14ac:dyDescent="0.15">
      <c r="A682" s="1" t="s">
        <v>9</v>
      </c>
      <c r="B682" s="4" t="s">
        <v>1450</v>
      </c>
      <c r="C682" s="1" t="s">
        <v>1451</v>
      </c>
      <c r="D682" s="1" t="s">
        <v>1452</v>
      </c>
      <c r="E682" s="1" t="s">
        <v>1453</v>
      </c>
      <c r="F682" s="1" t="s">
        <v>1454</v>
      </c>
      <c r="G682" s="1">
        <v>2023</v>
      </c>
      <c r="H682" s="1" t="s">
        <v>1455</v>
      </c>
      <c r="I682" s="1" t="str">
        <f>HYPERLINK("http://dx.doi.org/10.1038/s42003-023-04516-8","http://dx.doi.org/10.1038/s42003-023-04516-8")</f>
        <v>http://dx.doi.org/10.1038/s42003-023-04516-8</v>
      </c>
    </row>
    <row r="683" spans="1:9" ht="280" x14ac:dyDescent="0.15">
      <c r="A683" s="1" t="s">
        <v>9</v>
      </c>
      <c r="B683" s="4" t="s">
        <v>1436</v>
      </c>
      <c r="C683" s="1" t="s">
        <v>1437</v>
      </c>
      <c r="D683" s="1" t="s">
        <v>54</v>
      </c>
      <c r="E683" s="1" t="s">
        <v>1438</v>
      </c>
      <c r="F683" s="1" t="s">
        <v>68</v>
      </c>
      <c r="G683" s="1">
        <v>2017</v>
      </c>
      <c r="H683" s="1" t="s">
        <v>1439</v>
      </c>
      <c r="I683" s="1" t="str">
        <f>HYPERLINK("http://dx.doi.org/10.1111/mec.14130","http://dx.doi.org/10.1111/mec.14130")</f>
        <v>http://dx.doi.org/10.1111/mec.14130</v>
      </c>
    </row>
    <row r="684" spans="1:9" ht="306" x14ac:dyDescent="0.15">
      <c r="A684" s="1" t="s">
        <v>9</v>
      </c>
      <c r="B684" s="4" t="s">
        <v>1088</v>
      </c>
      <c r="C684" s="1" t="s">
        <v>1089</v>
      </c>
      <c r="D684" s="1" t="s">
        <v>1090</v>
      </c>
      <c r="E684" s="1" t="s">
        <v>1091</v>
      </c>
      <c r="F684" s="1" t="s">
        <v>62</v>
      </c>
      <c r="G684" s="1">
        <v>2025</v>
      </c>
      <c r="H684" s="1" t="s">
        <v>1092</v>
      </c>
      <c r="I684" s="1" t="str">
        <f>HYPERLINK("http://dx.doi.org/10.1016/j.ijbiomac.2025.142069","http://dx.doi.org/10.1016/j.ijbiomac.2025.142069")</f>
        <v>http://dx.doi.org/10.1016/j.ijbiomac.2025.142069</v>
      </c>
    </row>
    <row r="685" spans="1:9" ht="224" x14ac:dyDescent="0.15">
      <c r="A685" s="1" t="s">
        <v>9</v>
      </c>
      <c r="B685" s="4" t="s">
        <v>1774</v>
      </c>
      <c r="C685" s="1" t="s">
        <v>1775</v>
      </c>
      <c r="D685" s="1" t="s">
        <v>918</v>
      </c>
      <c r="E685" s="1" t="s">
        <v>1776</v>
      </c>
      <c r="F685" s="1" t="s">
        <v>21</v>
      </c>
      <c r="G685" s="1">
        <v>2021</v>
      </c>
      <c r="H685" s="1" t="s">
        <v>1777</v>
      </c>
      <c r="I685" s="1" t="str">
        <f>HYPERLINK("http://dx.doi.org/10.1016/j.dci.2021.104217","http://dx.doi.org/10.1016/j.dci.2021.104217")</f>
        <v>http://dx.doi.org/10.1016/j.dci.2021.104217</v>
      </c>
    </row>
    <row r="686" spans="1:9" ht="182" x14ac:dyDescent="0.15">
      <c r="A686" s="1" t="s">
        <v>9</v>
      </c>
      <c r="B686" s="4" t="s">
        <v>2778</v>
      </c>
      <c r="C686" s="1" t="s">
        <v>2779</v>
      </c>
      <c r="D686" s="1" t="s">
        <v>2780</v>
      </c>
      <c r="E686" s="1" t="s">
        <v>2781</v>
      </c>
      <c r="F686" s="1" t="s">
        <v>39</v>
      </c>
      <c r="G686" s="1">
        <v>2020</v>
      </c>
      <c r="H686" s="1" t="s">
        <v>2782</v>
      </c>
      <c r="I686" s="1" t="str">
        <f>HYPERLINK("http://dx.doi.org/10.1080/21505594.2020.1787078","http://dx.doi.org/10.1080/21505594.2020.1787078")</f>
        <v>http://dx.doi.org/10.1080/21505594.2020.1787078</v>
      </c>
    </row>
    <row r="687" spans="1:9" ht="358" x14ac:dyDescent="0.15">
      <c r="A687" s="1" t="s">
        <v>9</v>
      </c>
      <c r="B687" s="4" t="s">
        <v>361</v>
      </c>
      <c r="C687" s="1" t="s">
        <v>362</v>
      </c>
      <c r="D687" s="1" t="s">
        <v>110</v>
      </c>
      <c r="E687" s="1" t="s">
        <v>363</v>
      </c>
      <c r="F687" s="1" t="s">
        <v>62</v>
      </c>
      <c r="G687" s="1">
        <v>2017</v>
      </c>
      <c r="H687" s="1" t="s">
        <v>364</v>
      </c>
      <c r="I687" s="1" t="str">
        <f>HYPERLINK("http://dx.doi.org/10.1016/j.aquatox.2017.03.006","http://dx.doi.org/10.1016/j.aquatox.2017.03.006")</f>
        <v>http://dx.doi.org/10.1016/j.aquatox.2017.03.006</v>
      </c>
    </row>
    <row r="688" spans="1:9" ht="306" x14ac:dyDescent="0.15">
      <c r="A688" s="1" t="s">
        <v>9</v>
      </c>
      <c r="B688" s="4" t="s">
        <v>1391</v>
      </c>
      <c r="C688" s="1" t="s">
        <v>1392</v>
      </c>
      <c r="D688" s="1" t="s">
        <v>54</v>
      </c>
      <c r="E688" s="1" t="s">
        <v>1393</v>
      </c>
      <c r="F688" s="1" t="s">
        <v>138</v>
      </c>
      <c r="G688" s="1">
        <v>2019</v>
      </c>
      <c r="H688" s="1" t="s">
        <v>1394</v>
      </c>
      <c r="I688" s="1" t="str">
        <f>HYPERLINK("http://dx.doi.org/10.1111/mec.14973","http://dx.doi.org/10.1111/mec.14973")</f>
        <v>http://dx.doi.org/10.1111/mec.14973</v>
      </c>
    </row>
    <row r="689" spans="1:9" ht="306" x14ac:dyDescent="0.15">
      <c r="A689" s="1" t="s">
        <v>9</v>
      </c>
      <c r="B689" s="4" t="s">
        <v>140</v>
      </c>
      <c r="C689" s="1" t="s">
        <v>141</v>
      </c>
      <c r="D689" s="1" t="s">
        <v>142</v>
      </c>
      <c r="E689" s="1" t="s">
        <v>143</v>
      </c>
      <c r="F689" s="1" t="s">
        <v>122</v>
      </c>
      <c r="G689" s="1">
        <v>2014</v>
      </c>
      <c r="H689" s="1" t="s">
        <v>144</v>
      </c>
      <c r="I689" s="1" t="str">
        <f>HYPERLINK("http://dx.doi.org/10.1016/j.fsi.2014.06.010","http://dx.doi.org/10.1016/j.fsi.2014.06.010")</f>
        <v>http://dx.doi.org/10.1016/j.fsi.2014.06.010</v>
      </c>
    </row>
    <row r="690" spans="1:9" ht="345" x14ac:dyDescent="0.15">
      <c r="A690" s="1" t="s">
        <v>9</v>
      </c>
      <c r="B690" s="4" t="s">
        <v>384</v>
      </c>
      <c r="C690" s="1" t="s">
        <v>385</v>
      </c>
      <c r="D690" s="1" t="s">
        <v>37</v>
      </c>
      <c r="E690" s="1" t="s">
        <v>386</v>
      </c>
      <c r="F690" s="1" t="s">
        <v>387</v>
      </c>
      <c r="G690" s="1">
        <v>2025</v>
      </c>
      <c r="H690" s="1" t="s">
        <v>388</v>
      </c>
      <c r="I690" s="1" t="str">
        <f>HYPERLINK("http://dx.doi.org/10.1016/j.ecoenv.2025.119112","http://dx.doi.org/10.1016/j.ecoenv.2025.119112")</f>
        <v>http://dx.doi.org/10.1016/j.ecoenv.2025.119112</v>
      </c>
    </row>
    <row r="691" spans="1:9" ht="371" x14ac:dyDescent="0.15">
      <c r="A691" s="1" t="s">
        <v>9</v>
      </c>
      <c r="B691" s="4" t="s">
        <v>237</v>
      </c>
      <c r="C691" s="1" t="s">
        <v>238</v>
      </c>
      <c r="D691" s="1" t="s">
        <v>156</v>
      </c>
      <c r="E691" s="1" t="s">
        <v>239</v>
      </c>
      <c r="F691" s="1" t="s">
        <v>240</v>
      </c>
      <c r="G691" s="1">
        <v>2021</v>
      </c>
      <c r="H691" s="1" t="s">
        <v>241</v>
      </c>
      <c r="I691" s="1" t="str">
        <f>HYPERLINK("http://dx.doi.org/10.1038/s41598-021-98354-5","http://dx.doi.org/10.1038/s41598-021-98354-5")</f>
        <v>http://dx.doi.org/10.1038/s41598-021-98354-5</v>
      </c>
    </row>
    <row r="692" spans="1:9" ht="293" x14ac:dyDescent="0.15">
      <c r="A692" s="1" t="s">
        <v>9</v>
      </c>
      <c r="B692" s="4" t="s">
        <v>2138</v>
      </c>
      <c r="C692" s="1" t="s">
        <v>2139</v>
      </c>
      <c r="D692" s="1" t="s">
        <v>260</v>
      </c>
      <c r="E692" s="1" t="s">
        <v>2140</v>
      </c>
      <c r="F692" s="1" t="s">
        <v>262</v>
      </c>
      <c r="G692" s="1">
        <v>2023</v>
      </c>
      <c r="H692" s="1" t="s">
        <v>2141</v>
      </c>
      <c r="I692" s="1" t="str">
        <f>HYPERLINK("http://dx.doi.org/10.1016/j.aquaculture.2022.738812","http://dx.doi.org/10.1016/j.aquaculture.2022.738812")</f>
        <v>http://dx.doi.org/10.1016/j.aquaculture.2022.738812</v>
      </c>
    </row>
    <row r="693" spans="1:9" ht="345" x14ac:dyDescent="0.15">
      <c r="A693" s="1" t="s">
        <v>9</v>
      </c>
      <c r="B693" s="4" t="s">
        <v>860</v>
      </c>
      <c r="C693" s="1" t="s">
        <v>861</v>
      </c>
      <c r="D693" s="1" t="s">
        <v>862</v>
      </c>
      <c r="E693" s="1" t="s">
        <v>863</v>
      </c>
      <c r="F693" s="1" t="s">
        <v>864</v>
      </c>
      <c r="G693" s="1">
        <v>2020</v>
      </c>
      <c r="H693" s="1" t="s">
        <v>865</v>
      </c>
      <c r="I693" s="1" t="str">
        <f>HYPERLINK("http://dx.doi.org/10.1093/conphys/coaa024","http://dx.doi.org/10.1093/conphys/coaa024")</f>
        <v>http://dx.doi.org/10.1093/conphys/coaa024</v>
      </c>
    </row>
    <row r="694" spans="1:9" ht="345" x14ac:dyDescent="0.15">
      <c r="A694" s="1" t="s">
        <v>9</v>
      </c>
      <c r="B694" s="4" t="s">
        <v>52</v>
      </c>
      <c r="C694" s="1" t="s">
        <v>53</v>
      </c>
      <c r="D694" s="1" t="s">
        <v>54</v>
      </c>
      <c r="E694" s="1" t="s">
        <v>55</v>
      </c>
      <c r="F694" s="1" t="s">
        <v>56</v>
      </c>
      <c r="G694" s="1">
        <v>2023</v>
      </c>
      <c r="H694" s="1" t="s">
        <v>57</v>
      </c>
      <c r="I694" s="1" t="str">
        <f>HYPERLINK("http://dx.doi.org/10.1111/mec.17072","http://dx.doi.org/10.1111/mec.17072")</f>
        <v>http://dx.doi.org/10.1111/mec.17072</v>
      </c>
    </row>
    <row r="695" spans="1:9" ht="266" x14ac:dyDescent="0.15">
      <c r="A695" s="1" t="s">
        <v>9</v>
      </c>
      <c r="B695" s="4" t="s">
        <v>1431</v>
      </c>
      <c r="C695" s="6" t="s">
        <v>1432</v>
      </c>
      <c r="D695" s="1" t="s">
        <v>1433</v>
      </c>
      <c r="E695" s="1" t="s">
        <v>1434</v>
      </c>
      <c r="F695" s="1" t="s">
        <v>33</v>
      </c>
      <c r="G695" s="1">
        <v>2018</v>
      </c>
      <c r="H695" s="1" t="s">
        <v>1435</v>
      </c>
      <c r="I695" s="1" t="str">
        <f>HYPERLINK("http://dx.doi.org/10.1016/j.bbagrm.2018.04.007","http://dx.doi.org/10.1016/j.bbagrm.2018.04.007")</f>
        <v>http://dx.doi.org/10.1016/j.bbagrm.2018.04.007</v>
      </c>
    </row>
    <row r="696" spans="1:9" ht="332" x14ac:dyDescent="0.15">
      <c r="A696" s="1" t="s">
        <v>9</v>
      </c>
      <c r="B696" s="4" t="s">
        <v>1595</v>
      </c>
      <c r="C696" s="1" t="s">
        <v>1596</v>
      </c>
      <c r="D696" s="1" t="s">
        <v>648</v>
      </c>
      <c r="E696" s="1" t="s">
        <v>1597</v>
      </c>
      <c r="F696" s="1" t="s">
        <v>56</v>
      </c>
      <c r="G696" s="1">
        <v>2013</v>
      </c>
      <c r="H696" s="1" t="s">
        <v>1598</v>
      </c>
      <c r="I696" s="1" t="str">
        <f>HYPERLINK("http://dx.doi.org/10.1242/jeb.084269","http://dx.doi.org/10.1242/jeb.084269")</f>
        <v>http://dx.doi.org/10.1242/jeb.084269</v>
      </c>
    </row>
    <row r="697" spans="1:9" ht="266" x14ac:dyDescent="0.15">
      <c r="A697" s="1" t="s">
        <v>9</v>
      </c>
      <c r="B697" s="4" t="s">
        <v>1070</v>
      </c>
      <c r="C697" s="1" t="s">
        <v>1071</v>
      </c>
      <c r="D697" s="1" t="s">
        <v>300</v>
      </c>
      <c r="E697" s="1" t="s">
        <v>1072</v>
      </c>
      <c r="F697" s="1" t="s">
        <v>1073</v>
      </c>
      <c r="G697" s="1">
        <v>2023</v>
      </c>
      <c r="H697" s="1" t="s">
        <v>1074</v>
      </c>
      <c r="I697" s="1" t="str">
        <f>HYPERLINK("http://dx.doi.org/10.1016/j.scitotenv.2023.165846","http://dx.doi.org/10.1016/j.scitotenv.2023.165846")</f>
        <v>http://dx.doi.org/10.1016/j.scitotenv.2023.165846</v>
      </c>
    </row>
    <row r="698" spans="1:9" ht="332" x14ac:dyDescent="0.15">
      <c r="A698" s="1" t="s">
        <v>9</v>
      </c>
      <c r="B698" s="4" t="s">
        <v>1268</v>
      </c>
      <c r="C698" s="1" t="s">
        <v>1269</v>
      </c>
      <c r="D698" s="1" t="s">
        <v>1270</v>
      </c>
      <c r="E698" s="1" t="s">
        <v>1271</v>
      </c>
      <c r="F698" s="1" t="s">
        <v>1272</v>
      </c>
      <c r="G698" s="1">
        <v>2022</v>
      </c>
      <c r="H698" s="1" t="s">
        <v>1273</v>
      </c>
      <c r="I698" s="1" t="str">
        <f>HYPERLINK("http://dx.doi.org/10.3389/fgene.2022.876308","http://dx.doi.org/10.3389/fgene.2022.876308")</f>
        <v>http://dx.doi.org/10.3389/fgene.2022.876308</v>
      </c>
    </row>
    <row r="699" spans="1:9" ht="266" x14ac:dyDescent="0.15">
      <c r="A699" s="1" t="s">
        <v>9</v>
      </c>
      <c r="B699" s="4" t="s">
        <v>1055</v>
      </c>
      <c r="C699" s="1" t="s">
        <v>1056</v>
      </c>
      <c r="D699" s="1" t="s">
        <v>78</v>
      </c>
      <c r="E699" s="1" t="s">
        <v>1057</v>
      </c>
      <c r="F699" s="1" t="s">
        <v>1058</v>
      </c>
      <c r="G699" s="1">
        <v>2022</v>
      </c>
      <c r="H699" s="1" t="s">
        <v>1059</v>
      </c>
      <c r="I699" s="1" t="str">
        <f>HYPERLINK("http://dx.doi.org/10.3389/fmars.2022.930156","http://dx.doi.org/10.3389/fmars.2022.930156")</f>
        <v>http://dx.doi.org/10.3389/fmars.2022.930156</v>
      </c>
    </row>
    <row r="700" spans="1:9" ht="238" x14ac:dyDescent="0.15">
      <c r="A700" s="1" t="s">
        <v>9</v>
      </c>
      <c r="B700" s="4" t="s">
        <v>1408</v>
      </c>
      <c r="C700" s="1" t="s">
        <v>1409</v>
      </c>
      <c r="D700" s="1" t="s">
        <v>142</v>
      </c>
      <c r="E700" s="1" t="s">
        <v>1410</v>
      </c>
      <c r="F700" s="1" t="s">
        <v>112</v>
      </c>
      <c r="G700" s="1">
        <v>2023</v>
      </c>
      <c r="H700" s="1" t="s">
        <v>1411</v>
      </c>
      <c r="I700" s="1" t="str">
        <f>HYPERLINK("http://dx.doi.org/10.1016/j.fsi.2023.108577","http://dx.doi.org/10.1016/j.fsi.2023.108577")</f>
        <v>http://dx.doi.org/10.1016/j.fsi.2023.108577</v>
      </c>
    </row>
    <row r="701" spans="1:9" ht="371" x14ac:dyDescent="0.15">
      <c r="A701" s="1" t="s">
        <v>9</v>
      </c>
      <c r="B701" s="4" t="s">
        <v>875</v>
      </c>
      <c r="C701" s="1" t="s">
        <v>876</v>
      </c>
      <c r="D701" s="1" t="s">
        <v>877</v>
      </c>
      <c r="E701" s="1" t="s">
        <v>878</v>
      </c>
      <c r="F701" s="1" t="s">
        <v>106</v>
      </c>
      <c r="G701" s="1">
        <v>2022</v>
      </c>
      <c r="H701" s="1" t="s">
        <v>886</v>
      </c>
      <c r="I701" s="1" t="str">
        <f>HYPERLINK("http://dx.doi.org/10.1002/evl3.273","http://dx.doi.org/10.1002/evl3.273")</f>
        <v>http://dx.doi.org/10.1002/evl3.273</v>
      </c>
    </row>
    <row r="702" spans="1:9" ht="266" x14ac:dyDescent="0.15">
      <c r="A702" s="1" t="s">
        <v>9</v>
      </c>
      <c r="B702" s="4" t="s">
        <v>70</v>
      </c>
      <c r="C702" s="1" t="s">
        <v>71</v>
      </c>
      <c r="D702" s="1" t="s">
        <v>72</v>
      </c>
      <c r="E702" s="1" t="s">
        <v>73</v>
      </c>
      <c r="F702" s="1" t="s">
        <v>74</v>
      </c>
      <c r="G702" s="1">
        <v>2018</v>
      </c>
      <c r="H702" s="1" t="s">
        <v>75</v>
      </c>
      <c r="I702" s="1" t="str">
        <f>HYPERLINK("http://dx.doi.org/10.7717/peerj.5003","http://dx.doi.org/10.7717/peerj.5003")</f>
        <v>http://dx.doi.org/10.7717/peerj.5003</v>
      </c>
    </row>
    <row r="703" spans="1:9" ht="358" x14ac:dyDescent="0.15">
      <c r="A703" s="1" t="s">
        <v>9</v>
      </c>
      <c r="B703" s="4" t="s">
        <v>1234</v>
      </c>
      <c r="C703" s="1" t="s">
        <v>1235</v>
      </c>
      <c r="D703" s="1" t="s">
        <v>90</v>
      </c>
      <c r="E703" s="1" t="s">
        <v>1236</v>
      </c>
      <c r="F703" s="1" t="s">
        <v>21</v>
      </c>
      <c r="G703" s="1">
        <v>2024</v>
      </c>
      <c r="H703" s="1" t="s">
        <v>1237</v>
      </c>
      <c r="I703" s="1" t="str">
        <f>HYPERLINK("http://dx.doi.org/10.1016/j.cbd.2024.101311","http://dx.doi.org/10.1016/j.cbd.2024.101311")</f>
        <v>http://dx.doi.org/10.1016/j.cbd.2024.101311</v>
      </c>
    </row>
    <row r="704" spans="1:9" ht="358" x14ac:dyDescent="0.15">
      <c r="A704" s="1" t="s">
        <v>9</v>
      </c>
      <c r="B704" s="4" t="s">
        <v>2449</v>
      </c>
      <c r="C704" s="1" t="s">
        <v>2450</v>
      </c>
      <c r="D704" s="1" t="s">
        <v>37</v>
      </c>
      <c r="E704" s="1" t="s">
        <v>2451</v>
      </c>
      <c r="F704" s="1" t="s">
        <v>68</v>
      </c>
      <c r="G704" s="1">
        <v>2017</v>
      </c>
      <c r="H704" s="1" t="s">
        <v>2452</v>
      </c>
      <c r="I704" s="1" t="str">
        <f>HYPERLINK("http://dx.doi.org/10.1016/j.ecoenv.2017.03.029","http://dx.doi.org/10.1016/j.ecoenv.2017.03.029")</f>
        <v>http://dx.doi.org/10.1016/j.ecoenv.2017.03.029</v>
      </c>
    </row>
    <row r="705" spans="1:28" ht="397" x14ac:dyDescent="0.15">
      <c r="A705" s="1" t="s">
        <v>9</v>
      </c>
      <c r="B705" s="4" t="s">
        <v>1246</v>
      </c>
      <c r="C705" s="1" t="s">
        <v>1247</v>
      </c>
      <c r="D705" s="1" t="s">
        <v>142</v>
      </c>
      <c r="E705" s="1" t="s">
        <v>1248</v>
      </c>
      <c r="F705" s="1" t="s">
        <v>138</v>
      </c>
      <c r="G705" s="1">
        <v>2024</v>
      </c>
      <c r="H705" s="1" t="s">
        <v>1249</v>
      </c>
      <c r="I705" s="1" t="str">
        <f>HYPERLINK("http://dx.doi.org/10.1016/j.fsi.2023.109354","http://dx.doi.org/10.1016/j.fsi.2023.109354")</f>
        <v>http://dx.doi.org/10.1016/j.fsi.2023.109354</v>
      </c>
    </row>
    <row r="706" spans="1:28" ht="332" x14ac:dyDescent="0.15">
      <c r="A706" s="1" t="s">
        <v>9</v>
      </c>
      <c r="B706" s="4" t="s">
        <v>2604</v>
      </c>
      <c r="C706" s="1" t="s">
        <v>2605</v>
      </c>
      <c r="D706" s="1" t="s">
        <v>1932</v>
      </c>
      <c r="E706" s="1" t="s">
        <v>2606</v>
      </c>
      <c r="F706" s="1" t="s">
        <v>2607</v>
      </c>
      <c r="G706" s="1">
        <v>2025</v>
      </c>
      <c r="H706" s="1" t="s">
        <v>2608</v>
      </c>
      <c r="I706" s="1" t="str">
        <f>HYPERLINK("http://dx.doi.org/10.3389/fcimb.2025.1533154","http://dx.doi.org/10.3389/fcimb.2025.1533154")</f>
        <v>http://dx.doi.org/10.3389/fcimb.2025.1533154</v>
      </c>
    </row>
    <row r="707" spans="1:28" ht="397" x14ac:dyDescent="0.15">
      <c r="A707" s="1" t="s">
        <v>9</v>
      </c>
      <c r="B707" s="4" t="s">
        <v>3713</v>
      </c>
      <c r="C707" s="1" t="s">
        <v>3714</v>
      </c>
      <c r="D707" s="1" t="s">
        <v>48</v>
      </c>
      <c r="E707" s="1" t="s">
        <v>3715</v>
      </c>
      <c r="F707" s="1" t="s">
        <v>3716</v>
      </c>
      <c r="G707" s="1">
        <v>2019</v>
      </c>
      <c r="H707" s="1" t="s">
        <v>3717</v>
      </c>
      <c r="I707" s="1" t="str">
        <f>HYPERLINK("http://dx.doi.org/10.1186/s12864-019-5429-3","http://dx.doi.org/10.1186/s12864-019-5429-3")</f>
        <v>http://dx.doi.org/10.1186/s12864-019-5429-3</v>
      </c>
    </row>
    <row r="708" spans="1:28" ht="293" x14ac:dyDescent="0.15">
      <c r="A708" s="1" t="s">
        <v>9</v>
      </c>
      <c r="B708" s="4" t="s">
        <v>3347</v>
      </c>
      <c r="C708" s="1" t="s">
        <v>3348</v>
      </c>
      <c r="D708" s="1" t="s">
        <v>234</v>
      </c>
      <c r="E708" s="1" t="s">
        <v>3349</v>
      </c>
      <c r="F708" s="1" t="s">
        <v>221</v>
      </c>
      <c r="G708" s="1">
        <v>2025</v>
      </c>
      <c r="H708" s="1" t="s">
        <v>3350</v>
      </c>
      <c r="I708" s="1" t="str">
        <f>HYPERLINK("http://dx.doi.org/10.1016/j.cbpb.2024.111018","http://dx.doi.org/10.1016/j.cbpb.2024.111018")</f>
        <v>http://dx.doi.org/10.1016/j.cbpb.2024.111018</v>
      </c>
      <c r="V708" s="28"/>
      <c r="W708" s="28"/>
      <c r="X708" s="28"/>
      <c r="Y708" s="28"/>
      <c r="Z708" s="28"/>
      <c r="AA708" s="28"/>
      <c r="AB708" s="28"/>
    </row>
    <row r="709" spans="1:28" ht="280" x14ac:dyDescent="0.15">
      <c r="A709" s="1" t="s">
        <v>9</v>
      </c>
      <c r="B709" s="4" t="s">
        <v>1675</v>
      </c>
      <c r="C709" s="1" t="s">
        <v>1676</v>
      </c>
      <c r="D709" s="1" t="s">
        <v>37</v>
      </c>
      <c r="E709" s="1" t="s">
        <v>1677</v>
      </c>
      <c r="F709" s="1" t="s">
        <v>39</v>
      </c>
      <c r="G709" s="1">
        <v>2023</v>
      </c>
      <c r="H709" s="1" t="s">
        <v>1678</v>
      </c>
      <c r="I709" s="1" t="str">
        <f>HYPERLINK("http://dx.doi.org/10.1016/j.ecoenv.2022.114419","http://dx.doi.org/10.1016/j.ecoenv.2022.114419")</f>
        <v>http://dx.doi.org/10.1016/j.ecoenv.2022.114419</v>
      </c>
      <c r="V709" s="6"/>
      <c r="W709" s="28"/>
      <c r="X709" s="28"/>
      <c r="Y709" s="6"/>
      <c r="Z709" s="28"/>
      <c r="AA709" s="28"/>
      <c r="AB709" s="28"/>
    </row>
    <row r="710" spans="1:28" ht="266" x14ac:dyDescent="0.15">
      <c r="A710" s="1" t="s">
        <v>9</v>
      </c>
      <c r="B710" s="4" t="s">
        <v>977</v>
      </c>
      <c r="C710" s="1" t="s">
        <v>978</v>
      </c>
      <c r="D710" s="1" t="s">
        <v>186</v>
      </c>
      <c r="E710" s="1" t="s">
        <v>979</v>
      </c>
      <c r="F710" s="1" t="s">
        <v>39</v>
      </c>
      <c r="G710" s="1">
        <v>2021</v>
      </c>
      <c r="H710" s="1" t="s">
        <v>980</v>
      </c>
      <c r="I710" s="1" t="str">
        <f>HYPERLINK("http://dx.doi.org/10.1016/j.envpol.2020.115509","http://dx.doi.org/10.1016/j.envpol.2020.115509")</f>
        <v>http://dx.doi.org/10.1016/j.envpol.2020.115509</v>
      </c>
      <c r="V710" s="6"/>
      <c r="W710" s="28"/>
      <c r="X710" s="28"/>
      <c r="Y710" s="6"/>
      <c r="Z710" s="28"/>
      <c r="AA710" s="28"/>
      <c r="AB710" s="28"/>
    </row>
    <row r="711" spans="1:28" ht="409.6" x14ac:dyDescent="0.15">
      <c r="A711" s="1" t="s">
        <v>9</v>
      </c>
      <c r="B711" s="4" t="s">
        <v>1337</v>
      </c>
      <c r="C711" s="1" t="s">
        <v>1338</v>
      </c>
      <c r="D711" s="1" t="s">
        <v>300</v>
      </c>
      <c r="E711" s="1" t="s">
        <v>1339</v>
      </c>
      <c r="F711" s="1" t="s">
        <v>1340</v>
      </c>
      <c r="G711" s="1">
        <v>2020</v>
      </c>
      <c r="H711" s="1" t="s">
        <v>1341</v>
      </c>
      <c r="I711" s="1" t="str">
        <f>HYPERLINK("http://dx.doi.org/10.1016/j.scitotenv.2019.136045","http://dx.doi.org/10.1016/j.scitotenv.2019.136045")</f>
        <v>http://dx.doi.org/10.1016/j.scitotenv.2019.136045</v>
      </c>
      <c r="V711" s="6"/>
      <c r="W711" s="28"/>
      <c r="X711" s="28"/>
      <c r="Y711" s="6"/>
      <c r="Z711" s="28"/>
      <c r="AA711" s="28"/>
      <c r="AB711" s="28"/>
    </row>
    <row r="712" spans="1:28" ht="371" x14ac:dyDescent="0.15">
      <c r="A712" s="1" t="s">
        <v>9</v>
      </c>
      <c r="B712" s="4" t="s">
        <v>1328</v>
      </c>
      <c r="C712" s="1" t="s">
        <v>1329</v>
      </c>
      <c r="D712" s="1" t="s">
        <v>37</v>
      </c>
      <c r="E712" s="1" t="s">
        <v>1330</v>
      </c>
      <c r="F712" s="1" t="s">
        <v>1331</v>
      </c>
      <c r="G712" s="1">
        <v>2021</v>
      </c>
      <c r="H712" s="1" t="s">
        <v>1332</v>
      </c>
      <c r="I712" s="1" t="str">
        <f>HYPERLINK("http://dx.doi.org/10.1016/j.ecoenv.2021.112994","http://dx.doi.org/10.1016/j.ecoenv.2021.112994")</f>
        <v>http://dx.doi.org/10.1016/j.ecoenv.2021.112994</v>
      </c>
      <c r="V712" s="6"/>
      <c r="W712" s="28"/>
      <c r="X712" s="28"/>
      <c r="Y712" s="6"/>
      <c r="Z712" s="28"/>
      <c r="AA712" s="28"/>
      <c r="AB712" s="28"/>
    </row>
    <row r="713" spans="1:28" ht="358" x14ac:dyDescent="0.15">
      <c r="A713" s="1" t="s">
        <v>9</v>
      </c>
      <c r="B713" s="4" t="s">
        <v>1505</v>
      </c>
      <c r="C713" s="1" t="s">
        <v>1506</v>
      </c>
      <c r="D713" s="1" t="s">
        <v>31</v>
      </c>
      <c r="E713" s="1" t="s">
        <v>1507</v>
      </c>
      <c r="F713" s="1" t="s">
        <v>122</v>
      </c>
      <c r="G713" s="1">
        <v>2023</v>
      </c>
      <c r="H713" s="1" t="s">
        <v>1508</v>
      </c>
      <c r="I713" s="1" t="str">
        <f>HYPERLINK("http://dx.doi.org/10.1007/s10126-023-10234-3","http://dx.doi.org/10.1007/s10126-023-10234-3")</f>
        <v>http://dx.doi.org/10.1007/s10126-023-10234-3</v>
      </c>
      <c r="V713" s="6"/>
      <c r="W713" s="28"/>
      <c r="X713" s="28"/>
      <c r="Y713" s="6"/>
      <c r="Z713" s="28"/>
      <c r="AA713" s="28"/>
      <c r="AB713" s="28"/>
    </row>
    <row r="714" spans="1:28" ht="280" x14ac:dyDescent="0.15">
      <c r="A714" s="1" t="s">
        <v>9</v>
      </c>
      <c r="B714" s="4" t="s">
        <v>1621</v>
      </c>
      <c r="C714" s="1" t="s">
        <v>1622</v>
      </c>
      <c r="D714" s="1" t="s">
        <v>321</v>
      </c>
      <c r="E714" s="1" t="s">
        <v>1623</v>
      </c>
      <c r="F714" s="1" t="s">
        <v>1624</v>
      </c>
      <c r="G714" s="1">
        <v>2020</v>
      </c>
      <c r="H714" s="1" t="s">
        <v>1625</v>
      </c>
      <c r="I714" s="1" t="str">
        <f>HYPERLINK("http://dx.doi.org/10.1371/journal.pone.0228893","http://dx.doi.org/10.1371/journal.pone.0228893")</f>
        <v>http://dx.doi.org/10.1371/journal.pone.0228893</v>
      </c>
      <c r="V714" s="6"/>
      <c r="W714" s="28"/>
      <c r="X714" s="28"/>
      <c r="Y714" s="6"/>
      <c r="Z714" s="28"/>
      <c r="AA714" s="28"/>
      <c r="AB714" s="28"/>
    </row>
    <row r="715" spans="1:28" ht="266" x14ac:dyDescent="0.15">
      <c r="A715" s="1" t="s">
        <v>9</v>
      </c>
      <c r="B715" s="4" t="s">
        <v>719</v>
      </c>
      <c r="C715" s="1" t="s">
        <v>720</v>
      </c>
      <c r="D715" s="1" t="s">
        <v>580</v>
      </c>
      <c r="E715" s="1" t="s">
        <v>721</v>
      </c>
      <c r="F715" s="1" t="s">
        <v>106</v>
      </c>
      <c r="G715" s="1">
        <v>2024</v>
      </c>
      <c r="H715" s="1" t="s">
        <v>722</v>
      </c>
      <c r="I715" s="1" t="str">
        <f>HYPERLINK("http://dx.doi.org/10.1016/j.marpolbul.2024.116265","http://dx.doi.org/10.1016/j.marpolbul.2024.116265")</f>
        <v>http://dx.doi.org/10.1016/j.marpolbul.2024.116265</v>
      </c>
      <c r="V715" s="6"/>
      <c r="W715" s="28"/>
      <c r="X715" s="28"/>
      <c r="Y715" s="6"/>
      <c r="Z715" s="28"/>
      <c r="AA715" s="28"/>
      <c r="AB715" s="28"/>
    </row>
    <row r="716" spans="1:28" ht="293" x14ac:dyDescent="0.15">
      <c r="A716" s="1" t="s">
        <v>9</v>
      </c>
      <c r="B716" s="4" t="s">
        <v>1065</v>
      </c>
      <c r="C716" s="1" t="s">
        <v>1066</v>
      </c>
      <c r="D716" s="1" t="s">
        <v>344</v>
      </c>
      <c r="E716" s="1" t="s">
        <v>1067</v>
      </c>
      <c r="F716" s="1" t="s">
        <v>1068</v>
      </c>
      <c r="G716" s="1">
        <v>2018</v>
      </c>
      <c r="H716" s="1" t="s">
        <v>1069</v>
      </c>
      <c r="I716" s="1" t="str">
        <f>HYPERLINK("http://dx.doi.org/10.1021/acs.est.8b03225","http://dx.doi.org/10.1021/acs.est.8b03225")</f>
        <v>http://dx.doi.org/10.1021/acs.est.8b03225</v>
      </c>
      <c r="V716" s="6"/>
      <c r="W716" s="28"/>
      <c r="X716" s="28"/>
      <c r="Y716" s="6"/>
      <c r="Z716" s="28"/>
      <c r="AA716" s="28"/>
      <c r="AB716" s="28"/>
    </row>
    <row r="717" spans="1:28" ht="280" x14ac:dyDescent="0.15">
      <c r="A717" s="1" t="s">
        <v>9</v>
      </c>
      <c r="B717" s="4" t="s">
        <v>394</v>
      </c>
      <c r="C717" s="1" t="s">
        <v>395</v>
      </c>
      <c r="D717" s="1" t="s">
        <v>281</v>
      </c>
      <c r="E717" s="1" t="s">
        <v>396</v>
      </c>
      <c r="F717" s="1" t="s">
        <v>21</v>
      </c>
      <c r="G717" s="1">
        <v>2022</v>
      </c>
      <c r="H717" s="1" t="s">
        <v>397</v>
      </c>
      <c r="I717" s="1" t="str">
        <f>HYPERLINK("http://dx.doi.org/10.1016/j.chemosphere.2022.136231","http://dx.doi.org/10.1016/j.chemosphere.2022.136231")</f>
        <v>http://dx.doi.org/10.1016/j.chemosphere.2022.136231</v>
      </c>
      <c r="V717" s="6"/>
      <c r="W717" s="28"/>
      <c r="X717" s="28"/>
      <c r="Y717" s="6"/>
      <c r="Z717" s="28"/>
      <c r="AA717" s="28"/>
      <c r="AB717" s="28"/>
    </row>
    <row r="718" spans="1:28" ht="238" x14ac:dyDescent="0.15">
      <c r="A718" s="1" t="s">
        <v>9</v>
      </c>
      <c r="B718" s="4" t="s">
        <v>2014</v>
      </c>
      <c r="C718" s="1" t="s">
        <v>2015</v>
      </c>
      <c r="D718" s="1" t="s">
        <v>31</v>
      </c>
      <c r="E718" s="1" t="s">
        <v>2016</v>
      </c>
      <c r="F718" s="1" t="s">
        <v>33</v>
      </c>
      <c r="G718" s="1">
        <v>2025</v>
      </c>
      <c r="H718" s="1" t="s">
        <v>2017</v>
      </c>
      <c r="I718" s="1" t="str">
        <f>HYPERLINK("http://dx.doi.org/10.1007/s10126-025-10454-9","http://dx.doi.org/10.1007/s10126-025-10454-9")</f>
        <v>http://dx.doi.org/10.1007/s10126-025-10454-9</v>
      </c>
      <c r="V718" s="6"/>
      <c r="W718" s="28"/>
      <c r="X718" s="28"/>
      <c r="Y718" s="6"/>
      <c r="Z718" s="28"/>
      <c r="AA718" s="28"/>
      <c r="AB718" s="28"/>
    </row>
    <row r="719" spans="1:28" ht="345" x14ac:dyDescent="0.15">
      <c r="A719" s="1" t="s">
        <v>9</v>
      </c>
      <c r="B719" s="4" t="s">
        <v>1982</v>
      </c>
      <c r="C719" s="1" t="s">
        <v>1983</v>
      </c>
      <c r="D719" s="1" t="s">
        <v>498</v>
      </c>
      <c r="E719" s="1" t="s">
        <v>1984</v>
      </c>
      <c r="F719" s="1" t="s">
        <v>1985</v>
      </c>
      <c r="G719" s="1">
        <v>2025</v>
      </c>
      <c r="H719" s="1" t="s">
        <v>1986</v>
      </c>
      <c r="I719" s="1" t="str">
        <f>HYPERLINK("http://dx.doi.org/10.1016/j.aqrep.2025.102801","http://dx.doi.org/10.1016/j.aqrep.2025.102801")</f>
        <v>http://dx.doi.org/10.1016/j.aqrep.2025.102801</v>
      </c>
      <c r="V719" s="6"/>
      <c r="W719" s="28"/>
      <c r="X719" s="28"/>
      <c r="Y719" s="6"/>
      <c r="Z719" s="28"/>
      <c r="AA719" s="28"/>
      <c r="AB719" s="28"/>
    </row>
    <row r="720" spans="1:28" ht="358" x14ac:dyDescent="0.15">
      <c r="A720" s="1" t="s">
        <v>9</v>
      </c>
      <c r="B720" s="4" t="s">
        <v>58</v>
      </c>
      <c r="C720" s="1" t="s">
        <v>59</v>
      </c>
      <c r="D720" s="1" t="s">
        <v>60</v>
      </c>
      <c r="E720" s="1" t="s">
        <v>61</v>
      </c>
      <c r="F720" s="1" t="s">
        <v>62</v>
      </c>
      <c r="G720" s="1">
        <v>2020</v>
      </c>
      <c r="H720" s="1" t="s">
        <v>63</v>
      </c>
      <c r="I720" s="1" t="str">
        <f>HYPERLINK("http://dx.doi.org/10.1111/eva.12912","http://dx.doi.org/10.1111/eva.12912")</f>
        <v>http://dx.doi.org/10.1111/eva.12912</v>
      </c>
      <c r="V720" s="6"/>
      <c r="W720" s="28"/>
      <c r="X720" s="28"/>
      <c r="Y720" s="6"/>
      <c r="Z720" s="28"/>
      <c r="AA720" s="28"/>
      <c r="AB720" s="28"/>
    </row>
    <row r="721" spans="1:28" ht="345" x14ac:dyDescent="0.15">
      <c r="A721" s="1" t="s">
        <v>9</v>
      </c>
      <c r="B721" s="4" t="s">
        <v>781</v>
      </c>
      <c r="C721" s="1" t="s">
        <v>782</v>
      </c>
      <c r="D721" s="1" t="s">
        <v>783</v>
      </c>
      <c r="E721" s="1" t="s">
        <v>784</v>
      </c>
      <c r="F721" s="1" t="s">
        <v>33</v>
      </c>
      <c r="G721" s="1">
        <v>2022</v>
      </c>
      <c r="H721" s="1" t="s">
        <v>785</v>
      </c>
      <c r="I721" s="1" t="str">
        <f>HYPERLINK("http://dx.doi.org/10.1111/1365-2656.13645","http://dx.doi.org/10.1111/1365-2656.13645")</f>
        <v>http://dx.doi.org/10.1111/1365-2656.13645</v>
      </c>
      <c r="V721" s="6"/>
      <c r="W721" s="28"/>
      <c r="X721" s="28"/>
      <c r="Y721" s="6"/>
      <c r="Z721" s="28"/>
      <c r="AA721" s="28"/>
      <c r="AB721" s="28"/>
    </row>
    <row r="722" spans="1:28" ht="252" x14ac:dyDescent="0.15">
      <c r="A722" s="1" t="s">
        <v>9</v>
      </c>
      <c r="B722" s="4" t="s">
        <v>2801</v>
      </c>
      <c r="C722" s="1" t="s">
        <v>2802</v>
      </c>
      <c r="D722" s="1" t="s">
        <v>2803</v>
      </c>
      <c r="E722" s="1" t="s">
        <v>2804</v>
      </c>
      <c r="F722" s="1" t="s">
        <v>112</v>
      </c>
      <c r="G722" s="1">
        <v>2015</v>
      </c>
      <c r="H722" s="1" t="s">
        <v>2805</v>
      </c>
      <c r="I722" s="1" t="str">
        <f>HYPERLINK("http://dx.doi.org/10.1099/jgv.0.000008","http://dx.doi.org/10.1099/jgv.0.000008")</f>
        <v>http://dx.doi.org/10.1099/jgv.0.000008</v>
      </c>
      <c r="V722" s="6"/>
      <c r="W722" s="28"/>
      <c r="X722" s="28"/>
      <c r="Y722" s="6"/>
      <c r="Z722" s="28"/>
      <c r="AA722" s="28"/>
      <c r="AB722" s="28"/>
    </row>
    <row r="723" spans="1:28" ht="182" x14ac:dyDescent="0.15">
      <c r="A723" s="1" t="s">
        <v>9</v>
      </c>
      <c r="B723" s="4" t="s">
        <v>578</v>
      </c>
      <c r="C723" s="1" t="s">
        <v>579</v>
      </c>
      <c r="D723" s="1" t="s">
        <v>580</v>
      </c>
      <c r="E723" s="1" t="s">
        <v>581</v>
      </c>
      <c r="F723" s="1" t="s">
        <v>96</v>
      </c>
      <c r="G723" s="1">
        <v>2025</v>
      </c>
      <c r="H723" s="1" t="s">
        <v>582</v>
      </c>
      <c r="I723" s="1" t="str">
        <f>HYPERLINK("http://dx.doi.org/10.1016/j.marpolbul.2025.118255","http://dx.doi.org/10.1016/j.marpolbul.2025.118255")</f>
        <v>http://dx.doi.org/10.1016/j.marpolbul.2025.118255</v>
      </c>
      <c r="V723" s="6"/>
      <c r="W723" s="28"/>
      <c r="X723" s="28"/>
      <c r="Y723" s="6"/>
      <c r="Z723" s="28"/>
      <c r="AA723" s="28"/>
      <c r="AB723" s="28"/>
    </row>
    <row r="724" spans="1:28" ht="210" x14ac:dyDescent="0.15">
      <c r="A724" s="1" t="s">
        <v>9</v>
      </c>
      <c r="B724" s="4" t="s">
        <v>1220</v>
      </c>
      <c r="C724" s="1" t="s">
        <v>1221</v>
      </c>
      <c r="D724" s="1" t="s">
        <v>367</v>
      </c>
      <c r="E724" s="1" t="s">
        <v>1222</v>
      </c>
      <c r="F724" s="1" t="s">
        <v>1223</v>
      </c>
      <c r="G724" s="1">
        <v>2024</v>
      </c>
      <c r="H724" s="1" t="s">
        <v>1224</v>
      </c>
      <c r="I724" s="1" t="str">
        <f>HYPERLINK("http://dx.doi.org/10.1016/j.jhazmat.2023.132593","http://dx.doi.org/10.1016/j.jhazmat.2023.132593")</f>
        <v>http://dx.doi.org/10.1016/j.jhazmat.2023.132593</v>
      </c>
      <c r="V724" s="6"/>
      <c r="W724" s="28"/>
      <c r="X724" s="28"/>
      <c r="Y724" s="6"/>
      <c r="Z724" s="28"/>
      <c r="AA724" s="28"/>
      <c r="AB724" s="28"/>
    </row>
    <row r="725" spans="1:28" ht="319" x14ac:dyDescent="0.15">
      <c r="A725" s="1" t="s">
        <v>9</v>
      </c>
      <c r="B725" s="4" t="s">
        <v>2638</v>
      </c>
      <c r="C725" s="1" t="s">
        <v>2639</v>
      </c>
      <c r="D725" s="1" t="s">
        <v>54</v>
      </c>
      <c r="E725" s="1" t="s">
        <v>2640</v>
      </c>
      <c r="F725" s="1" t="s">
        <v>2641</v>
      </c>
      <c r="G725" s="1">
        <v>2025</v>
      </c>
      <c r="H725" s="1" t="s">
        <v>2642</v>
      </c>
      <c r="I725" s="1" t="str">
        <f>HYPERLINK("http://dx.doi.org/10.1111/mec.17684","http://dx.doi.org/10.1111/mec.17684")</f>
        <v>http://dx.doi.org/10.1111/mec.17684</v>
      </c>
      <c r="V725" s="6"/>
      <c r="W725" s="28"/>
      <c r="X725" s="28"/>
      <c r="Y725" s="6"/>
      <c r="Z725" s="28"/>
      <c r="AA725" s="28"/>
      <c r="AB725" s="28"/>
    </row>
    <row r="726" spans="1:28" ht="293" x14ac:dyDescent="0.15">
      <c r="A726" s="1" t="s">
        <v>9</v>
      </c>
      <c r="B726" s="4" t="s">
        <v>274</v>
      </c>
      <c r="C726" s="1" t="s">
        <v>275</v>
      </c>
      <c r="D726" s="1" t="s">
        <v>276</v>
      </c>
      <c r="E726" s="1" t="s">
        <v>277</v>
      </c>
      <c r="F726" s="1" t="s">
        <v>56</v>
      </c>
      <c r="G726" s="1">
        <v>2017</v>
      </c>
      <c r="H726" s="1" t="s">
        <v>278</v>
      </c>
      <c r="I726" s="1" t="str">
        <f>HYPERLINK("http://dx.doi.org/10.1007/s00343-016-5185-z","http://dx.doi.org/10.1007/s00343-016-5185-z")</f>
        <v>http://dx.doi.org/10.1007/s00343-016-5185-z</v>
      </c>
      <c r="V726" s="6"/>
      <c r="W726" s="28"/>
      <c r="X726" s="28"/>
      <c r="Y726" s="29"/>
      <c r="Z726" s="28"/>
      <c r="AA726" s="28"/>
      <c r="AB726" s="28"/>
    </row>
    <row r="727" spans="1:28" ht="252" x14ac:dyDescent="0.15">
      <c r="A727" s="1" t="s">
        <v>9</v>
      </c>
      <c r="B727" s="4" t="s">
        <v>1102</v>
      </c>
      <c r="C727" s="1" t="s">
        <v>1103</v>
      </c>
      <c r="D727" s="1" t="s">
        <v>344</v>
      </c>
      <c r="E727" s="1" t="s">
        <v>1104</v>
      </c>
      <c r="F727" s="1" t="s">
        <v>1105</v>
      </c>
      <c r="G727" s="1">
        <v>2020</v>
      </c>
      <c r="H727" s="1" t="s">
        <v>1106</v>
      </c>
      <c r="I727" s="1" t="str">
        <f>HYPERLINK("http://dx.doi.org/10.1021/acs.est.0c01438","http://dx.doi.org/10.1021/acs.est.0c01438")</f>
        <v>http://dx.doi.org/10.1021/acs.est.0c01438</v>
      </c>
      <c r="V727" s="6"/>
      <c r="W727" s="28"/>
      <c r="X727" s="28"/>
      <c r="Y727" s="6"/>
      <c r="Z727" s="28"/>
      <c r="AA727" s="28"/>
      <c r="AB727" s="28"/>
    </row>
    <row r="728" spans="1:28" ht="306" x14ac:dyDescent="0.15">
      <c r="A728" s="1" t="s">
        <v>9</v>
      </c>
      <c r="B728" s="4" t="s">
        <v>538</v>
      </c>
      <c r="C728" s="1" t="s">
        <v>539</v>
      </c>
      <c r="D728" s="1" t="s">
        <v>90</v>
      </c>
      <c r="E728" s="1" t="s">
        <v>540</v>
      </c>
      <c r="F728" s="1" t="s">
        <v>21</v>
      </c>
      <c r="G728" s="1">
        <v>2020</v>
      </c>
      <c r="H728" s="1" t="s">
        <v>541</v>
      </c>
      <c r="I728" s="1" t="str">
        <f>HYPERLINK("http://dx.doi.org/10.1016/j.cbd.2020.100748","http://dx.doi.org/10.1016/j.cbd.2020.100748")</f>
        <v>http://dx.doi.org/10.1016/j.cbd.2020.100748</v>
      </c>
      <c r="V728" s="6"/>
      <c r="W728" s="28"/>
      <c r="X728" s="28"/>
      <c r="Y728" s="6"/>
      <c r="Z728" s="28"/>
      <c r="AA728" s="28"/>
      <c r="AB728" s="28"/>
    </row>
    <row r="729" spans="1:28" ht="238" x14ac:dyDescent="0.15">
      <c r="A729" s="1" t="s">
        <v>9</v>
      </c>
      <c r="B729" s="4" t="s">
        <v>613</v>
      </c>
      <c r="C729" s="1" t="s">
        <v>614</v>
      </c>
      <c r="D729" s="1" t="s">
        <v>367</v>
      </c>
      <c r="E729" s="1" t="s">
        <v>615</v>
      </c>
      <c r="F729" s="1" t="s">
        <v>335</v>
      </c>
      <c r="G729" s="1">
        <v>2023</v>
      </c>
      <c r="H729" s="1" t="s">
        <v>616</v>
      </c>
      <c r="I729" s="1" t="str">
        <f>HYPERLINK("http://dx.doi.org/10.1016/j.jhazmat.2023.131037","http://dx.doi.org/10.1016/j.jhazmat.2023.131037")</f>
        <v>http://dx.doi.org/10.1016/j.jhazmat.2023.131037</v>
      </c>
      <c r="V729" s="6"/>
      <c r="W729" s="28"/>
      <c r="X729" s="28"/>
      <c r="Y729" s="6"/>
      <c r="Z729" s="28"/>
      <c r="AA729" s="28"/>
      <c r="AB729" s="28"/>
    </row>
    <row r="730" spans="1:28" ht="182" x14ac:dyDescent="0.15">
      <c r="A730" s="1" t="s">
        <v>9</v>
      </c>
      <c r="B730" s="4" t="s">
        <v>413</v>
      </c>
      <c r="C730" s="1" t="s">
        <v>414</v>
      </c>
      <c r="D730" s="1" t="s">
        <v>415</v>
      </c>
      <c r="E730" s="1" t="s">
        <v>416</v>
      </c>
      <c r="F730" s="1" t="s">
        <v>96</v>
      </c>
      <c r="G730" s="1">
        <v>2022</v>
      </c>
      <c r="H730" s="1" t="s">
        <v>417</v>
      </c>
      <c r="I730" s="1" t="str">
        <f>HYPERLINK("http://dx.doi.org/10.1038/s41558-022-01477-4","http://dx.doi.org/10.1038/s41558-022-01477-4")</f>
        <v>http://dx.doi.org/10.1038/s41558-022-01477-4</v>
      </c>
      <c r="V730" s="6"/>
      <c r="W730" s="28"/>
      <c r="X730" s="28"/>
      <c r="Y730" s="6"/>
      <c r="Z730" s="28"/>
      <c r="AA730" s="28"/>
      <c r="AB730" s="28"/>
    </row>
    <row r="731" spans="1:28" ht="293" x14ac:dyDescent="0.15">
      <c r="A731" s="1" t="s">
        <v>15</v>
      </c>
      <c r="B731" s="4" t="s">
        <v>1142</v>
      </c>
      <c r="C731" s="1" t="s">
        <v>1143</v>
      </c>
      <c r="D731" s="1" t="s">
        <v>1144</v>
      </c>
      <c r="E731" s="1" t="s">
        <v>1145</v>
      </c>
      <c r="F731" s="1" t="s">
        <v>11</v>
      </c>
      <c r="G731" s="1">
        <v>2022</v>
      </c>
      <c r="H731" s="1" t="s">
        <v>1146</v>
      </c>
      <c r="I731" s="1" t="str">
        <f>HYPERLINK("http://dx.doi.org/10.1201/9781003288602-13","http://dx.doi.org/10.1201/9781003288602-13")</f>
        <v>http://dx.doi.org/10.1201/9781003288602-13</v>
      </c>
      <c r="V731" s="6"/>
      <c r="W731" s="28"/>
      <c r="X731" s="28"/>
      <c r="Y731" s="6"/>
      <c r="Z731" s="28"/>
      <c r="AA731" s="28"/>
      <c r="AB731" s="28"/>
    </row>
    <row r="732" spans="1:28" ht="345" x14ac:dyDescent="0.15">
      <c r="A732" s="1" t="s">
        <v>9</v>
      </c>
      <c r="B732" s="4" t="s">
        <v>88</v>
      </c>
      <c r="C732" s="1" t="s">
        <v>89</v>
      </c>
      <c r="D732" s="1" t="s">
        <v>90</v>
      </c>
      <c r="E732" s="1" t="s">
        <v>91</v>
      </c>
      <c r="F732" s="1" t="s">
        <v>56</v>
      </c>
      <c r="G732" s="1">
        <v>2025</v>
      </c>
      <c r="H732" s="1" t="s">
        <v>92</v>
      </c>
      <c r="I732" s="1" t="str">
        <f>HYPERLINK("http://dx.doi.org/10.1016/j.cbd.2025.101510","http://dx.doi.org/10.1016/j.cbd.2025.101510")</f>
        <v>http://dx.doi.org/10.1016/j.cbd.2025.101510</v>
      </c>
      <c r="V732" s="6"/>
      <c r="W732" s="28"/>
      <c r="X732" s="28"/>
      <c r="Y732" s="6"/>
      <c r="Z732" s="28"/>
      <c r="AA732" s="28"/>
      <c r="AB732" s="28"/>
    </row>
    <row r="733" spans="1:28" ht="266" x14ac:dyDescent="0.15">
      <c r="A733" s="1" t="s">
        <v>9</v>
      </c>
      <c r="B733" s="4" t="s">
        <v>1603</v>
      </c>
      <c r="C733" s="1" t="s">
        <v>1604</v>
      </c>
      <c r="D733" s="1" t="s">
        <v>1090</v>
      </c>
      <c r="E733" s="1" t="s">
        <v>1605</v>
      </c>
      <c r="F733" s="1" t="s">
        <v>106</v>
      </c>
      <c r="G733" s="1">
        <v>2025</v>
      </c>
      <c r="H733" s="1" t="s">
        <v>1606</v>
      </c>
      <c r="I733" s="1" t="str">
        <f>HYPERLINK("http://dx.doi.org/10.1016/j.ijbiomac.2025.140425","http://dx.doi.org/10.1016/j.ijbiomac.2025.140425")</f>
        <v>http://dx.doi.org/10.1016/j.ijbiomac.2025.140425</v>
      </c>
      <c r="V733" s="6"/>
      <c r="W733" s="28"/>
      <c r="X733" s="28"/>
      <c r="Y733" s="6"/>
      <c r="Z733" s="28"/>
      <c r="AA733" s="28"/>
      <c r="AB733" s="28"/>
    </row>
    <row r="734" spans="1:28" ht="397" x14ac:dyDescent="0.15">
      <c r="A734" s="1" t="s">
        <v>9</v>
      </c>
      <c r="B734" s="4" t="s">
        <v>1093</v>
      </c>
      <c r="C734" s="1" t="s">
        <v>1094</v>
      </c>
      <c r="D734" s="1" t="s">
        <v>78</v>
      </c>
      <c r="E734" s="1" t="s">
        <v>1095</v>
      </c>
      <c r="F734" s="1" t="s">
        <v>1096</v>
      </c>
      <c r="G734" s="1">
        <v>2022</v>
      </c>
      <c r="H734" s="1" t="s">
        <v>1097</v>
      </c>
      <c r="I734" s="1" t="str">
        <f>HYPERLINK("http://dx.doi.org/10.3389/fmars.2022.921877","http://dx.doi.org/10.3389/fmars.2022.921877")</f>
        <v>http://dx.doi.org/10.3389/fmars.2022.921877</v>
      </c>
      <c r="V734" s="6"/>
      <c r="W734" s="28"/>
      <c r="X734" s="28"/>
      <c r="Y734" s="6"/>
      <c r="Z734" s="28"/>
      <c r="AA734" s="28"/>
      <c r="AB734" s="28"/>
    </row>
    <row r="735" spans="1:28" ht="280" x14ac:dyDescent="0.15">
      <c r="A735" s="1" t="s">
        <v>9</v>
      </c>
      <c r="B735" s="4" t="s">
        <v>2312</v>
      </c>
      <c r="C735" s="1" t="s">
        <v>2313</v>
      </c>
      <c r="D735" s="1" t="s">
        <v>918</v>
      </c>
      <c r="E735" s="1" t="s">
        <v>2314</v>
      </c>
      <c r="F735" s="1" t="s">
        <v>21</v>
      </c>
      <c r="G735" s="1">
        <v>2016</v>
      </c>
      <c r="H735" s="1" t="s">
        <v>2315</v>
      </c>
      <c r="I735" s="1" t="str">
        <f>HYPERLINK("http://dx.doi.org/10.1016/j.dci.2016.08.008","http://dx.doi.org/10.1016/j.dci.2016.08.008")</f>
        <v>http://dx.doi.org/10.1016/j.dci.2016.08.008</v>
      </c>
      <c r="V735" s="6"/>
      <c r="W735" s="28"/>
      <c r="X735" s="28"/>
      <c r="Y735" s="6"/>
      <c r="Z735" s="28"/>
      <c r="AA735" s="28"/>
      <c r="AB735" s="28"/>
    </row>
    <row r="736" spans="1:28" ht="238" x14ac:dyDescent="0.15">
      <c r="A736" s="1" t="s">
        <v>9</v>
      </c>
      <c r="B736" s="4" t="s">
        <v>1898</v>
      </c>
      <c r="C736" s="1" t="s">
        <v>1899</v>
      </c>
      <c r="D736" s="1" t="s">
        <v>1900</v>
      </c>
      <c r="E736" s="1" t="s">
        <v>1901</v>
      </c>
      <c r="F736" s="1" t="s">
        <v>1902</v>
      </c>
      <c r="G736" s="1">
        <v>2025</v>
      </c>
      <c r="H736" s="1" t="s">
        <v>1903</v>
      </c>
      <c r="I736" s="1" t="str">
        <f>HYPERLINK("http://dx.doi.org/10.1186/s12917-024-04467-0","http://dx.doi.org/10.1186/s12917-024-04467-0")</f>
        <v>http://dx.doi.org/10.1186/s12917-024-04467-0</v>
      </c>
      <c r="V736" s="6"/>
      <c r="W736" s="28"/>
      <c r="X736" s="28"/>
      <c r="Y736" s="6"/>
      <c r="Z736" s="28"/>
      <c r="AA736" s="28"/>
      <c r="AB736" s="28"/>
    </row>
    <row r="737" spans="1:28" ht="371" x14ac:dyDescent="0.15">
      <c r="A737" s="1" t="s">
        <v>9</v>
      </c>
      <c r="B737" s="4" t="s">
        <v>994</v>
      </c>
      <c r="C737" s="1" t="s">
        <v>995</v>
      </c>
      <c r="D737" s="1" t="s">
        <v>90</v>
      </c>
      <c r="E737" s="1" t="s">
        <v>996</v>
      </c>
      <c r="F737" s="1" t="s">
        <v>33</v>
      </c>
      <c r="G737" s="1">
        <v>2021</v>
      </c>
      <c r="H737" s="1" t="s">
        <v>997</v>
      </c>
      <c r="I737" s="1" t="str">
        <f>HYPERLINK("http://dx.doi.org/10.1016/j.cbd.2021.100820","http://dx.doi.org/10.1016/j.cbd.2021.100820")</f>
        <v>http://dx.doi.org/10.1016/j.cbd.2021.100820</v>
      </c>
      <c r="V737" s="6"/>
      <c r="W737" s="28"/>
      <c r="X737" s="28"/>
      <c r="Y737" s="6"/>
      <c r="Z737" s="28"/>
      <c r="AA737" s="28"/>
      <c r="AB737" s="28"/>
    </row>
    <row r="738" spans="1:28" ht="210" x14ac:dyDescent="0.15">
      <c r="A738" s="1" t="s">
        <v>9</v>
      </c>
      <c r="B738" s="4" t="s">
        <v>1422</v>
      </c>
      <c r="C738" s="1" t="s">
        <v>1423</v>
      </c>
      <c r="D738" s="1" t="s">
        <v>260</v>
      </c>
      <c r="E738" s="1" t="s">
        <v>1424</v>
      </c>
      <c r="F738" s="1" t="s">
        <v>302</v>
      </c>
      <c r="G738" s="1">
        <v>2025</v>
      </c>
      <c r="H738" s="1" t="s">
        <v>1425</v>
      </c>
      <c r="I738" s="1" t="str">
        <f>HYPERLINK("http://dx.doi.org/10.1016/j.aquaculture.2024.742040","http://dx.doi.org/10.1016/j.aquaculture.2024.742040")</f>
        <v>http://dx.doi.org/10.1016/j.aquaculture.2024.742040</v>
      </c>
      <c r="V738" s="6"/>
      <c r="W738" s="28"/>
      <c r="X738" s="28"/>
      <c r="Y738" s="6"/>
      <c r="Z738" s="28"/>
      <c r="AA738" s="28"/>
      <c r="AB738" s="28"/>
    </row>
    <row r="739" spans="1:28" ht="319" x14ac:dyDescent="0.15">
      <c r="A739" s="1" t="s">
        <v>9</v>
      </c>
      <c r="B739" s="4" t="s">
        <v>1854</v>
      </c>
      <c r="C739" s="1" t="s">
        <v>1855</v>
      </c>
      <c r="D739" s="1" t="s">
        <v>110</v>
      </c>
      <c r="E739" s="1" t="s">
        <v>1856</v>
      </c>
      <c r="F739" s="1" t="s">
        <v>56</v>
      </c>
      <c r="G739" s="1">
        <v>2015</v>
      </c>
      <c r="H739" s="1" t="s">
        <v>1857</v>
      </c>
      <c r="I739" s="1" t="str">
        <f>HYPERLINK("http://dx.doi.org/10.1016/j.aquatox.2015.06.015","http://dx.doi.org/10.1016/j.aquatox.2015.06.015")</f>
        <v>http://dx.doi.org/10.1016/j.aquatox.2015.06.015</v>
      </c>
      <c r="V739" s="6"/>
      <c r="W739" s="28"/>
      <c r="X739" s="28"/>
      <c r="Y739" s="6"/>
      <c r="Z739" s="28"/>
      <c r="AA739" s="28"/>
      <c r="AB739" s="28"/>
    </row>
    <row r="740" spans="1:28" ht="293" x14ac:dyDescent="0.15">
      <c r="A740" s="1" t="s">
        <v>9</v>
      </c>
      <c r="B740" s="4" t="s">
        <v>1820</v>
      </c>
      <c r="C740" s="1" t="s">
        <v>1821</v>
      </c>
      <c r="D740" s="1" t="s">
        <v>142</v>
      </c>
      <c r="E740" s="1" t="s">
        <v>1822</v>
      </c>
      <c r="F740" s="1" t="s">
        <v>21</v>
      </c>
      <c r="G740" s="1">
        <v>2018</v>
      </c>
      <c r="H740" s="1" t="s">
        <v>1823</v>
      </c>
      <c r="I740" s="1" t="str">
        <f>HYPERLINK("http://dx.doi.org/10.1016/j.fsi.2018.09.011","http://dx.doi.org/10.1016/j.fsi.2018.09.011")</f>
        <v>http://dx.doi.org/10.1016/j.fsi.2018.09.011</v>
      </c>
      <c r="V740" s="6"/>
      <c r="W740" s="28"/>
      <c r="X740" s="28"/>
      <c r="Y740" s="6"/>
      <c r="Z740" s="28"/>
      <c r="AA740" s="28"/>
      <c r="AB740" s="28"/>
    </row>
    <row r="741" spans="1:28" ht="332" x14ac:dyDescent="0.15">
      <c r="A741" s="1" t="s">
        <v>9</v>
      </c>
      <c r="B741" s="4" t="s">
        <v>1760</v>
      </c>
      <c r="C741" s="1" t="s">
        <v>1761</v>
      </c>
      <c r="D741" s="1" t="s">
        <v>142</v>
      </c>
      <c r="E741" s="1" t="s">
        <v>1762</v>
      </c>
      <c r="F741" s="1" t="s">
        <v>96</v>
      </c>
      <c r="G741" s="1">
        <v>2024</v>
      </c>
      <c r="H741" s="1" t="s">
        <v>1763</v>
      </c>
      <c r="I741" s="1" t="str">
        <f>HYPERLINK("http://dx.doi.org/10.1016/j.fsi.2024.109827","http://dx.doi.org/10.1016/j.fsi.2024.109827")</f>
        <v>http://dx.doi.org/10.1016/j.fsi.2024.109827</v>
      </c>
      <c r="V741" s="6"/>
      <c r="W741" s="28"/>
      <c r="X741" s="28"/>
      <c r="Y741" s="6"/>
      <c r="Z741" s="28"/>
      <c r="AA741" s="28"/>
      <c r="AB741" s="28"/>
    </row>
    <row r="742" spans="1:28" ht="238" x14ac:dyDescent="0.15">
      <c r="A742" s="1" t="s">
        <v>9</v>
      </c>
      <c r="B742" s="4" t="s">
        <v>41</v>
      </c>
      <c r="C742" s="1" t="s">
        <v>42</v>
      </c>
      <c r="D742" s="1" t="s">
        <v>43</v>
      </c>
      <c r="E742" s="1" t="s">
        <v>44</v>
      </c>
      <c r="F742" s="1" t="s">
        <v>33</v>
      </c>
      <c r="G742" s="1">
        <v>2018</v>
      </c>
      <c r="H742" s="1" t="s">
        <v>45</v>
      </c>
      <c r="I742" s="1" t="str">
        <f>HYPERLINK("http://dx.doi.org/10.1126/sciadv.aar8028","http://dx.doi.org/10.1126/sciadv.aar8028")</f>
        <v>http://dx.doi.org/10.1126/sciadv.aar8028</v>
      </c>
      <c r="V742" s="6"/>
      <c r="W742" s="28"/>
      <c r="X742" s="28"/>
      <c r="Y742" s="6"/>
      <c r="Z742" s="28"/>
      <c r="AA742" s="28"/>
      <c r="AB742" s="28"/>
    </row>
    <row r="743" spans="1:28" ht="371" x14ac:dyDescent="0.15">
      <c r="A743" s="1" t="s">
        <v>9</v>
      </c>
      <c r="B743" s="4" t="s">
        <v>403</v>
      </c>
      <c r="C743" s="1" t="s">
        <v>404</v>
      </c>
      <c r="D743" s="1" t="s">
        <v>405</v>
      </c>
      <c r="E743" s="1" t="s">
        <v>406</v>
      </c>
      <c r="F743" s="1" t="s">
        <v>221</v>
      </c>
      <c r="G743" s="1">
        <v>2021</v>
      </c>
      <c r="H743" s="1" t="s">
        <v>407</v>
      </c>
      <c r="I743" s="1" t="str">
        <f>HYPERLINK("http://dx.doi.org/10.1016/j.marenvres.2020.105214","http://dx.doi.org/10.1016/j.marenvres.2020.105214")</f>
        <v>http://dx.doi.org/10.1016/j.marenvres.2020.105214</v>
      </c>
      <c r="V743" s="6"/>
      <c r="W743" s="28"/>
      <c r="X743" s="28"/>
      <c r="Y743" s="6"/>
      <c r="Z743" s="28"/>
      <c r="AA743" s="28"/>
      <c r="AB743" s="28"/>
    </row>
    <row r="744" spans="1:28" ht="266" x14ac:dyDescent="0.15">
      <c r="A744" s="1" t="s">
        <v>9</v>
      </c>
      <c r="B744" s="4" t="s">
        <v>486</v>
      </c>
      <c r="C744" s="1" t="s">
        <v>487</v>
      </c>
      <c r="D744" s="1" t="s">
        <v>260</v>
      </c>
      <c r="E744" s="1" t="s">
        <v>488</v>
      </c>
      <c r="F744" s="1" t="s">
        <v>489</v>
      </c>
      <c r="G744" s="1">
        <v>2025</v>
      </c>
      <c r="H744" s="1" t="s">
        <v>490</v>
      </c>
      <c r="I744" s="1" t="str">
        <f>HYPERLINK("http://dx.doi.org/10.1016/j.aquaculture.2024.741751","http://dx.doi.org/10.1016/j.aquaculture.2024.741751")</f>
        <v>http://dx.doi.org/10.1016/j.aquaculture.2024.741751</v>
      </c>
      <c r="V744" s="6"/>
      <c r="W744" s="28"/>
      <c r="X744" s="28"/>
      <c r="Y744" s="6"/>
      <c r="Z744" s="28"/>
      <c r="AA744" s="28"/>
      <c r="AB744" s="28"/>
    </row>
    <row r="745" spans="1:28" ht="371" x14ac:dyDescent="0.15">
      <c r="A745" s="1" t="s">
        <v>9</v>
      </c>
      <c r="B745" s="4" t="s">
        <v>129</v>
      </c>
      <c r="C745" s="1" t="s">
        <v>130</v>
      </c>
      <c r="D745" s="1" t="s">
        <v>48</v>
      </c>
      <c r="E745" s="1" t="s">
        <v>131</v>
      </c>
      <c r="F745" s="1" t="s">
        <v>132</v>
      </c>
      <c r="G745" s="1">
        <v>2023</v>
      </c>
      <c r="H745" s="1" t="s">
        <v>133</v>
      </c>
      <c r="I745" s="1" t="str">
        <f>HYPERLINK("http://dx.doi.org/10.1186/s12864-023-09616-7","http://dx.doi.org/10.1186/s12864-023-09616-7")</f>
        <v>http://dx.doi.org/10.1186/s12864-023-09616-7</v>
      </c>
      <c r="V745" s="6"/>
      <c r="W745" s="28"/>
      <c r="X745" s="28"/>
      <c r="Y745" s="6"/>
      <c r="Z745" s="28"/>
      <c r="AA745" s="28"/>
      <c r="AB745" s="28"/>
    </row>
    <row r="746" spans="1:28" ht="252" x14ac:dyDescent="0.15">
      <c r="A746" s="1" t="s">
        <v>9</v>
      </c>
      <c r="B746" s="4" t="s">
        <v>1697</v>
      </c>
      <c r="C746" s="1" t="s">
        <v>1698</v>
      </c>
      <c r="D746" s="1" t="s">
        <v>1699</v>
      </c>
      <c r="E746" s="1" t="s">
        <v>1700</v>
      </c>
      <c r="F746" s="1" t="s">
        <v>401</v>
      </c>
      <c r="G746" s="1">
        <v>2024</v>
      </c>
      <c r="H746" s="1" t="s">
        <v>1701</v>
      </c>
      <c r="I746" s="1" t="str">
        <f>HYPERLINK("http://dx.doi.org/10.4049/jimmunol.2300761","http://dx.doi.org/10.4049/jimmunol.2300761")</f>
        <v>http://dx.doi.org/10.4049/jimmunol.2300761</v>
      </c>
      <c r="V746" s="6"/>
      <c r="W746" s="28"/>
      <c r="X746" s="28"/>
      <c r="Y746" s="6"/>
      <c r="Z746" s="28"/>
      <c r="AA746" s="28"/>
      <c r="AB746" s="28"/>
    </row>
    <row r="747" spans="1:28" ht="319" x14ac:dyDescent="0.15">
      <c r="A747" s="1" t="s">
        <v>9</v>
      </c>
      <c r="B747" s="4" t="s">
        <v>1561</v>
      </c>
      <c r="C747" s="1" t="s">
        <v>1562</v>
      </c>
      <c r="D747" s="1" t="s">
        <v>585</v>
      </c>
      <c r="E747" s="1" t="s">
        <v>1563</v>
      </c>
      <c r="F747" s="1" t="s">
        <v>1564</v>
      </c>
      <c r="G747" s="1">
        <v>2021</v>
      </c>
      <c r="H747" s="1" t="s">
        <v>1565</v>
      </c>
      <c r="I747" s="1" t="str">
        <f>HYPERLINK("http://dx.doi.org/10.3389/fimmu.2021.770055","http://dx.doi.org/10.3389/fimmu.2021.770055")</f>
        <v>http://dx.doi.org/10.3389/fimmu.2021.770055</v>
      </c>
      <c r="V747" s="6"/>
      <c r="W747" s="28"/>
      <c r="X747" s="28"/>
      <c r="Y747" s="6"/>
      <c r="Z747" s="28"/>
      <c r="AA747" s="28"/>
      <c r="AB747" s="28"/>
    </row>
    <row r="748" spans="1:28" ht="280" x14ac:dyDescent="0.15">
      <c r="A748" s="1" t="s">
        <v>9</v>
      </c>
      <c r="B748" s="4" t="s">
        <v>2191</v>
      </c>
      <c r="C748" s="1" t="s">
        <v>2192</v>
      </c>
      <c r="D748" s="1" t="s">
        <v>142</v>
      </c>
      <c r="E748" s="1" t="s">
        <v>2193</v>
      </c>
      <c r="F748" s="1" t="s">
        <v>96</v>
      </c>
      <c r="G748" s="1">
        <v>2024</v>
      </c>
      <c r="H748" s="1" t="s">
        <v>2194</v>
      </c>
      <c r="I748" s="1" t="str">
        <f>HYPERLINK("http://dx.doi.org/10.1016/j.fsi.2024.109848","http://dx.doi.org/10.1016/j.fsi.2024.109848")</f>
        <v>http://dx.doi.org/10.1016/j.fsi.2024.109848</v>
      </c>
      <c r="V748" s="6"/>
      <c r="W748" s="28"/>
      <c r="X748" s="28"/>
      <c r="Y748" s="6"/>
      <c r="Z748" s="28"/>
      <c r="AA748" s="28"/>
      <c r="AB748" s="28"/>
    </row>
    <row r="749" spans="1:28" ht="280" x14ac:dyDescent="0.15">
      <c r="A749" s="1" t="s">
        <v>9</v>
      </c>
      <c r="B749" s="4" t="s">
        <v>3177</v>
      </c>
      <c r="C749" s="1" t="s">
        <v>3178</v>
      </c>
      <c r="D749" s="1" t="s">
        <v>1090</v>
      </c>
      <c r="E749" s="1" t="s">
        <v>3179</v>
      </c>
      <c r="F749" s="1" t="s">
        <v>559</v>
      </c>
      <c r="G749" s="1">
        <v>2022</v>
      </c>
      <c r="H749" s="1" t="s">
        <v>3180</v>
      </c>
      <c r="I749" s="1" t="str">
        <f>HYPERLINK("http://dx.doi.org/10.1016/j.ijbiomac.2022.01.176","http://dx.doi.org/10.1016/j.ijbiomac.2022.01.176")</f>
        <v>http://dx.doi.org/10.1016/j.ijbiomac.2022.01.176</v>
      </c>
      <c r="V749" s="6"/>
      <c r="W749" s="28"/>
      <c r="X749" s="28"/>
      <c r="Y749" s="6"/>
      <c r="Z749" s="28"/>
      <c r="AA749" s="28"/>
      <c r="AB749" s="28"/>
    </row>
    <row r="750" spans="1:28" ht="252" x14ac:dyDescent="0.15">
      <c r="A750" s="1" t="s">
        <v>9</v>
      </c>
      <c r="B750" s="4" t="s">
        <v>3754</v>
      </c>
      <c r="C750" s="1" t="s">
        <v>3755</v>
      </c>
      <c r="D750" s="1" t="s">
        <v>156</v>
      </c>
      <c r="E750" s="1" t="s">
        <v>3756</v>
      </c>
      <c r="F750" s="1" t="s">
        <v>1295</v>
      </c>
      <c r="G750" s="1">
        <v>2015</v>
      </c>
      <c r="H750" s="1" t="s">
        <v>3757</v>
      </c>
      <c r="I750" s="1" t="str">
        <f>HYPERLINK("http://dx.doi.org/10.1038/srep12608","http://dx.doi.org/10.1038/srep12608")</f>
        <v>http://dx.doi.org/10.1038/srep12608</v>
      </c>
      <c r="V750" s="6"/>
      <c r="W750" s="28"/>
      <c r="X750" s="28"/>
      <c r="Y750" s="6"/>
      <c r="Z750" s="28"/>
      <c r="AA750" s="28"/>
      <c r="AB750" s="28"/>
    </row>
    <row r="751" spans="1:28" ht="358" x14ac:dyDescent="0.15">
      <c r="A751" s="1" t="s">
        <v>9</v>
      </c>
      <c r="B751" s="4" t="s">
        <v>1756</v>
      </c>
      <c r="C751" s="1" t="s">
        <v>1757</v>
      </c>
      <c r="D751" s="1" t="s">
        <v>37</v>
      </c>
      <c r="E751" s="1" t="s">
        <v>1758</v>
      </c>
      <c r="F751" s="1" t="s">
        <v>39</v>
      </c>
      <c r="G751" s="1">
        <v>2023</v>
      </c>
      <c r="H751" s="1" t="s">
        <v>1759</v>
      </c>
      <c r="I751" s="1" t="str">
        <f>HYPERLINK("http://dx.doi.org/10.1016/j.ecoenv.2022.114412","http://dx.doi.org/10.1016/j.ecoenv.2022.114412")</f>
        <v>http://dx.doi.org/10.1016/j.ecoenv.2022.114412</v>
      </c>
      <c r="V751" s="6"/>
      <c r="W751" s="28"/>
      <c r="X751" s="28"/>
      <c r="Y751" s="6"/>
      <c r="Z751" s="28"/>
      <c r="AA751" s="28"/>
      <c r="AB751" s="28"/>
    </row>
    <row r="752" spans="1:28" ht="280" x14ac:dyDescent="0.15">
      <c r="A752" s="1" t="s">
        <v>9</v>
      </c>
      <c r="B752" s="4" t="s">
        <v>1556</v>
      </c>
      <c r="C752" s="1" t="s">
        <v>1557</v>
      </c>
      <c r="D752" s="1" t="s">
        <v>344</v>
      </c>
      <c r="E752" s="1" t="s">
        <v>1558</v>
      </c>
      <c r="F752" s="1" t="s">
        <v>1559</v>
      </c>
      <c r="G752" s="1">
        <v>2024</v>
      </c>
      <c r="H752" s="1" t="s">
        <v>1560</v>
      </c>
      <c r="I752" s="1" t="str">
        <f>HYPERLINK("http://dx.doi.org/10.1021/acs.est.4c04190","http://dx.doi.org/10.1021/acs.est.4c04190")</f>
        <v>http://dx.doi.org/10.1021/acs.est.4c04190</v>
      </c>
      <c r="V752" s="6"/>
      <c r="W752" s="28"/>
      <c r="X752" s="28"/>
      <c r="Y752" s="6"/>
      <c r="Z752" s="28"/>
      <c r="AA752" s="28"/>
      <c r="AB752" s="28"/>
    </row>
    <row r="753" spans="1:28" ht="280" x14ac:dyDescent="0.15">
      <c r="A753" s="1" t="s">
        <v>9</v>
      </c>
      <c r="B753" s="4" t="s">
        <v>2558</v>
      </c>
      <c r="C753" s="1" t="s">
        <v>2559</v>
      </c>
      <c r="D753" s="1" t="s">
        <v>48</v>
      </c>
      <c r="E753" s="1" t="s">
        <v>2560</v>
      </c>
      <c r="F753" s="1" t="s">
        <v>942</v>
      </c>
      <c r="G753" s="1">
        <v>2019</v>
      </c>
      <c r="H753" s="1" t="s">
        <v>2561</v>
      </c>
      <c r="I753" s="1" t="str">
        <f>HYPERLINK("http://dx.doi.org/10.1186/s12864-019-6156-5","http://dx.doi.org/10.1186/s12864-019-6156-5")</f>
        <v>http://dx.doi.org/10.1186/s12864-019-6156-5</v>
      </c>
      <c r="V753" s="6"/>
      <c r="W753" s="28"/>
      <c r="X753" s="28"/>
      <c r="Y753" s="6"/>
      <c r="Z753" s="28"/>
      <c r="AA753" s="28"/>
      <c r="AB753" s="28"/>
    </row>
    <row r="754" spans="1:28" ht="293" x14ac:dyDescent="0.15">
      <c r="A754" s="1" t="s">
        <v>9</v>
      </c>
      <c r="B754" s="4" t="s">
        <v>331</v>
      </c>
      <c r="C754" s="1" t="s">
        <v>332</v>
      </c>
      <c r="D754" s="1" t="s">
        <v>333</v>
      </c>
      <c r="E754" s="1" t="s">
        <v>334</v>
      </c>
      <c r="F754" s="1" t="s">
        <v>335</v>
      </c>
      <c r="G754" s="1">
        <v>2014</v>
      </c>
      <c r="H754" s="1" t="s">
        <v>336</v>
      </c>
      <c r="I754" s="1" t="str">
        <f>HYPERLINK("http://dx.doi.org/10.3389/fphys.2014.00173","http://dx.doi.org/10.3389/fphys.2014.00173")</f>
        <v>http://dx.doi.org/10.3389/fphys.2014.00173</v>
      </c>
      <c r="V754" s="6"/>
      <c r="W754" s="28"/>
      <c r="X754" s="28"/>
      <c r="Y754" s="6"/>
      <c r="Z754" s="28"/>
      <c r="AA754" s="28"/>
      <c r="AB754" s="28"/>
    </row>
    <row r="755" spans="1:28" ht="409.6" x14ac:dyDescent="0.15">
      <c r="A755" s="1" t="s">
        <v>9</v>
      </c>
      <c r="B755" s="4" t="s">
        <v>2329</v>
      </c>
      <c r="C755" s="1" t="s">
        <v>2330</v>
      </c>
      <c r="D755" s="1" t="s">
        <v>946</v>
      </c>
      <c r="E755" s="1" t="s">
        <v>2331</v>
      </c>
      <c r="F755" s="1" t="s">
        <v>138</v>
      </c>
      <c r="G755" s="1">
        <v>2021</v>
      </c>
      <c r="H755" s="1" t="s">
        <v>2332</v>
      </c>
      <c r="I755" s="1" t="str">
        <f>HYPERLINK("http://dx.doi.org/10.3390/biology10020103","http://dx.doi.org/10.3390/biology10020103")</f>
        <v>http://dx.doi.org/10.3390/biology10020103</v>
      </c>
      <c r="V755" s="6"/>
      <c r="W755" s="28"/>
      <c r="X755" s="28"/>
      <c r="Y755" s="6"/>
      <c r="Z755" s="28"/>
      <c r="AA755" s="28"/>
      <c r="AB755" s="28"/>
    </row>
    <row r="756" spans="1:28" ht="371" x14ac:dyDescent="0.15">
      <c r="A756" s="1" t="s">
        <v>9</v>
      </c>
      <c r="B756" s="4" t="s">
        <v>1764</v>
      </c>
      <c r="C756" s="1" t="s">
        <v>1765</v>
      </c>
      <c r="D756" s="1" t="s">
        <v>585</v>
      </c>
      <c r="E756" s="1" t="s">
        <v>1766</v>
      </c>
      <c r="F756" s="1" t="s">
        <v>1767</v>
      </c>
      <c r="G756" s="1">
        <v>2020</v>
      </c>
      <c r="H756" s="1" t="s">
        <v>1768</v>
      </c>
      <c r="I756" s="1" t="str">
        <f>HYPERLINK("http://dx.doi.org/10.3389/fimmu.2020.606102","http://dx.doi.org/10.3389/fimmu.2020.606102")</f>
        <v>http://dx.doi.org/10.3389/fimmu.2020.606102</v>
      </c>
      <c r="V756" s="6"/>
      <c r="W756" s="28"/>
      <c r="X756" s="28"/>
      <c r="Y756" s="6"/>
      <c r="Z756" s="28"/>
      <c r="AA756" s="28"/>
      <c r="AB756" s="28"/>
    </row>
    <row r="757" spans="1:28" ht="280" x14ac:dyDescent="0.15">
      <c r="A757" s="1" t="s">
        <v>9</v>
      </c>
      <c r="B757" s="4" t="s">
        <v>1375</v>
      </c>
      <c r="C757" s="1" t="s">
        <v>1376</v>
      </c>
      <c r="D757" s="1" t="s">
        <v>31</v>
      </c>
      <c r="E757" s="1" t="s">
        <v>1377</v>
      </c>
      <c r="F757" s="1" t="s">
        <v>122</v>
      </c>
      <c r="G757" s="1">
        <v>2016</v>
      </c>
      <c r="H757" s="1" t="s">
        <v>1378</v>
      </c>
      <c r="I757" s="1" t="str">
        <f>HYPERLINK("http://dx.doi.org/10.1007/s10126-016-9711-y","http://dx.doi.org/10.1007/s10126-016-9711-y")</f>
        <v>http://dx.doi.org/10.1007/s10126-016-9711-y</v>
      </c>
      <c r="V757" s="6"/>
      <c r="W757" s="28"/>
      <c r="X757" s="28"/>
      <c r="Y757" s="6"/>
      <c r="Z757" s="28"/>
      <c r="AA757" s="28"/>
      <c r="AB757" s="28"/>
    </row>
    <row r="758" spans="1:28" ht="293" x14ac:dyDescent="0.15">
      <c r="A758" s="1" t="s">
        <v>9</v>
      </c>
      <c r="B758" s="4" t="s">
        <v>223</v>
      </c>
      <c r="C758" s="1" t="s">
        <v>224</v>
      </c>
      <c r="D758" s="1" t="s">
        <v>225</v>
      </c>
      <c r="E758" s="1" t="s">
        <v>226</v>
      </c>
      <c r="F758" s="1" t="s">
        <v>62</v>
      </c>
      <c r="G758" s="1">
        <v>2016</v>
      </c>
      <c r="H758" s="1" t="s">
        <v>227</v>
      </c>
      <c r="I758" s="1" t="str">
        <f>HYPERLINK("http://dx.doi.org/10.1093/mollus/eyv069","http://dx.doi.org/10.1093/mollus/eyv069")</f>
        <v>http://dx.doi.org/10.1093/mollus/eyv069</v>
      </c>
      <c r="V758" s="6"/>
      <c r="W758" s="28"/>
      <c r="X758" s="28"/>
      <c r="Y758" s="6"/>
      <c r="Z758" s="28"/>
      <c r="AA758" s="28"/>
      <c r="AB758" s="28"/>
    </row>
    <row r="759" spans="1:28" ht="358" x14ac:dyDescent="0.15">
      <c r="A759" s="1" t="s">
        <v>9</v>
      </c>
      <c r="B759" s="4" t="s">
        <v>2652</v>
      </c>
      <c r="C759" s="1" t="s">
        <v>2653</v>
      </c>
      <c r="D759" s="1" t="s">
        <v>151</v>
      </c>
      <c r="E759" s="1" t="s">
        <v>2654</v>
      </c>
      <c r="F759" s="1" t="s">
        <v>209</v>
      </c>
      <c r="G759" s="1">
        <v>2022</v>
      </c>
      <c r="H759" s="1" t="s">
        <v>2655</v>
      </c>
      <c r="I759" s="1" t="str">
        <f>HYPERLINK("http://dx.doi.org/10.1002/ece3.9524","http://dx.doi.org/10.1002/ece3.9524")</f>
        <v>http://dx.doi.org/10.1002/ece3.9524</v>
      </c>
      <c r="V759" s="6"/>
      <c r="W759" s="28"/>
      <c r="X759" s="28"/>
      <c r="Y759" s="6"/>
      <c r="Z759" s="28"/>
      <c r="AA759" s="28"/>
      <c r="AB759" s="28"/>
    </row>
    <row r="760" spans="1:28" ht="332" x14ac:dyDescent="0.15">
      <c r="A760" s="1" t="s">
        <v>9</v>
      </c>
      <c r="B760" s="4" t="s">
        <v>556</v>
      </c>
      <c r="C760" s="1" t="s">
        <v>557</v>
      </c>
      <c r="D760" s="1" t="s">
        <v>156</v>
      </c>
      <c r="E760" s="1" t="s">
        <v>558</v>
      </c>
      <c r="F760" s="1" t="s">
        <v>559</v>
      </c>
      <c r="G760" s="1">
        <v>2021</v>
      </c>
      <c r="H760" s="1" t="s">
        <v>560</v>
      </c>
      <c r="I760" s="1" t="str">
        <f>HYPERLINK("http://dx.doi.org/10.1038/s41598-021-86578-4","http://dx.doi.org/10.1038/s41598-021-86578-4")</f>
        <v>http://dx.doi.org/10.1038/s41598-021-86578-4</v>
      </c>
      <c r="V760" s="6"/>
      <c r="W760" s="28"/>
      <c r="X760" s="28"/>
      <c r="Y760" s="6"/>
      <c r="Z760" s="28"/>
      <c r="AA760" s="28"/>
      <c r="AB760" s="28"/>
    </row>
    <row r="761" spans="1:28" ht="319" x14ac:dyDescent="0.15">
      <c r="A761" s="1" t="s">
        <v>9</v>
      </c>
      <c r="B761" s="4" t="s">
        <v>1288</v>
      </c>
      <c r="C761" s="1" t="s">
        <v>1289</v>
      </c>
      <c r="D761" s="1" t="s">
        <v>110</v>
      </c>
      <c r="E761" s="1" t="s">
        <v>1290</v>
      </c>
      <c r="F761" s="1" t="s">
        <v>122</v>
      </c>
      <c r="G761" s="1">
        <v>2023</v>
      </c>
      <c r="H761" s="1" t="s">
        <v>1291</v>
      </c>
      <c r="I761" s="1" t="str">
        <f>HYPERLINK("http://dx.doi.org/10.1016/j.aquatox.2023.106619","http://dx.doi.org/10.1016/j.aquatox.2023.106619")</f>
        <v>http://dx.doi.org/10.1016/j.aquatox.2023.106619</v>
      </c>
      <c r="V761" s="6"/>
      <c r="W761" s="28"/>
      <c r="X761" s="28"/>
      <c r="Y761" s="6"/>
      <c r="Z761" s="28"/>
      <c r="AA761" s="28"/>
      <c r="AB761" s="28"/>
    </row>
    <row r="762" spans="1:28" ht="332" x14ac:dyDescent="0.15">
      <c r="A762" s="1" t="s">
        <v>9</v>
      </c>
      <c r="B762" s="4" t="s">
        <v>3449</v>
      </c>
      <c r="C762" s="1" t="s">
        <v>3450</v>
      </c>
      <c r="D762" s="1" t="s">
        <v>350</v>
      </c>
      <c r="E762" s="1" t="s">
        <v>3451</v>
      </c>
      <c r="F762" s="1" t="s">
        <v>122</v>
      </c>
      <c r="G762" s="1">
        <v>2020</v>
      </c>
      <c r="H762" s="1" t="s">
        <v>3452</v>
      </c>
      <c r="I762" s="1" t="str">
        <f>HYPERLINK("http://dx.doi.org/10.3390/genes11080857","http://dx.doi.org/10.3390/genes11080857")</f>
        <v>http://dx.doi.org/10.3390/genes11080857</v>
      </c>
      <c r="V762" s="6"/>
      <c r="W762" s="28"/>
      <c r="X762" s="28"/>
      <c r="Y762" s="6"/>
      <c r="Z762" s="28"/>
      <c r="AA762" s="28"/>
      <c r="AB762" s="28"/>
    </row>
    <row r="763" spans="1:28" ht="345" x14ac:dyDescent="0.15">
      <c r="A763" s="1" t="s">
        <v>9</v>
      </c>
      <c r="B763" s="4" t="s">
        <v>2810</v>
      </c>
      <c r="C763" s="1" t="s">
        <v>2811</v>
      </c>
      <c r="D763" s="1" t="s">
        <v>2309</v>
      </c>
      <c r="E763" s="1" t="s">
        <v>2812</v>
      </c>
      <c r="F763" s="1" t="s">
        <v>21</v>
      </c>
      <c r="G763" s="1">
        <v>2021</v>
      </c>
      <c r="H763" s="1" t="s">
        <v>2813</v>
      </c>
      <c r="I763" s="1" t="str">
        <f>HYPERLINK("http://dx.doi.org/10.3390/ncrna7040076","http://dx.doi.org/10.3390/ncrna7040076")</f>
        <v>http://dx.doi.org/10.3390/ncrna7040076</v>
      </c>
      <c r="V763" s="6"/>
      <c r="W763" s="28"/>
      <c r="X763" s="28"/>
      <c r="Y763" s="6"/>
      <c r="Z763" s="28"/>
      <c r="AA763" s="28"/>
      <c r="AB763" s="28"/>
    </row>
    <row r="764" spans="1:28" ht="266" x14ac:dyDescent="0.15">
      <c r="A764" s="1" t="s">
        <v>9</v>
      </c>
      <c r="B764" s="4" t="s">
        <v>1131</v>
      </c>
      <c r="C764" s="1" t="s">
        <v>1132</v>
      </c>
      <c r="D764" s="1" t="s">
        <v>1133</v>
      </c>
      <c r="E764" s="1" t="s">
        <v>1134</v>
      </c>
      <c r="F764" s="1" t="s">
        <v>1135</v>
      </c>
      <c r="G764" s="1">
        <v>2013</v>
      </c>
      <c r="H764" s="1" t="s">
        <v>1136</v>
      </c>
      <c r="I764" s="1" t="str">
        <f>HYPERLINK("http://dx.doi.org/10.1016/j.brainres.2013.09.009","http://dx.doi.org/10.1016/j.brainres.2013.09.009")</f>
        <v>http://dx.doi.org/10.1016/j.brainres.2013.09.009</v>
      </c>
      <c r="V764" s="6"/>
      <c r="W764" s="28"/>
      <c r="X764" s="28"/>
      <c r="Y764" s="6"/>
      <c r="Z764" s="28"/>
      <c r="AA764" s="28"/>
      <c r="AB764" s="28"/>
    </row>
    <row r="765" spans="1:28" ht="319" x14ac:dyDescent="0.15">
      <c r="A765" s="1" t="s">
        <v>9</v>
      </c>
      <c r="B765" s="4" t="s">
        <v>1650</v>
      </c>
      <c r="C765" s="1" t="s">
        <v>1651</v>
      </c>
      <c r="D765" s="1" t="s">
        <v>260</v>
      </c>
      <c r="E765" s="1" t="s">
        <v>1652</v>
      </c>
      <c r="F765" s="1" t="s">
        <v>1653</v>
      </c>
      <c r="G765" s="1">
        <v>2022</v>
      </c>
      <c r="H765" s="1" t="s">
        <v>1654</v>
      </c>
      <c r="I765" s="1" t="str">
        <f>HYPERLINK("http://dx.doi.org/10.1016/j.aquaculture.2022.738286","http://dx.doi.org/10.1016/j.aquaculture.2022.738286")</f>
        <v>http://dx.doi.org/10.1016/j.aquaculture.2022.738286</v>
      </c>
      <c r="V765" s="6"/>
      <c r="W765" s="28"/>
      <c r="X765" s="28"/>
      <c r="Y765" s="6"/>
      <c r="Z765" s="28"/>
      <c r="AA765" s="28"/>
      <c r="AB765" s="28"/>
    </row>
    <row r="766" spans="1:28" ht="384" x14ac:dyDescent="0.15">
      <c r="A766" s="1" t="s">
        <v>9</v>
      </c>
      <c r="B766" s="4" t="s">
        <v>1914</v>
      </c>
      <c r="C766" s="1" t="s">
        <v>1915</v>
      </c>
      <c r="D766" s="1" t="s">
        <v>142</v>
      </c>
      <c r="E766" s="1" t="s">
        <v>1916</v>
      </c>
      <c r="F766" s="1" t="s">
        <v>138</v>
      </c>
      <c r="G766" s="1">
        <v>2012</v>
      </c>
      <c r="H766" s="1" t="s">
        <v>1917</v>
      </c>
      <c r="I766" s="1" t="str">
        <f>HYPERLINK("http://dx.doi.org/10.1016/j.fsi.2011.11.027","http://dx.doi.org/10.1016/j.fsi.2011.11.027")</f>
        <v>http://dx.doi.org/10.1016/j.fsi.2011.11.027</v>
      </c>
      <c r="V766" s="6"/>
      <c r="W766" s="28"/>
      <c r="X766" s="28"/>
      <c r="Y766" s="6"/>
      <c r="Z766" s="28"/>
      <c r="AA766" s="28"/>
      <c r="AB766" s="28"/>
    </row>
    <row r="767" spans="1:28" ht="238" x14ac:dyDescent="0.15">
      <c r="A767" s="1" t="s">
        <v>9</v>
      </c>
      <c r="B767" s="4" t="s">
        <v>1171</v>
      </c>
      <c r="C767" s="1" t="s">
        <v>1172</v>
      </c>
      <c r="D767" s="1" t="s">
        <v>1173</v>
      </c>
      <c r="E767" s="1" t="s">
        <v>1174</v>
      </c>
      <c r="F767" s="1" t="s">
        <v>1175</v>
      </c>
      <c r="G767" s="1">
        <v>2013</v>
      </c>
      <c r="H767" s="1" t="s">
        <v>1176</v>
      </c>
      <c r="I767" s="1" t="str">
        <f>HYPERLINK("http://dx.doi.org/10.1098/rspb.2013.0155","http://dx.doi.org/10.1098/rspb.2013.0155")</f>
        <v>http://dx.doi.org/10.1098/rspb.2013.0155</v>
      </c>
      <c r="V767" s="6"/>
      <c r="W767" s="28"/>
      <c r="X767" s="28"/>
      <c r="Y767" s="6"/>
      <c r="Z767" s="28"/>
      <c r="AA767" s="28"/>
      <c r="AB767" s="28"/>
    </row>
    <row r="768" spans="1:28" ht="266" x14ac:dyDescent="0.15">
      <c r="A768" s="1" t="s">
        <v>9</v>
      </c>
      <c r="B768" s="9" t="s">
        <v>1186</v>
      </c>
      <c r="C768" s="1" t="s">
        <v>1187</v>
      </c>
      <c r="D768" s="1" t="s">
        <v>1188</v>
      </c>
      <c r="E768" s="1" t="s">
        <v>1189</v>
      </c>
      <c r="F768" s="1" t="s">
        <v>96</v>
      </c>
      <c r="G768" s="1">
        <v>2021</v>
      </c>
      <c r="H768" s="1" t="s">
        <v>1190</v>
      </c>
      <c r="I768" s="1" t="str">
        <f>HYPERLINK("http://dx.doi.org/10.1111/are.15307","http://dx.doi.org/10.1111/are.15307")</f>
        <v>http://dx.doi.org/10.1111/are.15307</v>
      </c>
      <c r="V768" s="6"/>
      <c r="W768" s="28"/>
      <c r="X768" s="28"/>
      <c r="Y768" s="6"/>
      <c r="Z768" s="28"/>
      <c r="AA768" s="28"/>
      <c r="AB768" s="28"/>
    </row>
    <row r="769" spans="1:28" ht="266" x14ac:dyDescent="0.15">
      <c r="A769" s="1" t="s">
        <v>9</v>
      </c>
      <c r="B769" s="4" t="s">
        <v>365</v>
      </c>
      <c r="C769" s="1" t="s">
        <v>366</v>
      </c>
      <c r="D769" s="1" t="s">
        <v>367</v>
      </c>
      <c r="E769" s="1" t="s">
        <v>368</v>
      </c>
      <c r="F769" s="1" t="s">
        <v>262</v>
      </c>
      <c r="G769" s="1">
        <v>2024</v>
      </c>
      <c r="H769" s="1" t="s">
        <v>369</v>
      </c>
      <c r="I769" s="1" t="str">
        <f>HYPERLINK("http://dx.doi.org/10.1016/j.jhazmat.2023.132691","http://dx.doi.org/10.1016/j.jhazmat.2023.132691")</f>
        <v>http://dx.doi.org/10.1016/j.jhazmat.2023.132691</v>
      </c>
      <c r="V769" s="6"/>
      <c r="W769" s="28"/>
      <c r="X769" s="28"/>
      <c r="Y769" s="6"/>
      <c r="Z769" s="28"/>
      <c r="AA769" s="28"/>
      <c r="AB769" s="28"/>
    </row>
    <row r="770" spans="1:28" ht="345" x14ac:dyDescent="0.15">
      <c r="A770" s="1" t="s">
        <v>9</v>
      </c>
      <c r="B770" s="4" t="s">
        <v>1283</v>
      </c>
      <c r="C770" s="1" t="s">
        <v>1284</v>
      </c>
      <c r="D770" s="1" t="s">
        <v>321</v>
      </c>
      <c r="E770" s="1" t="s">
        <v>1285</v>
      </c>
      <c r="F770" s="1" t="s">
        <v>1286</v>
      </c>
      <c r="G770" s="1">
        <v>2015</v>
      </c>
      <c r="H770" s="1" t="s">
        <v>1287</v>
      </c>
      <c r="I770" s="1" t="str">
        <f>HYPERLINK("http://dx.doi.org/10.1371/journal.pone.0132276","http://dx.doi.org/10.1371/journal.pone.0132276")</f>
        <v>http://dx.doi.org/10.1371/journal.pone.0132276</v>
      </c>
      <c r="V770" s="6"/>
      <c r="W770" s="28"/>
      <c r="X770" s="28"/>
      <c r="Y770" s="6"/>
      <c r="Z770" s="28"/>
      <c r="AA770" s="28"/>
      <c r="AB770" s="28"/>
    </row>
    <row r="771" spans="1:28" ht="332" x14ac:dyDescent="0.15">
      <c r="A771" s="1" t="s">
        <v>9</v>
      </c>
      <c r="B771" s="4" t="s">
        <v>1955</v>
      </c>
      <c r="C771" s="1" t="s">
        <v>1956</v>
      </c>
      <c r="D771" s="1" t="s">
        <v>1957</v>
      </c>
      <c r="E771" s="1" t="s">
        <v>1958</v>
      </c>
      <c r="F771" s="1" t="s">
        <v>56</v>
      </c>
      <c r="G771" s="1">
        <v>2017</v>
      </c>
      <c r="H771" s="1" t="s">
        <v>1959</v>
      </c>
      <c r="I771" s="1" t="str">
        <f>HYPERLINK("http://dx.doi.org/10.1016/j.ijpara.2017.04.002","http://dx.doi.org/10.1016/j.ijpara.2017.04.002")</f>
        <v>http://dx.doi.org/10.1016/j.ijpara.2017.04.002</v>
      </c>
      <c r="V771" s="6"/>
      <c r="W771" s="28"/>
      <c r="X771" s="28"/>
      <c r="Y771" s="6"/>
      <c r="Z771" s="28"/>
      <c r="AA771" s="28"/>
      <c r="AB771" s="28"/>
    </row>
    <row r="772" spans="1:28" ht="358" x14ac:dyDescent="0.15">
      <c r="A772" s="1" t="s">
        <v>9</v>
      </c>
      <c r="B772" s="4" t="s">
        <v>842</v>
      </c>
      <c r="C772" s="1" t="s">
        <v>843</v>
      </c>
      <c r="D772" s="1" t="s">
        <v>300</v>
      </c>
      <c r="E772" s="1" t="s">
        <v>844</v>
      </c>
      <c r="F772" s="1" t="s">
        <v>736</v>
      </c>
      <c r="G772" s="1">
        <v>2024</v>
      </c>
      <c r="H772" s="1" t="s">
        <v>845</v>
      </c>
      <c r="I772" s="1" t="str">
        <f>HYPERLINK("http://dx.doi.org/10.1016/j.scitotenv.2024.175431","http://dx.doi.org/10.1016/j.scitotenv.2024.175431")</f>
        <v>http://dx.doi.org/10.1016/j.scitotenv.2024.175431</v>
      </c>
      <c r="V772" s="6"/>
      <c r="W772" s="28"/>
      <c r="X772" s="28"/>
      <c r="Y772" s="6"/>
      <c r="Z772" s="28"/>
      <c r="AA772" s="28"/>
      <c r="AB772" s="28"/>
    </row>
    <row r="773" spans="1:28" ht="280" x14ac:dyDescent="0.15">
      <c r="A773" s="3" t="s">
        <v>9</v>
      </c>
      <c r="B773" s="4" t="s">
        <v>93</v>
      </c>
      <c r="C773" s="1" t="s">
        <v>94</v>
      </c>
      <c r="D773" s="1" t="s">
        <v>60</v>
      </c>
      <c r="E773" s="1" t="s">
        <v>95</v>
      </c>
      <c r="F773" s="1" t="s">
        <v>96</v>
      </c>
      <c r="G773" s="1">
        <v>2016</v>
      </c>
      <c r="H773" s="1" t="s">
        <v>97</v>
      </c>
      <c r="I773" s="1" t="str">
        <f>HYPERLINK("http://dx.doi.org/10.1111/eva.12408","http://dx.doi.org/10.1111/eva.12408")</f>
        <v>http://dx.doi.org/10.1111/eva.12408</v>
      </c>
      <c r="V773" s="6"/>
      <c r="W773" s="28"/>
      <c r="X773" s="28"/>
      <c r="Y773" s="6"/>
      <c r="Z773" s="28"/>
      <c r="AA773" s="28"/>
      <c r="AB773" s="28"/>
    </row>
    <row r="774" spans="1:28" ht="332" x14ac:dyDescent="0.15">
      <c r="A774" s="1" t="s">
        <v>9</v>
      </c>
      <c r="B774" s="4" t="s">
        <v>1264</v>
      </c>
      <c r="C774" s="1" t="s">
        <v>1265</v>
      </c>
      <c r="D774" s="1" t="s">
        <v>648</v>
      </c>
      <c r="E774" s="1" t="s">
        <v>1266</v>
      </c>
      <c r="F774" s="1" t="s">
        <v>122</v>
      </c>
      <c r="G774" s="1">
        <v>2015</v>
      </c>
      <c r="H774" s="1" t="s">
        <v>1267</v>
      </c>
      <c r="I774" s="1" t="str">
        <f>HYPERLINK("http://dx.doi.org/10.1242/jeb.123018","http://dx.doi.org/10.1242/jeb.123018")</f>
        <v>http://dx.doi.org/10.1242/jeb.123018</v>
      </c>
      <c r="V774" s="6"/>
      <c r="W774" s="28"/>
      <c r="X774" s="28"/>
      <c r="Y774" s="6"/>
      <c r="Z774" s="28"/>
      <c r="AA774" s="28"/>
      <c r="AB774" s="28"/>
    </row>
    <row r="775" spans="1:28" ht="293" x14ac:dyDescent="0.15">
      <c r="A775" s="1" t="s">
        <v>9</v>
      </c>
      <c r="B775" s="4" t="s">
        <v>1987</v>
      </c>
      <c r="C775" s="1" t="s">
        <v>1988</v>
      </c>
      <c r="D775" s="1" t="s">
        <v>142</v>
      </c>
      <c r="E775" s="1" t="s">
        <v>1989</v>
      </c>
      <c r="F775" s="1" t="s">
        <v>21</v>
      </c>
      <c r="G775" s="1">
        <v>2016</v>
      </c>
      <c r="H775" s="1" t="s">
        <v>1990</v>
      </c>
      <c r="I775" s="1" t="str">
        <f>HYPERLINK("http://dx.doi.org/10.1016/j.fsi.2016.10.027","http://dx.doi.org/10.1016/j.fsi.2016.10.027")</f>
        <v>http://dx.doi.org/10.1016/j.fsi.2016.10.027</v>
      </c>
      <c r="V775" s="6"/>
      <c r="W775" s="28"/>
      <c r="X775" s="28"/>
      <c r="Y775" s="6"/>
      <c r="Z775" s="28"/>
      <c r="AA775" s="28"/>
      <c r="AB775" s="28"/>
    </row>
    <row r="776" spans="1:28" ht="332" x14ac:dyDescent="0.15">
      <c r="A776" s="1" t="s">
        <v>9</v>
      </c>
      <c r="B776" s="4" t="s">
        <v>1395</v>
      </c>
      <c r="C776" s="1" t="s">
        <v>1396</v>
      </c>
      <c r="D776" s="1" t="s">
        <v>1397</v>
      </c>
      <c r="E776" s="1" t="s">
        <v>1398</v>
      </c>
      <c r="F776" s="1" t="s">
        <v>21</v>
      </c>
      <c r="G776" s="1">
        <v>2023</v>
      </c>
      <c r="H776" s="1" t="s">
        <v>1399</v>
      </c>
      <c r="I776" s="1" t="str">
        <f>HYPERLINK("http://dx.doi.org/10.1016/j.fsirep.2022.100079","http://dx.doi.org/10.1016/j.fsirep.2022.100079")</f>
        <v>http://dx.doi.org/10.1016/j.fsirep.2022.100079</v>
      </c>
      <c r="V776" s="6"/>
      <c r="W776" s="28"/>
      <c r="X776" s="28"/>
      <c r="Y776" s="6"/>
      <c r="Z776" s="28"/>
      <c r="AA776" s="28"/>
      <c r="AB776" s="28"/>
    </row>
    <row r="777" spans="1:28" ht="293" x14ac:dyDescent="0.15">
      <c r="A777" s="1" t="s">
        <v>9</v>
      </c>
      <c r="B777" s="4" t="s">
        <v>232</v>
      </c>
      <c r="C777" s="1" t="s">
        <v>233</v>
      </c>
      <c r="D777" s="1" t="s">
        <v>234</v>
      </c>
      <c r="E777" s="1" t="s">
        <v>235</v>
      </c>
      <c r="F777" s="1" t="s">
        <v>221</v>
      </c>
      <c r="G777" s="1">
        <v>2024</v>
      </c>
      <c r="H777" s="1" t="s">
        <v>236</v>
      </c>
      <c r="I777" s="1" t="str">
        <f>HYPERLINK("http://dx.doi.org/10.1016/j.cbpb.2023.110899","http://dx.doi.org/10.1016/j.cbpb.2023.110899")</f>
        <v>http://dx.doi.org/10.1016/j.cbpb.2023.110899</v>
      </c>
      <c r="V777" s="6"/>
      <c r="W777" s="28"/>
      <c r="X777" s="28"/>
      <c r="Y777" s="6"/>
      <c r="Z777" s="28"/>
      <c r="AA777" s="28"/>
      <c r="AB777" s="28"/>
    </row>
    <row r="778" spans="1:28" ht="371" x14ac:dyDescent="0.15">
      <c r="A778" s="1" t="s">
        <v>9</v>
      </c>
      <c r="B778" s="4" t="s">
        <v>269</v>
      </c>
      <c r="C778" s="1" t="s">
        <v>270</v>
      </c>
      <c r="D778" s="1" t="s">
        <v>271</v>
      </c>
      <c r="E778" s="1" t="s">
        <v>272</v>
      </c>
      <c r="F778" s="1" t="s">
        <v>122</v>
      </c>
      <c r="G778" s="1">
        <v>2021</v>
      </c>
      <c r="H778" s="1" t="s">
        <v>273</v>
      </c>
      <c r="I778" s="1" t="str">
        <f>HYPERLINK("http://dx.doi.org/10.1111/gcb.15675","http://dx.doi.org/10.1111/gcb.15675")</f>
        <v>http://dx.doi.org/10.1111/gcb.15675</v>
      </c>
      <c r="V778" s="6"/>
      <c r="W778" s="28"/>
      <c r="X778" s="28"/>
      <c r="Y778" s="6"/>
      <c r="Z778" s="28"/>
      <c r="AA778" s="28"/>
      <c r="AB778" s="28"/>
    </row>
    <row r="779" spans="1:28" ht="384" x14ac:dyDescent="0.15">
      <c r="A779" s="1" t="s">
        <v>9</v>
      </c>
      <c r="B779" s="4" t="s">
        <v>1302</v>
      </c>
      <c r="C779" s="1" t="s">
        <v>1303</v>
      </c>
      <c r="D779" s="1" t="s">
        <v>405</v>
      </c>
      <c r="E779" s="1" t="s">
        <v>1304</v>
      </c>
      <c r="F779" s="1" t="s">
        <v>112</v>
      </c>
      <c r="G779" s="1">
        <v>2020</v>
      </c>
      <c r="H779" s="1" t="s">
        <v>1305</v>
      </c>
      <c r="I779" s="1" t="str">
        <f>HYPERLINK("http://dx.doi.org/10.1016/j.marenvres.2020.104883","http://dx.doi.org/10.1016/j.marenvres.2020.104883")</f>
        <v>http://dx.doi.org/10.1016/j.marenvres.2020.104883</v>
      </c>
      <c r="V779" s="6"/>
      <c r="W779" s="28"/>
      <c r="X779" s="28"/>
      <c r="Y779" s="6"/>
      <c r="Z779" s="28"/>
      <c r="AA779" s="28"/>
      <c r="AB779" s="28"/>
    </row>
    <row r="780" spans="1:28" ht="345" x14ac:dyDescent="0.15">
      <c r="A780" s="1" t="s">
        <v>9</v>
      </c>
      <c r="B780" s="4" t="s">
        <v>375</v>
      </c>
      <c r="C780" s="1" t="s">
        <v>376</v>
      </c>
      <c r="D780" s="1" t="s">
        <v>151</v>
      </c>
      <c r="E780" s="1" t="s">
        <v>377</v>
      </c>
      <c r="F780" s="1" t="s">
        <v>21</v>
      </c>
      <c r="G780" s="1">
        <v>2018</v>
      </c>
      <c r="H780" s="1" t="s">
        <v>378</v>
      </c>
      <c r="I780" s="1" t="str">
        <f>HYPERLINK("http://dx.doi.org/10.1002/ece3.4678","http://dx.doi.org/10.1002/ece3.4678")</f>
        <v>http://dx.doi.org/10.1002/ece3.4678</v>
      </c>
      <c r="V780" s="6"/>
      <c r="W780" s="28"/>
      <c r="X780" s="28"/>
      <c r="Y780" s="6"/>
      <c r="Z780" s="28"/>
      <c r="AA780" s="28"/>
      <c r="AB780" s="28"/>
    </row>
    <row r="781" spans="1:28" ht="266" x14ac:dyDescent="0.15">
      <c r="A781" s="1" t="s">
        <v>9</v>
      </c>
      <c r="B781" s="4" t="s">
        <v>1032</v>
      </c>
      <c r="C781" s="1" t="s">
        <v>1033</v>
      </c>
      <c r="D781" s="1" t="s">
        <v>852</v>
      </c>
      <c r="E781" s="1" t="s">
        <v>1034</v>
      </c>
      <c r="F781" s="1" t="s">
        <v>138</v>
      </c>
      <c r="G781" s="1">
        <v>2024</v>
      </c>
      <c r="H781" s="1" t="s">
        <v>1035</v>
      </c>
      <c r="I781" s="1" t="str">
        <f>HYPERLINK("http://dx.doi.org/10.1007/s00338-023-02446-9","http://dx.doi.org/10.1007/s00338-023-02446-9")</f>
        <v>http://dx.doi.org/10.1007/s00338-023-02446-9</v>
      </c>
      <c r="V781" s="6"/>
      <c r="W781" s="28"/>
      <c r="X781" s="28"/>
      <c r="Y781" s="6"/>
      <c r="Z781" s="28"/>
      <c r="AA781" s="28"/>
      <c r="AB781" s="28"/>
    </row>
    <row r="782" spans="1:28" ht="280" x14ac:dyDescent="0.15">
      <c r="A782" s="1" t="s">
        <v>9</v>
      </c>
      <c r="B782" s="4" t="s">
        <v>76</v>
      </c>
      <c r="C782" s="1" t="s">
        <v>77</v>
      </c>
      <c r="D782" s="1" t="s">
        <v>78</v>
      </c>
      <c r="E782" s="1" t="s">
        <v>79</v>
      </c>
      <c r="F782" s="1" t="s">
        <v>80</v>
      </c>
      <c r="G782" s="1">
        <v>2020</v>
      </c>
      <c r="H782" s="1" t="s">
        <v>81</v>
      </c>
      <c r="I782" s="1" t="str">
        <f>HYPERLINK("http://dx.doi.org/10.3389/fmars.2020.560424","http://dx.doi.org/10.3389/fmars.2020.560424")</f>
        <v>http://dx.doi.org/10.3389/fmars.2020.560424</v>
      </c>
      <c r="V782" s="6"/>
      <c r="W782" s="28"/>
      <c r="X782" s="28"/>
      <c r="Y782" s="6"/>
      <c r="Z782" s="28"/>
      <c r="AA782" s="28"/>
      <c r="AB782" s="28"/>
    </row>
    <row r="783" spans="1:28" ht="319" x14ac:dyDescent="0.15">
      <c r="A783" s="1" t="s">
        <v>9</v>
      </c>
      <c r="B783" s="4" t="s">
        <v>1995</v>
      </c>
      <c r="C783" s="1" t="s">
        <v>1996</v>
      </c>
      <c r="D783" s="1" t="s">
        <v>48</v>
      </c>
      <c r="E783" s="1" t="s">
        <v>1997</v>
      </c>
      <c r="F783" s="1" t="s">
        <v>323</v>
      </c>
      <c r="G783" s="1">
        <v>2020</v>
      </c>
      <c r="H783" s="1" t="s">
        <v>1998</v>
      </c>
      <c r="I783" s="1" t="str">
        <f>HYPERLINK("http://dx.doi.org/10.1186/s12864-020-07026-7","http://dx.doi.org/10.1186/s12864-020-07026-7")</f>
        <v>http://dx.doi.org/10.1186/s12864-020-07026-7</v>
      </c>
      <c r="V783" s="6"/>
      <c r="W783" s="28"/>
      <c r="X783" s="28"/>
      <c r="Y783" s="6"/>
      <c r="Z783" s="28"/>
      <c r="AA783" s="28"/>
      <c r="AB783" s="28"/>
    </row>
    <row r="784" spans="1:28" ht="371" x14ac:dyDescent="0.15">
      <c r="A784" s="1" t="s">
        <v>9</v>
      </c>
      <c r="B784" s="4" t="s">
        <v>471</v>
      </c>
      <c r="C784" s="1" t="s">
        <v>472</v>
      </c>
      <c r="D784" s="1" t="s">
        <v>300</v>
      </c>
      <c r="E784" s="1" t="s">
        <v>473</v>
      </c>
      <c r="F784" s="1" t="s">
        <v>474</v>
      </c>
      <c r="G784" s="1">
        <v>2024</v>
      </c>
      <c r="H784" s="1" t="s">
        <v>475</v>
      </c>
      <c r="I784" s="1" t="str">
        <f>HYPERLINK("http://dx.doi.org/10.1016/j.scitotenv.2024.173916","http://dx.doi.org/10.1016/j.scitotenv.2024.173916")</f>
        <v>http://dx.doi.org/10.1016/j.scitotenv.2024.173916</v>
      </c>
      <c r="V784" s="6"/>
      <c r="W784" s="28"/>
      <c r="X784" s="28"/>
      <c r="Y784" s="6"/>
      <c r="Z784" s="28"/>
      <c r="AA784" s="28"/>
      <c r="AB784" s="28"/>
    </row>
    <row r="785" spans="1:28" ht="266" x14ac:dyDescent="0.15">
      <c r="A785" s="1" t="s">
        <v>9</v>
      </c>
      <c r="B785" s="4" t="s">
        <v>637</v>
      </c>
      <c r="C785" s="1" t="s">
        <v>638</v>
      </c>
      <c r="D785" s="1" t="s">
        <v>415</v>
      </c>
      <c r="E785" s="1" t="s">
        <v>639</v>
      </c>
      <c r="F785" s="1" t="s">
        <v>33</v>
      </c>
      <c r="G785" s="1">
        <v>2018</v>
      </c>
      <c r="H785" s="1" t="s">
        <v>640</v>
      </c>
      <c r="I785" s="1" t="str">
        <f>HYPERLINK("http://dx.doi.org/10.1038/s41558-018-0159-0","http://dx.doi.org/10.1038/s41558-018-0159-0")</f>
        <v>http://dx.doi.org/10.1038/s41558-018-0159-0</v>
      </c>
      <c r="V785" s="6"/>
      <c r="W785" s="28"/>
      <c r="X785" s="28"/>
      <c r="Y785" s="6"/>
      <c r="Z785" s="28"/>
      <c r="AA785" s="28"/>
      <c r="AB785" s="28"/>
    </row>
    <row r="786" spans="1:28" ht="238" x14ac:dyDescent="0.15">
      <c r="A786" s="1" t="s">
        <v>9</v>
      </c>
      <c r="B786" s="4" t="s">
        <v>1207</v>
      </c>
      <c r="C786" s="1" t="s">
        <v>1208</v>
      </c>
      <c r="D786" s="1" t="s">
        <v>498</v>
      </c>
      <c r="E786" s="1" t="s">
        <v>1209</v>
      </c>
      <c r="F786" s="1" t="s">
        <v>122</v>
      </c>
      <c r="G786" s="1">
        <v>2024</v>
      </c>
      <c r="H786" s="1" t="s">
        <v>1210</v>
      </c>
      <c r="I786" s="1" t="str">
        <f>HYPERLINK("http://dx.doi.org/10.1016/j.aqrep.2024.102272","http://dx.doi.org/10.1016/j.aqrep.2024.102272")</f>
        <v>http://dx.doi.org/10.1016/j.aqrep.2024.102272</v>
      </c>
      <c r="V786" s="6"/>
      <c r="W786" s="28"/>
      <c r="X786" s="28"/>
      <c r="Y786" s="6"/>
      <c r="Z786" s="28"/>
      <c r="AA786" s="28"/>
      <c r="AB786" s="28"/>
    </row>
    <row r="787" spans="1:28" ht="266" x14ac:dyDescent="0.15">
      <c r="A787" s="1" t="s">
        <v>9</v>
      </c>
      <c r="B787" s="4" t="s">
        <v>2788</v>
      </c>
      <c r="C787" s="1" t="s">
        <v>2789</v>
      </c>
      <c r="D787" s="1" t="s">
        <v>260</v>
      </c>
      <c r="E787" s="1" t="s">
        <v>2790</v>
      </c>
      <c r="F787" s="1" t="s">
        <v>489</v>
      </c>
      <c r="G787" s="1">
        <v>2025</v>
      </c>
      <c r="H787" s="1" t="s">
        <v>2791</v>
      </c>
      <c r="I787" s="1" t="str">
        <f>HYPERLINK("http://dx.doi.org/10.1016/j.aquaculture.2024.741767","http://dx.doi.org/10.1016/j.aquaculture.2024.741767")</f>
        <v>http://dx.doi.org/10.1016/j.aquaculture.2024.741767</v>
      </c>
      <c r="V787" s="6"/>
      <c r="W787" s="28"/>
      <c r="X787" s="28"/>
      <c r="Y787" s="6"/>
      <c r="Z787" s="28"/>
      <c r="AA787" s="28"/>
      <c r="AB787" s="28"/>
    </row>
    <row r="788" spans="1:28" ht="409.6" x14ac:dyDescent="0.15">
      <c r="A788" s="1" t="s">
        <v>9</v>
      </c>
      <c r="B788" s="4" t="s">
        <v>916</v>
      </c>
      <c r="C788" s="1" t="s">
        <v>917</v>
      </c>
      <c r="D788" s="1" t="s">
        <v>918</v>
      </c>
      <c r="E788" s="1" t="s">
        <v>919</v>
      </c>
      <c r="F788" s="1" t="s">
        <v>122</v>
      </c>
      <c r="G788" s="1">
        <v>2022</v>
      </c>
      <c r="H788" s="1" t="s">
        <v>920</v>
      </c>
      <c r="I788" s="1" t="str">
        <f>HYPERLINK("http://dx.doi.org/10.1016/j.dci.2022.104434","http://dx.doi.org/10.1016/j.dci.2022.104434")</f>
        <v>http://dx.doi.org/10.1016/j.dci.2022.104434</v>
      </c>
      <c r="V788" s="6"/>
      <c r="W788" s="28"/>
      <c r="X788" s="28"/>
      <c r="Y788" s="6"/>
      <c r="Z788" s="28"/>
      <c r="AA788" s="28"/>
      <c r="AB788" s="28"/>
    </row>
    <row r="789" spans="1:28" ht="409.6" x14ac:dyDescent="0.15">
      <c r="A789" s="1" t="s">
        <v>9</v>
      </c>
      <c r="B789" s="4" t="s">
        <v>2023</v>
      </c>
      <c r="C789" s="1" t="s">
        <v>2024</v>
      </c>
      <c r="D789" s="1" t="s">
        <v>142</v>
      </c>
      <c r="E789" s="1" t="s">
        <v>2025</v>
      </c>
      <c r="F789" s="1" t="s">
        <v>96</v>
      </c>
      <c r="G789" s="1">
        <v>2019</v>
      </c>
      <c r="H789" s="1" t="s">
        <v>2026</v>
      </c>
      <c r="I789" s="1" t="str">
        <f>HYPERLINK("http://dx.doi.org/10.1016/j.fsi.2019.07.057","http://dx.doi.org/10.1016/j.fsi.2019.07.057")</f>
        <v>http://dx.doi.org/10.1016/j.fsi.2019.07.057</v>
      </c>
      <c r="V789" s="6"/>
      <c r="W789" s="28"/>
      <c r="X789" s="28"/>
      <c r="Y789" s="6"/>
      <c r="Z789" s="28"/>
      <c r="AA789" s="28"/>
      <c r="AB789" s="28"/>
    </row>
    <row r="790" spans="1:28" ht="293" x14ac:dyDescent="0.15">
      <c r="A790" s="1" t="s">
        <v>9</v>
      </c>
      <c r="B790" s="4" t="s">
        <v>3168</v>
      </c>
      <c r="C790" s="1" t="s">
        <v>3169</v>
      </c>
      <c r="D790" s="1" t="s">
        <v>3170</v>
      </c>
      <c r="E790" s="1" t="s">
        <v>3171</v>
      </c>
      <c r="F790" s="1" t="s">
        <v>11</v>
      </c>
      <c r="G790" s="1">
        <v>2010</v>
      </c>
      <c r="H790" s="1" t="s">
        <v>11</v>
      </c>
      <c r="I790" s="1" t="s">
        <v>11</v>
      </c>
      <c r="V790" s="6"/>
      <c r="W790" s="28"/>
      <c r="X790" s="28"/>
      <c r="Y790" s="6"/>
      <c r="Z790" s="28"/>
      <c r="AA790" s="28"/>
      <c r="AB790" s="28"/>
    </row>
    <row r="791" spans="1:28" ht="280" x14ac:dyDescent="0.15">
      <c r="A791" s="1" t="s">
        <v>9</v>
      </c>
      <c r="B791" s="4" t="s">
        <v>1324</v>
      </c>
      <c r="C791" s="1" t="s">
        <v>1325</v>
      </c>
      <c r="D791" s="1" t="s">
        <v>142</v>
      </c>
      <c r="E791" s="1" t="s">
        <v>1326</v>
      </c>
      <c r="F791" s="1" t="s">
        <v>138</v>
      </c>
      <c r="G791" s="1">
        <v>2025</v>
      </c>
      <c r="H791" s="1" t="s">
        <v>1327</v>
      </c>
      <c r="I791" s="1" t="str">
        <f>HYPERLINK("http://dx.doi.org/10.1016/j.fsi.2024.110094","http://dx.doi.org/10.1016/j.fsi.2024.110094")</f>
        <v>http://dx.doi.org/10.1016/j.fsi.2024.110094</v>
      </c>
      <c r="V791" s="6"/>
      <c r="W791" s="28"/>
      <c r="X791" s="28"/>
      <c r="Y791" s="6"/>
      <c r="Z791" s="28"/>
      <c r="AA791" s="28"/>
      <c r="AB791" s="28"/>
    </row>
    <row r="792" spans="1:28" ht="280" x14ac:dyDescent="0.15">
      <c r="A792" s="1" t="s">
        <v>9</v>
      </c>
      <c r="B792" s="4" t="s">
        <v>810</v>
      </c>
      <c r="C792" s="1" t="s">
        <v>811</v>
      </c>
      <c r="D792" s="1" t="s">
        <v>78</v>
      </c>
      <c r="E792" s="1" t="s">
        <v>812</v>
      </c>
      <c r="F792" s="1" t="s">
        <v>813</v>
      </c>
      <c r="G792" s="1">
        <v>2023</v>
      </c>
      <c r="H792" s="1" t="s">
        <v>814</v>
      </c>
      <c r="I792" s="1" t="str">
        <f>HYPERLINK("http://dx.doi.org/10.3389/fmars.2022.1067900","http://dx.doi.org/10.3389/fmars.2022.1067900")</f>
        <v>http://dx.doi.org/10.3389/fmars.2022.1067900</v>
      </c>
      <c r="V792" s="6"/>
      <c r="W792" s="28"/>
      <c r="X792" s="28"/>
      <c r="Y792" s="6"/>
      <c r="Z792" s="28"/>
      <c r="AA792" s="28"/>
      <c r="AB792" s="28"/>
    </row>
    <row r="793" spans="1:28" ht="252" x14ac:dyDescent="0.15">
      <c r="A793" s="1" t="s">
        <v>9</v>
      </c>
      <c r="B793" s="4" t="s">
        <v>674</v>
      </c>
      <c r="C793" s="1" t="s">
        <v>675</v>
      </c>
      <c r="D793" s="1" t="s">
        <v>676</v>
      </c>
      <c r="E793" s="1" t="s">
        <v>677</v>
      </c>
      <c r="F793" s="1" t="s">
        <v>678</v>
      </c>
      <c r="G793" s="1">
        <v>2025</v>
      </c>
      <c r="H793" s="1" t="s">
        <v>679</v>
      </c>
      <c r="I793" s="1" t="str">
        <f>HYPERLINK("http://dx.doi.org/10.1098/rsob.250009","http://dx.doi.org/10.1098/rsob.250009")</f>
        <v>http://dx.doi.org/10.1098/rsob.250009</v>
      </c>
      <c r="V793" s="6"/>
      <c r="W793" s="28"/>
      <c r="X793" s="28"/>
      <c r="Y793" s="6"/>
      <c r="Z793" s="28"/>
      <c r="AA793" s="28"/>
      <c r="AB793" s="28"/>
    </row>
    <row r="794" spans="1:28" ht="266" x14ac:dyDescent="0.15">
      <c r="A794" s="1" t="s">
        <v>9</v>
      </c>
      <c r="B794" s="4" t="s">
        <v>1599</v>
      </c>
      <c r="C794" s="1" t="s">
        <v>1600</v>
      </c>
      <c r="D794" s="1" t="s">
        <v>31</v>
      </c>
      <c r="E794" s="1" t="s">
        <v>1601</v>
      </c>
      <c r="F794" s="1" t="s">
        <v>122</v>
      </c>
      <c r="G794" s="1">
        <v>2022</v>
      </c>
      <c r="H794" s="1" t="s">
        <v>1602</v>
      </c>
      <c r="I794" s="1" t="str">
        <f>HYPERLINK("http://dx.doi.org/10.1007/s10126-022-10140-0","http://dx.doi.org/10.1007/s10126-022-10140-0")</f>
        <v>http://dx.doi.org/10.1007/s10126-022-10140-0</v>
      </c>
      <c r="V794" s="6"/>
      <c r="W794" s="28"/>
      <c r="X794" s="28"/>
      <c r="Y794" s="6"/>
      <c r="Z794" s="28"/>
      <c r="AA794" s="28"/>
      <c r="AB794" s="28"/>
    </row>
    <row r="795" spans="1:28" ht="409.6" x14ac:dyDescent="0.15">
      <c r="A795" s="1" t="s">
        <v>9</v>
      </c>
      <c r="B795" s="4" t="s">
        <v>583</v>
      </c>
      <c r="C795" s="1" t="s">
        <v>584</v>
      </c>
      <c r="D795" s="1" t="s">
        <v>585</v>
      </c>
      <c r="E795" s="1" t="s">
        <v>586</v>
      </c>
      <c r="F795" s="1" t="s">
        <v>587</v>
      </c>
      <c r="G795" s="1">
        <v>2025</v>
      </c>
      <c r="H795" s="1" t="s">
        <v>588</v>
      </c>
      <c r="I795" s="1" t="str">
        <f>HYPERLINK("http://dx.doi.org/10.3389/fimmu.2025.1536562","http://dx.doi.org/10.3389/fimmu.2025.1536562")</f>
        <v>http://dx.doi.org/10.3389/fimmu.2025.1536562</v>
      </c>
      <c r="V795" s="6"/>
      <c r="W795" s="28"/>
      <c r="X795" s="28"/>
      <c r="Y795" s="6"/>
      <c r="Z795" s="28"/>
      <c r="AA795" s="28"/>
      <c r="AB795" s="28"/>
    </row>
    <row r="796" spans="1:28" ht="397" x14ac:dyDescent="0.15">
      <c r="A796" s="1" t="s">
        <v>9</v>
      </c>
      <c r="B796" s="4" t="s">
        <v>1616</v>
      </c>
      <c r="C796" s="1" t="s">
        <v>1617</v>
      </c>
      <c r="D796" s="1" t="s">
        <v>300</v>
      </c>
      <c r="E796" s="1" t="s">
        <v>1618</v>
      </c>
      <c r="F796" s="1" t="s">
        <v>1619</v>
      </c>
      <c r="G796" s="1">
        <v>2020</v>
      </c>
      <c r="H796" s="1" t="s">
        <v>1620</v>
      </c>
      <c r="I796" s="1" t="str">
        <f>HYPERLINK("http://dx.doi.org/10.1016/j.scitotenv.2019.135912","http://dx.doi.org/10.1016/j.scitotenv.2019.135912")</f>
        <v>http://dx.doi.org/10.1016/j.scitotenv.2019.135912</v>
      </c>
      <c r="V796" s="6"/>
      <c r="W796" s="28"/>
      <c r="X796" s="28"/>
      <c r="Y796" s="6"/>
      <c r="Z796" s="28"/>
      <c r="AA796" s="28"/>
      <c r="AB796" s="28"/>
    </row>
    <row r="797" spans="1:28" ht="293" x14ac:dyDescent="0.15">
      <c r="A797" s="1" t="s">
        <v>9</v>
      </c>
      <c r="B797" s="4" t="s">
        <v>519</v>
      </c>
      <c r="C797" s="1" t="s">
        <v>520</v>
      </c>
      <c r="D797" s="1" t="s">
        <v>521</v>
      </c>
      <c r="E797" s="1" t="s">
        <v>522</v>
      </c>
      <c r="F797" s="1" t="s">
        <v>112</v>
      </c>
      <c r="G797" s="1">
        <v>2023</v>
      </c>
      <c r="H797" s="1" t="s">
        <v>523</v>
      </c>
      <c r="I797" s="1" t="str">
        <f>HYPERLINK("http://dx.doi.org/10.3390/toxics11030276","http://dx.doi.org/10.3390/toxics11030276")</f>
        <v>http://dx.doi.org/10.3390/toxics11030276</v>
      </c>
      <c r="V797" s="6"/>
      <c r="W797" s="28"/>
      <c r="X797" s="28"/>
      <c r="Y797" s="6"/>
      <c r="Z797" s="28"/>
      <c r="AA797" s="28"/>
      <c r="AB797" s="28"/>
    </row>
    <row r="798" spans="1:28" ht="345" x14ac:dyDescent="0.15">
      <c r="A798" s="1" t="s">
        <v>9</v>
      </c>
      <c r="B798" s="4" t="s">
        <v>264</v>
      </c>
      <c r="C798" s="1" t="s">
        <v>265</v>
      </c>
      <c r="D798" s="1" t="s">
        <v>78</v>
      </c>
      <c r="E798" s="1" t="s">
        <v>266</v>
      </c>
      <c r="F798" s="1" t="s">
        <v>267</v>
      </c>
      <c r="G798" s="1">
        <v>2020</v>
      </c>
      <c r="H798" s="1" t="s">
        <v>268</v>
      </c>
      <c r="I798" s="1" t="str">
        <f>HYPERLINK("http://dx.doi.org/10.3389/fmars.2020.00205","http://dx.doi.org/10.3389/fmars.2020.00205")</f>
        <v>http://dx.doi.org/10.3389/fmars.2020.00205</v>
      </c>
      <c r="V798" s="6"/>
      <c r="W798" s="28"/>
      <c r="X798" s="28"/>
      <c r="Y798" s="6"/>
      <c r="Z798" s="28"/>
      <c r="AA798" s="28"/>
      <c r="AB798" s="28"/>
    </row>
    <row r="799" spans="1:28" ht="319" x14ac:dyDescent="0.15">
      <c r="A799" s="1" t="s">
        <v>9</v>
      </c>
      <c r="B799" s="4" t="s">
        <v>118</v>
      </c>
      <c r="C799" s="1" t="s">
        <v>119</v>
      </c>
      <c r="D799" s="1" t="s">
        <v>120</v>
      </c>
      <c r="E799" s="1" t="s">
        <v>121</v>
      </c>
      <c r="F799" s="1" t="s">
        <v>122</v>
      </c>
      <c r="G799" s="1">
        <v>2019</v>
      </c>
      <c r="H799" s="1" t="s">
        <v>123</v>
      </c>
      <c r="I799" s="1" t="str">
        <f>HYPERLINK("http://dx.doi.org/10.1016/j.jembe.2019.03.002","http://dx.doi.org/10.1016/j.jembe.2019.03.002")</f>
        <v>http://dx.doi.org/10.1016/j.jembe.2019.03.002</v>
      </c>
      <c r="V799" s="6"/>
      <c r="W799" s="28"/>
      <c r="X799" s="28"/>
      <c r="Y799" s="6"/>
      <c r="Z799" s="28"/>
      <c r="AA799" s="28"/>
      <c r="AB799" s="28"/>
    </row>
    <row r="800" spans="1:28" ht="266" x14ac:dyDescent="0.15">
      <c r="A800" s="1" t="s">
        <v>9</v>
      </c>
      <c r="B800" s="4" t="s">
        <v>309</v>
      </c>
      <c r="C800" s="1" t="s">
        <v>310</v>
      </c>
      <c r="D800" s="1" t="s">
        <v>311</v>
      </c>
      <c r="E800" s="1" t="s">
        <v>312</v>
      </c>
      <c r="F800" s="1" t="s">
        <v>106</v>
      </c>
      <c r="G800" s="1">
        <v>2019</v>
      </c>
      <c r="H800" s="1" t="s">
        <v>313</v>
      </c>
      <c r="I800" s="1" t="str">
        <f>HYPERLINK("http://dx.doi.org/10.2983/035.038.0108","http://dx.doi.org/10.2983/035.038.0108")</f>
        <v>http://dx.doi.org/10.2983/035.038.0108</v>
      </c>
      <c r="V800" s="6"/>
      <c r="W800" s="28"/>
      <c r="X800" s="28"/>
      <c r="Y800" s="6"/>
      <c r="Z800" s="28"/>
      <c r="AA800" s="28"/>
      <c r="AB800" s="28"/>
    </row>
    <row r="801" spans="1:28" ht="319" x14ac:dyDescent="0.15">
      <c r="A801" s="1" t="s">
        <v>9</v>
      </c>
      <c r="B801" s="4" t="s">
        <v>1577</v>
      </c>
      <c r="C801" s="1" t="s">
        <v>1578</v>
      </c>
      <c r="D801" s="1" t="s">
        <v>90</v>
      </c>
      <c r="E801" s="1" t="s">
        <v>1579</v>
      </c>
      <c r="F801" s="1" t="s">
        <v>112</v>
      </c>
      <c r="G801" s="1">
        <v>2016</v>
      </c>
      <c r="H801" s="1" t="s">
        <v>1580</v>
      </c>
      <c r="I801" s="1" t="str">
        <f>HYPERLINK("http://dx.doi.org/10.1016/j.cbd.2016.01.003","http://dx.doi.org/10.1016/j.cbd.2016.01.003")</f>
        <v>http://dx.doi.org/10.1016/j.cbd.2016.01.003</v>
      </c>
      <c r="V801" s="6"/>
      <c r="W801" s="28"/>
      <c r="X801" s="28"/>
      <c r="Y801" s="6"/>
      <c r="Z801" s="28"/>
      <c r="AA801" s="28"/>
      <c r="AB801" s="28"/>
    </row>
    <row r="802" spans="1:28" ht="319" x14ac:dyDescent="0.15">
      <c r="A802" s="1" t="s">
        <v>9</v>
      </c>
      <c r="B802" s="4" t="s">
        <v>2289</v>
      </c>
      <c r="C802" s="1" t="s">
        <v>2290</v>
      </c>
      <c r="D802" s="1" t="s">
        <v>142</v>
      </c>
      <c r="E802" s="1" t="s">
        <v>2291</v>
      </c>
      <c r="F802" s="1" t="s">
        <v>96</v>
      </c>
      <c r="G802" s="1">
        <v>2018</v>
      </c>
      <c r="H802" s="1" t="s">
        <v>2292</v>
      </c>
      <c r="I802" s="1" t="str">
        <f>HYPERLINK("http://dx.doi.org/10.1016/j.fsi.2018.07.032","http://dx.doi.org/10.1016/j.fsi.2018.07.032")</f>
        <v>http://dx.doi.org/10.1016/j.fsi.2018.07.032</v>
      </c>
      <c r="V802" s="6"/>
      <c r="W802" s="28"/>
      <c r="X802" s="28"/>
      <c r="Y802" s="6"/>
      <c r="Z802" s="28"/>
      <c r="AA802" s="28"/>
      <c r="AB802" s="28"/>
    </row>
    <row r="803" spans="1:28" ht="409.6" x14ac:dyDescent="0.15">
      <c r="A803" s="1" t="s">
        <v>9</v>
      </c>
      <c r="B803" s="4" t="s">
        <v>108</v>
      </c>
      <c r="C803" s="1" t="s">
        <v>109</v>
      </c>
      <c r="D803" s="1" t="s">
        <v>110</v>
      </c>
      <c r="E803" s="1" t="s">
        <v>111</v>
      </c>
      <c r="F803" s="1" t="s">
        <v>112</v>
      </c>
      <c r="G803" s="1">
        <v>2018</v>
      </c>
      <c r="H803" s="1" t="s">
        <v>113</v>
      </c>
      <c r="I803" s="1" t="str">
        <f>HYPERLINK("http://dx.doi.org/10.1016/j.aquatox.2018.01.001","http://dx.doi.org/10.1016/j.aquatox.2018.01.001")</f>
        <v>http://dx.doi.org/10.1016/j.aquatox.2018.01.001</v>
      </c>
      <c r="V803" s="6"/>
      <c r="W803" s="28"/>
      <c r="X803" s="28"/>
      <c r="Y803" s="6"/>
      <c r="Z803" s="28"/>
      <c r="AA803" s="28"/>
      <c r="AB803" s="28"/>
    </row>
    <row r="804" spans="1:28" ht="266" x14ac:dyDescent="0.15">
      <c r="A804" s="1" t="s">
        <v>9</v>
      </c>
      <c r="B804" s="4" t="s">
        <v>184</v>
      </c>
      <c r="C804" s="1" t="s">
        <v>185</v>
      </c>
      <c r="D804" s="1" t="s">
        <v>186</v>
      </c>
      <c r="E804" s="1" t="s">
        <v>187</v>
      </c>
      <c r="F804" s="1" t="s">
        <v>188</v>
      </c>
      <c r="G804" s="1">
        <v>2023</v>
      </c>
      <c r="H804" s="1" t="s">
        <v>189</v>
      </c>
      <c r="I804" s="1" t="str">
        <f>HYPERLINK("http://dx.doi.org/10.1016/j.envpol.2023.121667","http://dx.doi.org/10.1016/j.envpol.2023.121667")</f>
        <v>http://dx.doi.org/10.1016/j.envpol.2023.121667</v>
      </c>
      <c r="V804" s="6"/>
      <c r="W804" s="28"/>
      <c r="X804" s="28"/>
      <c r="Y804" s="6"/>
      <c r="Z804" s="28"/>
      <c r="AA804" s="28"/>
      <c r="AB804" s="28"/>
    </row>
    <row r="805" spans="1:28" ht="266" x14ac:dyDescent="0.15">
      <c r="A805" s="1" t="s">
        <v>9</v>
      </c>
      <c r="B805" s="4" t="s">
        <v>481</v>
      </c>
      <c r="C805" s="1" t="s">
        <v>482</v>
      </c>
      <c r="D805" s="1" t="s">
        <v>156</v>
      </c>
      <c r="E805" s="1" t="s">
        <v>483</v>
      </c>
      <c r="F805" s="1" t="s">
        <v>484</v>
      </c>
      <c r="G805" s="1">
        <v>2017</v>
      </c>
      <c r="H805" s="1" t="s">
        <v>485</v>
      </c>
      <c r="I805" s="1" t="str">
        <f>HYPERLINK("http://dx.doi.org/10.1038/s41598-017-14673-6","http://dx.doi.org/10.1038/s41598-017-14673-6")</f>
        <v>http://dx.doi.org/10.1038/s41598-017-14673-6</v>
      </c>
      <c r="V805" s="6"/>
      <c r="W805" s="28"/>
      <c r="X805" s="28"/>
      <c r="Y805" s="6"/>
      <c r="Z805" s="28"/>
      <c r="AA805" s="28"/>
      <c r="AB805" s="28"/>
    </row>
    <row r="806" spans="1:28" ht="371" x14ac:dyDescent="0.15">
      <c r="A806" s="1" t="s">
        <v>9</v>
      </c>
      <c r="B806" s="4" t="s">
        <v>1003</v>
      </c>
      <c r="C806" s="1" t="s">
        <v>1004</v>
      </c>
      <c r="D806" s="1" t="s">
        <v>234</v>
      </c>
      <c r="E806" s="1" t="s">
        <v>1005</v>
      </c>
      <c r="F806" s="1" t="s">
        <v>106</v>
      </c>
      <c r="G806" s="1">
        <v>2020</v>
      </c>
      <c r="H806" s="1" t="s">
        <v>1006</v>
      </c>
      <c r="I806" s="1" t="str">
        <f>HYPERLINK("http://dx.doi.org/10.1016/j.cbpb.2019.110406","http://dx.doi.org/10.1016/j.cbpb.2019.110406")</f>
        <v>http://dx.doi.org/10.1016/j.cbpb.2019.110406</v>
      </c>
      <c r="V806" s="6"/>
      <c r="W806" s="28"/>
      <c r="X806" s="28"/>
      <c r="Y806" s="6"/>
      <c r="Z806" s="28"/>
      <c r="AA806" s="28"/>
      <c r="AB806" s="28"/>
    </row>
    <row r="807" spans="1:28" ht="384" x14ac:dyDescent="0.15">
      <c r="A807" s="1" t="s">
        <v>9</v>
      </c>
      <c r="B807" s="4" t="s">
        <v>589</v>
      </c>
      <c r="C807" s="1" t="s">
        <v>590</v>
      </c>
      <c r="D807" s="1" t="s">
        <v>110</v>
      </c>
      <c r="E807" s="1" t="s">
        <v>591</v>
      </c>
      <c r="F807" s="1" t="s">
        <v>62</v>
      </c>
      <c r="G807" s="1">
        <v>2016</v>
      </c>
      <c r="H807" s="1" t="s">
        <v>592</v>
      </c>
      <c r="I807" s="1" t="str">
        <f>HYPERLINK("http://dx.doi.org/10.1016/j.aquatox.2016.02.023","http://dx.doi.org/10.1016/j.aquatox.2016.02.023")</f>
        <v>http://dx.doi.org/10.1016/j.aquatox.2016.02.023</v>
      </c>
      <c r="V807" s="6"/>
      <c r="W807" s="28"/>
      <c r="X807" s="28"/>
      <c r="Y807" s="6"/>
      <c r="Z807" s="28"/>
      <c r="AA807" s="28"/>
      <c r="AB807" s="28"/>
    </row>
    <row r="808" spans="1:28" ht="319" x14ac:dyDescent="0.15">
      <c r="A808" s="1" t="s">
        <v>9</v>
      </c>
      <c r="B808" s="4" t="s">
        <v>200</v>
      </c>
      <c r="C808" s="1" t="s">
        <v>201</v>
      </c>
      <c r="D808" s="1" t="s">
        <v>78</v>
      </c>
      <c r="E808" s="1" t="s">
        <v>202</v>
      </c>
      <c r="F808" s="1" t="s">
        <v>203</v>
      </c>
      <c r="G808" s="1">
        <v>2020</v>
      </c>
      <c r="H808" s="1" t="s">
        <v>204</v>
      </c>
      <c r="I808" s="1" t="str">
        <f>HYPERLINK("http://dx.doi.org/10.3389/fmars.2020.00225","http://dx.doi.org/10.3389/fmars.2020.00225")</f>
        <v>http://dx.doi.org/10.3389/fmars.2020.00225</v>
      </c>
      <c r="V808" s="6"/>
      <c r="W808" s="28"/>
      <c r="X808" s="28"/>
      <c r="Y808" s="6"/>
      <c r="Z808" s="28"/>
      <c r="AA808" s="28"/>
      <c r="AB808" s="28"/>
    </row>
    <row r="809" spans="1:28" ht="332" x14ac:dyDescent="0.15">
      <c r="A809" s="1" t="s">
        <v>9</v>
      </c>
      <c r="B809" s="4" t="s">
        <v>325</v>
      </c>
      <c r="C809" s="1" t="s">
        <v>326</v>
      </c>
      <c r="D809" s="1" t="s">
        <v>327</v>
      </c>
      <c r="E809" s="1" t="s">
        <v>328</v>
      </c>
      <c r="F809" s="1" t="s">
        <v>329</v>
      </c>
      <c r="G809" s="1">
        <v>2024</v>
      </c>
      <c r="H809" s="1" t="s">
        <v>330</v>
      </c>
      <c r="I809" s="1" t="str">
        <f>HYPERLINK("http://dx.doi.org/10.1093/eep/dvae018","http://dx.doi.org/10.1093/eep/dvae018")</f>
        <v>http://dx.doi.org/10.1093/eep/dvae018</v>
      </c>
      <c r="V809" s="6"/>
      <c r="W809" s="28"/>
      <c r="X809" s="28"/>
      <c r="Y809" s="6"/>
      <c r="Z809" s="28"/>
      <c r="AA809" s="28"/>
      <c r="AB809" s="28"/>
    </row>
    <row r="810" spans="1:28" ht="384" x14ac:dyDescent="0.15">
      <c r="A810" s="1" t="s">
        <v>9</v>
      </c>
      <c r="B810" s="4" t="s">
        <v>379</v>
      </c>
      <c r="C810" s="1" t="s">
        <v>380</v>
      </c>
      <c r="D810" s="1" t="s">
        <v>48</v>
      </c>
      <c r="E810" s="1" t="s">
        <v>381</v>
      </c>
      <c r="F810" s="1" t="s">
        <v>382</v>
      </c>
      <c r="G810" s="1">
        <v>2022</v>
      </c>
      <c r="H810" s="1" t="s">
        <v>383</v>
      </c>
      <c r="I810" s="1" t="str">
        <f>HYPERLINK("http://dx.doi.org/10.1186/s12864-022-08781-5","http://dx.doi.org/10.1186/s12864-022-08781-5")</f>
        <v>http://dx.doi.org/10.1186/s12864-022-08781-5</v>
      </c>
      <c r="V810" s="6"/>
      <c r="W810" s="28"/>
      <c r="X810" s="28"/>
      <c r="Y810" s="6"/>
      <c r="Z810" s="28"/>
      <c r="AA810" s="28"/>
      <c r="AB810" s="28"/>
    </row>
    <row r="811" spans="1:28" ht="384" x14ac:dyDescent="0.15">
      <c r="A811" s="1" t="s">
        <v>9</v>
      </c>
      <c r="B811" s="4" t="s">
        <v>2057</v>
      </c>
      <c r="C811" s="1" t="s">
        <v>2058</v>
      </c>
      <c r="D811" s="1" t="s">
        <v>260</v>
      </c>
      <c r="E811" s="1" t="s">
        <v>2059</v>
      </c>
      <c r="F811" s="1" t="s">
        <v>1154</v>
      </c>
      <c r="G811" s="1">
        <v>2024</v>
      </c>
      <c r="H811" s="1" t="s">
        <v>2060</v>
      </c>
      <c r="I811" s="1" t="str">
        <f>HYPERLINK("http://dx.doi.org/10.1016/j.aquaculture.2023.740177","http://dx.doi.org/10.1016/j.aquaculture.2023.740177")</f>
        <v>http://dx.doi.org/10.1016/j.aquaculture.2023.740177</v>
      </c>
      <c r="V811" s="6"/>
      <c r="W811" s="28"/>
      <c r="X811" s="28"/>
      <c r="Y811" s="6"/>
      <c r="Z811" s="28"/>
      <c r="AA811" s="28"/>
      <c r="AB811" s="28"/>
    </row>
    <row r="812" spans="1:28" ht="319" x14ac:dyDescent="0.15">
      <c r="A812" s="1" t="s">
        <v>9</v>
      </c>
      <c r="B812" s="4" t="s">
        <v>1926</v>
      </c>
      <c r="C812" s="1" t="s">
        <v>1927</v>
      </c>
      <c r="D812" s="1" t="s">
        <v>260</v>
      </c>
      <c r="E812" s="1" t="s">
        <v>1928</v>
      </c>
      <c r="F812" s="1" t="s">
        <v>262</v>
      </c>
      <c r="G812" s="1">
        <v>2026</v>
      </c>
      <c r="H812" s="1" t="s">
        <v>1929</v>
      </c>
      <c r="I812" s="1" t="str">
        <f>HYPERLINK("http://dx.doi.org/10.1016/j.aquaculture.2025.743181","http://dx.doi.org/10.1016/j.aquaculture.2025.743181")</f>
        <v>http://dx.doi.org/10.1016/j.aquaculture.2025.743181</v>
      </c>
      <c r="V812" s="6"/>
      <c r="W812" s="28"/>
      <c r="X812" s="28"/>
      <c r="Y812" s="6"/>
      <c r="Z812" s="28"/>
      <c r="AA812" s="28"/>
      <c r="AB812" s="28"/>
    </row>
    <row r="813" spans="1:28" ht="266" x14ac:dyDescent="0.15">
      <c r="A813" s="1" t="s">
        <v>9</v>
      </c>
      <c r="B813" s="4" t="s">
        <v>1717</v>
      </c>
      <c r="C813" s="1" t="s">
        <v>1718</v>
      </c>
      <c r="D813" s="1" t="s">
        <v>142</v>
      </c>
      <c r="E813" s="1" t="s">
        <v>1719</v>
      </c>
      <c r="F813" s="1" t="s">
        <v>96</v>
      </c>
      <c r="G813" s="1">
        <v>2023</v>
      </c>
      <c r="H813" s="1" t="s">
        <v>1720</v>
      </c>
      <c r="I813" s="1" t="str">
        <f>HYPERLINK("http://dx.doi.org/10.1016/j.fsi.2023.109052","http://dx.doi.org/10.1016/j.fsi.2023.109052")</f>
        <v>http://dx.doi.org/10.1016/j.fsi.2023.109052</v>
      </c>
      <c r="V813" s="6"/>
      <c r="W813" s="28"/>
      <c r="X813" s="28"/>
      <c r="Y813" s="6"/>
      <c r="Z813" s="28"/>
      <c r="AA813" s="28"/>
      <c r="AB813" s="28"/>
    </row>
    <row r="814" spans="1:28" ht="306" x14ac:dyDescent="0.15">
      <c r="A814" s="1" t="s">
        <v>9</v>
      </c>
      <c r="B814" s="4" t="s">
        <v>1732</v>
      </c>
      <c r="C814" s="1" t="s">
        <v>1733</v>
      </c>
      <c r="D814" s="1" t="s">
        <v>90</v>
      </c>
      <c r="E814" s="1" t="s">
        <v>1734</v>
      </c>
      <c r="F814" s="1" t="s">
        <v>56</v>
      </c>
      <c r="G814" s="1">
        <v>2025</v>
      </c>
      <c r="H814" s="1" t="s">
        <v>1735</v>
      </c>
      <c r="I814" s="1" t="str">
        <f>HYPERLINK("http://dx.doi.org/10.1016/j.cbd.2025.101468","http://dx.doi.org/10.1016/j.cbd.2025.101468")</f>
        <v>http://dx.doi.org/10.1016/j.cbd.2025.101468</v>
      </c>
      <c r="V814" s="6"/>
      <c r="W814" s="28"/>
      <c r="X814" s="28"/>
      <c r="Y814" s="6"/>
      <c r="Z814" s="28"/>
      <c r="AA814" s="28"/>
      <c r="AB814" s="28"/>
    </row>
    <row r="815" spans="1:28" ht="397" x14ac:dyDescent="0.15">
      <c r="A815" s="1" t="s">
        <v>9</v>
      </c>
      <c r="B815" s="4" t="s">
        <v>1848</v>
      </c>
      <c r="C815" s="1" t="s">
        <v>1849</v>
      </c>
      <c r="D815" s="1" t="s">
        <v>1850</v>
      </c>
      <c r="E815" s="1" t="s">
        <v>1851</v>
      </c>
      <c r="F815" s="1" t="s">
        <v>1852</v>
      </c>
      <c r="G815" s="1">
        <v>2025</v>
      </c>
      <c r="H815" s="1" t="s">
        <v>1853</v>
      </c>
      <c r="I815" s="1" t="str">
        <f>HYPERLINK("http://dx.doi.org/10.3390/ani15202955","http://dx.doi.org/10.3390/ani15202955")</f>
        <v>http://dx.doi.org/10.3390/ani15202955</v>
      </c>
      <c r="V815" s="6"/>
      <c r="W815" s="28"/>
      <c r="X815" s="28"/>
      <c r="Y815" s="6"/>
      <c r="Z815" s="28"/>
      <c r="AA815" s="28"/>
      <c r="AB815" s="28"/>
    </row>
    <row r="816" spans="1:28" ht="409.6" x14ac:dyDescent="0.15">
      <c r="A816" s="1" t="s">
        <v>9</v>
      </c>
      <c r="B816" s="4" t="s">
        <v>506</v>
      </c>
      <c r="C816" s="1" t="s">
        <v>507</v>
      </c>
      <c r="D816" s="1" t="s">
        <v>48</v>
      </c>
      <c r="E816" s="1" t="s">
        <v>508</v>
      </c>
      <c r="F816" s="1" t="s">
        <v>251</v>
      </c>
      <c r="G816" s="1">
        <v>2025</v>
      </c>
      <c r="H816" s="1" t="s">
        <v>509</v>
      </c>
      <c r="I816" s="1" t="str">
        <f>HYPERLINK("http://dx.doi.org/10.1186/s12864-025-11532-x","http://dx.doi.org/10.1186/s12864-025-11532-x")</f>
        <v>http://dx.doi.org/10.1186/s12864-025-11532-x</v>
      </c>
      <c r="V816" s="6"/>
      <c r="W816" s="28"/>
      <c r="X816" s="28"/>
      <c r="Y816" s="6"/>
      <c r="Z816" s="28"/>
      <c r="AA816" s="28"/>
      <c r="AB816" s="28"/>
    </row>
    <row r="817" spans="1:28" ht="168" x14ac:dyDescent="0.15">
      <c r="A817" s="1" t="s">
        <v>9</v>
      </c>
      <c r="B817" s="4" t="s">
        <v>3225</v>
      </c>
      <c r="C817" s="1" t="s">
        <v>3226</v>
      </c>
      <c r="D817" s="1" t="s">
        <v>300</v>
      </c>
      <c r="E817" s="1" t="s">
        <v>3227</v>
      </c>
      <c r="F817" s="1" t="s">
        <v>2617</v>
      </c>
      <c r="G817" s="1">
        <v>2024</v>
      </c>
      <c r="H817" s="1" t="s">
        <v>3228</v>
      </c>
      <c r="I817" s="1" t="str">
        <f>HYPERLINK("http://dx.doi.org/10.1016/j.scitotenv.2023.169340","http://dx.doi.org/10.1016/j.scitotenv.2023.169340")</f>
        <v>http://dx.doi.org/10.1016/j.scitotenv.2023.169340</v>
      </c>
      <c r="V817" s="6"/>
      <c r="W817" s="28"/>
      <c r="X817" s="28"/>
      <c r="Y817" s="6"/>
      <c r="Z817" s="28"/>
      <c r="AA817" s="28"/>
      <c r="AB817" s="28"/>
    </row>
    <row r="818" spans="1:28" ht="266" x14ac:dyDescent="0.15">
      <c r="A818" s="1" t="s">
        <v>9</v>
      </c>
      <c r="B818" s="4" t="s">
        <v>968</v>
      </c>
      <c r="C818" s="1" t="s">
        <v>969</v>
      </c>
      <c r="D818" s="1" t="s">
        <v>78</v>
      </c>
      <c r="E818" s="1" t="s">
        <v>970</v>
      </c>
      <c r="F818" s="1" t="s">
        <v>971</v>
      </c>
      <c r="G818" s="1">
        <v>2021</v>
      </c>
      <c r="H818" s="1" t="s">
        <v>972</v>
      </c>
      <c r="I818" s="1" t="str">
        <f>HYPERLINK("http://dx.doi.org/10.3389/fmars.2021.725628","http://dx.doi.org/10.3389/fmars.2021.725628")</f>
        <v>http://dx.doi.org/10.3389/fmars.2021.725628</v>
      </c>
      <c r="V818" s="6"/>
      <c r="W818" s="28"/>
      <c r="X818" s="28"/>
      <c r="Y818" s="6"/>
      <c r="Z818" s="28"/>
      <c r="AA818" s="28"/>
      <c r="AB818" s="28"/>
    </row>
    <row r="819" spans="1:28" ht="384" x14ac:dyDescent="0.15">
      <c r="A819" s="1" t="s">
        <v>9</v>
      </c>
      <c r="B819" s="4" t="s">
        <v>29</v>
      </c>
      <c r="C819" s="1" t="s">
        <v>458</v>
      </c>
      <c r="D819" s="1" t="s">
        <v>300</v>
      </c>
      <c r="E819" s="1" t="s">
        <v>459</v>
      </c>
      <c r="F819" s="1" t="s">
        <v>460</v>
      </c>
      <c r="G819" s="1">
        <v>2023</v>
      </c>
      <c r="H819" s="1" t="s">
        <v>461</v>
      </c>
      <c r="I819" s="1" t="str">
        <f>HYPERLINK("http://dx.doi.org/10.1016/j.scitotenv.2023.162112","http://dx.doi.org/10.1016/j.scitotenv.2023.162112")</f>
        <v>http://dx.doi.org/10.1016/j.scitotenv.2023.162112</v>
      </c>
      <c r="V819" s="6"/>
      <c r="W819" s="28"/>
      <c r="X819" s="28"/>
      <c r="Y819" s="6"/>
      <c r="Z819" s="28"/>
      <c r="AA819" s="28"/>
      <c r="AB819" s="28"/>
    </row>
    <row r="820" spans="1:28" ht="306" x14ac:dyDescent="0.15">
      <c r="A820" s="1" t="s">
        <v>9</v>
      </c>
      <c r="B820" s="4" t="s">
        <v>29</v>
      </c>
      <c r="C820" s="1" t="s">
        <v>30</v>
      </c>
      <c r="D820" s="1" t="s">
        <v>31</v>
      </c>
      <c r="E820" s="1" t="s">
        <v>32</v>
      </c>
      <c r="F820" s="1" t="s">
        <v>33</v>
      </c>
      <c r="G820" s="1">
        <v>2023</v>
      </c>
      <c r="H820" s="1" t="s">
        <v>34</v>
      </c>
      <c r="I820" s="1" t="str">
        <f>HYPERLINK("http://dx.doi.org/10.1007/s10126-023-10208-5","http://dx.doi.org/10.1007/s10126-023-10208-5")</f>
        <v>http://dx.doi.org/10.1007/s10126-023-10208-5</v>
      </c>
      <c r="V820" s="6"/>
      <c r="W820" s="28"/>
      <c r="X820" s="28"/>
      <c r="Y820" s="6"/>
      <c r="Z820" s="28"/>
      <c r="AA820" s="28"/>
      <c r="AB820" s="28"/>
    </row>
    <row r="821" spans="1:28" ht="345" x14ac:dyDescent="0.15">
      <c r="A821" s="1" t="s">
        <v>9</v>
      </c>
      <c r="B821" s="4" t="s">
        <v>434</v>
      </c>
      <c r="C821" s="1" t="s">
        <v>435</v>
      </c>
      <c r="D821" s="1" t="s">
        <v>436</v>
      </c>
      <c r="E821" s="1" t="s">
        <v>437</v>
      </c>
      <c r="F821" s="1" t="s">
        <v>221</v>
      </c>
      <c r="G821" s="1">
        <v>2021</v>
      </c>
      <c r="H821" s="1" t="s">
        <v>438</v>
      </c>
      <c r="I821" s="1" t="str">
        <f>HYPERLINK("http://dx.doi.org/10.1038/s41437-020-0351-7","http://dx.doi.org/10.1038/s41437-020-0351-7")</f>
        <v>http://dx.doi.org/10.1038/s41437-020-0351-7</v>
      </c>
      <c r="V821" s="6"/>
      <c r="W821" s="28"/>
      <c r="X821" s="28"/>
      <c r="Y821" s="6"/>
      <c r="Z821" s="28"/>
      <c r="AA821" s="28"/>
      <c r="AB821" s="28"/>
    </row>
    <row r="822" spans="1:28" ht="306" x14ac:dyDescent="0.15">
      <c r="A822" s="1" t="s">
        <v>9</v>
      </c>
      <c r="B822" s="4" t="s">
        <v>98</v>
      </c>
      <c r="C822" s="1" t="s">
        <v>99</v>
      </c>
      <c r="D822" s="1" t="s">
        <v>100</v>
      </c>
      <c r="E822" s="1" t="s">
        <v>101</v>
      </c>
      <c r="F822" s="1" t="s">
        <v>33</v>
      </c>
      <c r="G822" s="1">
        <v>2021</v>
      </c>
      <c r="H822" s="1" t="s">
        <v>102</v>
      </c>
      <c r="I822" s="1" t="str">
        <f>HYPERLINK("http://dx.doi.org/10.1016/j.envres.2021.111058","http://dx.doi.org/10.1016/j.envres.2021.111058")</f>
        <v>http://dx.doi.org/10.1016/j.envres.2021.111058</v>
      </c>
      <c r="V822" s="6"/>
      <c r="W822" s="28"/>
      <c r="X822" s="28"/>
      <c r="Y822" s="6"/>
      <c r="Z822" s="28"/>
      <c r="AA822" s="28"/>
      <c r="AB822" s="28"/>
    </row>
    <row r="823" spans="1:28" ht="306" x14ac:dyDescent="0.15">
      <c r="A823" s="1" t="s">
        <v>9</v>
      </c>
      <c r="B823" s="4" t="s">
        <v>1199</v>
      </c>
      <c r="C823" s="1" t="s">
        <v>1200</v>
      </c>
      <c r="D823" s="1" t="s">
        <v>260</v>
      </c>
      <c r="E823" s="1" t="s">
        <v>1201</v>
      </c>
      <c r="F823" s="1" t="s">
        <v>1058</v>
      </c>
      <c r="G823" s="1">
        <v>2025</v>
      </c>
      <c r="H823" s="1" t="s">
        <v>1202</v>
      </c>
      <c r="I823" s="1" t="str">
        <f>HYPERLINK("http://dx.doi.org/10.1016/j.aquaculture.2025.742487","http://dx.doi.org/10.1016/j.aquaculture.2025.742487")</f>
        <v>http://dx.doi.org/10.1016/j.aquaculture.2025.742487</v>
      </c>
      <c r="V823" s="6"/>
      <c r="W823" s="28"/>
      <c r="X823" s="28"/>
      <c r="Y823" s="6"/>
      <c r="Z823" s="28"/>
      <c r="AA823" s="28"/>
      <c r="AB823" s="28"/>
    </row>
    <row r="824" spans="1:28" ht="332" x14ac:dyDescent="0.15">
      <c r="A824" s="1" t="s">
        <v>9</v>
      </c>
      <c r="B824" s="4" t="s">
        <v>337</v>
      </c>
      <c r="C824" s="1" t="s">
        <v>338</v>
      </c>
      <c r="D824" s="1" t="s">
        <v>339</v>
      </c>
      <c r="E824" s="1" t="s">
        <v>340</v>
      </c>
      <c r="F824" s="1" t="s">
        <v>112</v>
      </c>
      <c r="G824" s="1">
        <v>2018</v>
      </c>
      <c r="H824" s="1" t="s">
        <v>341</v>
      </c>
      <c r="I824" s="1" t="str">
        <f>HYPERLINK("http://dx.doi.org/10.1007/s00227-018-3310-6","http://dx.doi.org/10.1007/s00227-018-3310-6")</f>
        <v>http://dx.doi.org/10.1007/s00227-018-3310-6</v>
      </c>
      <c r="V824" s="6"/>
      <c r="W824" s="28"/>
      <c r="X824" s="28"/>
      <c r="Y824" s="6"/>
      <c r="Z824" s="28"/>
      <c r="AA824" s="28"/>
      <c r="AB824" s="28"/>
    </row>
    <row r="825" spans="1:28" ht="210" x14ac:dyDescent="0.15">
      <c r="A825" s="1" t="s">
        <v>9</v>
      </c>
      <c r="B825" s="4" t="s">
        <v>444</v>
      </c>
      <c r="C825" s="1" t="s">
        <v>445</v>
      </c>
      <c r="D825" s="1" t="s">
        <v>446</v>
      </c>
      <c r="E825" s="1" t="s">
        <v>447</v>
      </c>
      <c r="F825" s="1" t="s">
        <v>11</v>
      </c>
      <c r="G825" s="1">
        <v>2015</v>
      </c>
      <c r="H825" s="1" t="s">
        <v>11</v>
      </c>
      <c r="I825" s="1" t="s">
        <v>11</v>
      </c>
      <c r="V825" s="6"/>
      <c r="W825" s="28"/>
      <c r="X825" s="28"/>
      <c r="Y825" s="6"/>
      <c r="Z825" s="28"/>
      <c r="AA825" s="28"/>
      <c r="AB825" s="28"/>
    </row>
    <row r="826" spans="1:28" ht="196" x14ac:dyDescent="0.15">
      <c r="A826" s="1" t="s">
        <v>9</v>
      </c>
      <c r="B826" s="4" t="s">
        <v>1007</v>
      </c>
      <c r="C826" s="1" t="s">
        <v>1008</v>
      </c>
      <c r="D826" s="1" t="s">
        <v>951</v>
      </c>
      <c r="E826" s="1" t="s">
        <v>1009</v>
      </c>
      <c r="F826" s="1" t="s">
        <v>68</v>
      </c>
      <c r="G826" s="1">
        <v>2021</v>
      </c>
      <c r="H826" s="1" t="s">
        <v>1010</v>
      </c>
      <c r="I826" s="1" t="str">
        <f>HYPERLINK("http://dx.doi.org/10.3390/ijms22147454","http://dx.doi.org/10.3390/ijms22147454")</f>
        <v>http://dx.doi.org/10.3390/ijms22147454</v>
      </c>
      <c r="V826" s="6"/>
      <c r="W826" s="28"/>
      <c r="X826" s="28"/>
      <c r="Y826" s="6"/>
      <c r="Z826" s="28"/>
      <c r="AA826" s="28"/>
      <c r="AB826" s="28"/>
    </row>
    <row r="827" spans="1:28" ht="409.6" x14ac:dyDescent="0.15">
      <c r="A827" s="1" t="s">
        <v>9</v>
      </c>
      <c r="B827" s="4" t="s">
        <v>985</v>
      </c>
      <c r="C827" s="1" t="s">
        <v>986</v>
      </c>
      <c r="D827" s="1" t="s">
        <v>792</v>
      </c>
      <c r="E827" s="1" t="s">
        <v>987</v>
      </c>
      <c r="F827" s="1" t="s">
        <v>209</v>
      </c>
      <c r="G827" s="1">
        <v>2019</v>
      </c>
      <c r="H827" s="1" t="s">
        <v>988</v>
      </c>
      <c r="I827" s="1" t="str">
        <f>HYPERLINK("http://dx.doi.org/10.1371/journal.pgen.1008397","http://dx.doi.org/10.1371/journal.pgen.1008397")</f>
        <v>http://dx.doi.org/10.1371/journal.pgen.1008397</v>
      </c>
      <c r="V827" s="6"/>
      <c r="W827" s="28"/>
      <c r="X827" s="28"/>
      <c r="Y827" s="6"/>
      <c r="Z827" s="28"/>
      <c r="AA827" s="28"/>
      <c r="AB827" s="28"/>
    </row>
    <row r="828" spans="1:28" ht="332" x14ac:dyDescent="0.15">
      <c r="A828" s="1" t="s">
        <v>9</v>
      </c>
      <c r="B828" s="4" t="s">
        <v>1488</v>
      </c>
      <c r="C828" s="1" t="s">
        <v>1489</v>
      </c>
      <c r="D828" s="1" t="s">
        <v>142</v>
      </c>
      <c r="E828" s="1" t="s">
        <v>1490</v>
      </c>
      <c r="F828" s="1" t="s">
        <v>68</v>
      </c>
      <c r="G828" s="1">
        <v>2023</v>
      </c>
      <c r="H828" s="1" t="s">
        <v>1491</v>
      </c>
      <c r="I828" s="1" t="str">
        <f>HYPERLINK("http://dx.doi.org/10.1016/j.fsi.2023.108868","http://dx.doi.org/10.1016/j.fsi.2023.108868")</f>
        <v>http://dx.doi.org/10.1016/j.fsi.2023.108868</v>
      </c>
      <c r="V828" s="6"/>
      <c r="W828" s="28"/>
      <c r="X828" s="28"/>
      <c r="Y828" s="6"/>
      <c r="Z828" s="28"/>
      <c r="AA828" s="28"/>
      <c r="AB828" s="28"/>
    </row>
    <row r="829" spans="1:28" ht="409.6" x14ac:dyDescent="0.15">
      <c r="A829" s="1" t="s">
        <v>9</v>
      </c>
      <c r="B829" s="4" t="s">
        <v>1446</v>
      </c>
      <c r="C829" s="1" t="s">
        <v>1447</v>
      </c>
      <c r="D829" s="1" t="s">
        <v>946</v>
      </c>
      <c r="E829" s="1" t="s">
        <v>1448</v>
      </c>
      <c r="F829" s="1" t="s">
        <v>96</v>
      </c>
      <c r="G829" s="1">
        <v>2024</v>
      </c>
      <c r="H829" s="1" t="s">
        <v>1449</v>
      </c>
      <c r="I829" s="1" t="str">
        <f>HYPERLINK("http://dx.doi.org/10.3390/biology13100788","http://dx.doi.org/10.3390/biology13100788")</f>
        <v>http://dx.doi.org/10.3390/biology13100788</v>
      </c>
      <c r="V829" s="6"/>
      <c r="W829" s="28"/>
      <c r="X829" s="28"/>
      <c r="Y829" s="6"/>
      <c r="Z829" s="28"/>
      <c r="AA829" s="28"/>
      <c r="AB829" s="28"/>
    </row>
    <row r="830" spans="1:28" ht="293" x14ac:dyDescent="0.15">
      <c r="A830" s="1" t="s">
        <v>9</v>
      </c>
      <c r="B830" s="4" t="s">
        <v>1122</v>
      </c>
      <c r="C830" s="1" t="s">
        <v>1123</v>
      </c>
      <c r="D830" s="1" t="s">
        <v>300</v>
      </c>
      <c r="E830" s="1" t="s">
        <v>1124</v>
      </c>
      <c r="F830" s="1" t="s">
        <v>423</v>
      </c>
      <c r="G830" s="1">
        <v>2022</v>
      </c>
      <c r="H830" s="1" t="s">
        <v>1125</v>
      </c>
      <c r="I830" s="1" t="str">
        <f>HYPERLINK("http://dx.doi.org/10.1016/j.scitotenv.2022.153168","http://dx.doi.org/10.1016/j.scitotenv.2022.153168")</f>
        <v>http://dx.doi.org/10.1016/j.scitotenv.2022.153168</v>
      </c>
      <c r="V830" s="6"/>
      <c r="W830" s="28"/>
      <c r="X830" s="28"/>
      <c r="Y830" s="6"/>
      <c r="Z830" s="28"/>
      <c r="AA830" s="28"/>
      <c r="AB830" s="28"/>
    </row>
    <row r="831" spans="1:28" ht="397" x14ac:dyDescent="0.15">
      <c r="A831" s="1" t="s">
        <v>9</v>
      </c>
      <c r="B831" s="4" t="s">
        <v>938</v>
      </c>
      <c r="C831" s="1" t="s">
        <v>939</v>
      </c>
      <c r="D831" s="1" t="s">
        <v>940</v>
      </c>
      <c r="E831" s="1" t="s">
        <v>941</v>
      </c>
      <c r="F831" s="1" t="s">
        <v>942</v>
      </c>
      <c r="G831" s="1">
        <v>2019</v>
      </c>
      <c r="H831" s="1" t="s">
        <v>943</v>
      </c>
      <c r="I831" s="1" t="str">
        <f>HYPERLINK("http://dx.doi.org/10.1186/s41065-019-0110-z","http://dx.doi.org/10.1186/s41065-019-0110-z")</f>
        <v>http://dx.doi.org/10.1186/s41065-019-0110-z</v>
      </c>
      <c r="V831" s="6"/>
      <c r="W831" s="28"/>
      <c r="X831" s="28"/>
      <c r="Y831" s="6"/>
      <c r="Z831" s="28"/>
      <c r="AA831" s="28"/>
      <c r="AB831" s="28"/>
    </row>
    <row r="832" spans="1:28" ht="280" x14ac:dyDescent="0.15">
      <c r="A832" s="1" t="s">
        <v>9</v>
      </c>
      <c r="B832" s="4" t="s">
        <v>1229</v>
      </c>
      <c r="C832" s="1" t="s">
        <v>1230</v>
      </c>
      <c r="D832" s="1" t="s">
        <v>1231</v>
      </c>
      <c r="E832" s="1" t="s">
        <v>1232</v>
      </c>
      <c r="F832" s="1" t="s">
        <v>513</v>
      </c>
      <c r="G832" s="1">
        <v>2024</v>
      </c>
      <c r="H832" s="1" t="s">
        <v>1233</v>
      </c>
      <c r="I832" s="1" t="str">
        <f>HYPERLINK("http://dx.doi.org/10.1016/j.gene.2024.148555","http://dx.doi.org/10.1016/j.gene.2024.148555")</f>
        <v>http://dx.doi.org/10.1016/j.gene.2024.148555</v>
      </c>
      <c r="V832" s="6"/>
      <c r="W832" s="28"/>
      <c r="X832" s="28"/>
      <c r="Y832" s="6"/>
      <c r="Z832" s="28"/>
      <c r="AA832" s="28"/>
      <c r="AB832" s="28"/>
    </row>
    <row r="833" spans="1:28" ht="319" x14ac:dyDescent="0.15">
      <c r="A833" s="1" t="s">
        <v>9</v>
      </c>
      <c r="B833" s="4" t="s">
        <v>1383</v>
      </c>
      <c r="C833" s="1" t="s">
        <v>1384</v>
      </c>
      <c r="D833" s="1" t="s">
        <v>405</v>
      </c>
      <c r="E833" s="1" t="s">
        <v>1385</v>
      </c>
      <c r="F833" s="1" t="s">
        <v>96</v>
      </c>
      <c r="G833" s="1">
        <v>2023</v>
      </c>
      <c r="H833" s="1" t="s">
        <v>1386</v>
      </c>
      <c r="I833" s="1" t="str">
        <f>HYPERLINK("http://dx.doi.org/10.1016/j.marenvres.2023.106133","http://dx.doi.org/10.1016/j.marenvres.2023.106133")</f>
        <v>http://dx.doi.org/10.1016/j.marenvres.2023.106133</v>
      </c>
      <c r="V833" s="6"/>
      <c r="W833" s="28"/>
      <c r="X833" s="28"/>
      <c r="Y833" s="6"/>
      <c r="Z833" s="28"/>
      <c r="AA833" s="28"/>
      <c r="AB833" s="28"/>
    </row>
    <row r="834" spans="1:28" ht="358" x14ac:dyDescent="0.15">
      <c r="A834" s="1" t="s">
        <v>9</v>
      </c>
      <c r="B834" s="4" t="s">
        <v>1607</v>
      </c>
      <c r="C834" s="1" t="s">
        <v>1608</v>
      </c>
      <c r="D834" s="1" t="s">
        <v>1609</v>
      </c>
      <c r="E834" s="1" t="s">
        <v>1610</v>
      </c>
      <c r="F834" s="1" t="s">
        <v>106</v>
      </c>
      <c r="G834" s="1">
        <v>2021</v>
      </c>
      <c r="H834" s="1" t="s">
        <v>1611</v>
      </c>
      <c r="I834" s="1" t="str">
        <f>HYPERLINK("http://dx.doi.org/10.1016/j.molimm.2021.01.006","http://dx.doi.org/10.1016/j.molimm.2021.01.006")</f>
        <v>http://dx.doi.org/10.1016/j.molimm.2021.01.006</v>
      </c>
      <c r="V834" s="6"/>
      <c r="W834" s="28"/>
      <c r="X834" s="28"/>
      <c r="Y834" s="6"/>
      <c r="Z834" s="28"/>
      <c r="AA834" s="28"/>
      <c r="AB834" s="28"/>
    </row>
    <row r="835" spans="1:28" ht="280" x14ac:dyDescent="0.15">
      <c r="A835" s="1" t="s">
        <v>9</v>
      </c>
      <c r="B835" s="4" t="s">
        <v>1279</v>
      </c>
      <c r="C835" s="1" t="s">
        <v>1280</v>
      </c>
      <c r="D835" s="1" t="s">
        <v>367</v>
      </c>
      <c r="E835" s="1" t="s">
        <v>1281</v>
      </c>
      <c r="F835" s="1" t="s">
        <v>606</v>
      </c>
      <c r="G835" s="1">
        <v>2023</v>
      </c>
      <c r="H835" s="1" t="s">
        <v>1282</v>
      </c>
      <c r="I835" s="1" t="str">
        <f>HYPERLINK("http://dx.doi.org/10.1016/j.jhazmat.2023.131594","http://dx.doi.org/10.1016/j.jhazmat.2023.131594")</f>
        <v>http://dx.doi.org/10.1016/j.jhazmat.2023.131594</v>
      </c>
      <c r="V835" s="6"/>
      <c r="W835" s="28"/>
      <c r="X835" s="28"/>
      <c r="Y835" s="6"/>
      <c r="Z835" s="28"/>
      <c r="AA835" s="28"/>
      <c r="AB835" s="28"/>
    </row>
    <row r="836" spans="1:28" ht="397" x14ac:dyDescent="0.15">
      <c r="A836" s="1" t="s">
        <v>9</v>
      </c>
      <c r="B836" s="4" t="s">
        <v>348</v>
      </c>
      <c r="C836" s="1" t="s">
        <v>349</v>
      </c>
      <c r="D836" s="1" t="s">
        <v>350</v>
      </c>
      <c r="E836" s="1" t="s">
        <v>351</v>
      </c>
      <c r="F836" s="1" t="s">
        <v>56</v>
      </c>
      <c r="G836" s="1">
        <v>2020</v>
      </c>
      <c r="H836" s="1" t="s">
        <v>352</v>
      </c>
      <c r="I836" s="1" t="str">
        <f>HYPERLINK("http://dx.doi.org/10.3390/genes11091020","http://dx.doi.org/10.3390/genes11091020")</f>
        <v>http://dx.doi.org/10.3390/genes11091020</v>
      </c>
      <c r="V836" s="6"/>
      <c r="W836" s="28"/>
      <c r="X836" s="28"/>
      <c r="Y836" s="6"/>
      <c r="Z836" s="28"/>
      <c r="AA836" s="28"/>
      <c r="AB836" s="28"/>
    </row>
    <row r="837" spans="1:28" ht="293" x14ac:dyDescent="0.15">
      <c r="A837" s="1" t="s">
        <v>9</v>
      </c>
      <c r="B837" s="4" t="s">
        <v>2229</v>
      </c>
      <c r="C837" s="1" t="s">
        <v>2230</v>
      </c>
      <c r="D837" s="1" t="s">
        <v>2231</v>
      </c>
      <c r="E837" s="1" t="s">
        <v>2232</v>
      </c>
      <c r="F837" s="1" t="s">
        <v>262</v>
      </c>
      <c r="G837" s="1">
        <v>2024</v>
      </c>
      <c r="H837" s="1" t="s">
        <v>2233</v>
      </c>
      <c r="I837" s="1" t="str">
        <f>HYPERLINK("http://dx.doi.org/10.1016/j.heliyon.2023.e23695","http://dx.doi.org/10.1016/j.heliyon.2023.e23695")</f>
        <v>http://dx.doi.org/10.1016/j.heliyon.2023.e23695</v>
      </c>
      <c r="V837" s="6"/>
      <c r="W837" s="28"/>
      <c r="X837" s="28"/>
      <c r="Y837" s="6"/>
      <c r="Z837" s="28"/>
      <c r="AA837" s="28"/>
      <c r="AB837" s="28"/>
    </row>
    <row r="838" spans="1:28" ht="266" x14ac:dyDescent="0.15">
      <c r="A838" s="1" t="s">
        <v>9</v>
      </c>
      <c r="B838" s="4" t="s">
        <v>1203</v>
      </c>
      <c r="C838" s="1" t="s">
        <v>1204</v>
      </c>
      <c r="D838" s="1" t="s">
        <v>580</v>
      </c>
      <c r="E838" s="1" t="s">
        <v>1205</v>
      </c>
      <c r="F838" s="1" t="s">
        <v>112</v>
      </c>
      <c r="G838" s="1">
        <v>2025</v>
      </c>
      <c r="H838" s="1" t="s">
        <v>1206</v>
      </c>
      <c r="I838" s="1" t="str">
        <f>HYPERLINK("http://dx.doi.org/10.1016/j.marpolbul.2024.117514","http://dx.doi.org/10.1016/j.marpolbul.2024.117514")</f>
        <v>http://dx.doi.org/10.1016/j.marpolbul.2024.117514</v>
      </c>
      <c r="V838" s="6"/>
      <c r="W838" s="28"/>
      <c r="X838" s="28"/>
      <c r="Y838" s="6"/>
      <c r="Z838" s="28"/>
      <c r="AA838" s="28"/>
      <c r="AB838" s="28"/>
    </row>
    <row r="839" spans="1:28" ht="238" x14ac:dyDescent="0.15">
      <c r="A839" s="1" t="s">
        <v>9</v>
      </c>
      <c r="B839" s="4" t="s">
        <v>145</v>
      </c>
      <c r="C839" s="1" t="s">
        <v>146</v>
      </c>
      <c r="D839" s="1" t="s">
        <v>25</v>
      </c>
      <c r="E839" s="1" t="s">
        <v>147</v>
      </c>
      <c r="F839" s="1" t="s">
        <v>86</v>
      </c>
      <c r="G839" s="1">
        <v>2022</v>
      </c>
      <c r="H839" s="1" t="s">
        <v>148</v>
      </c>
      <c r="I839" s="1" t="str">
        <f>HYPERLINK("http://dx.doi.org/10.1093/molbev/msac018","http://dx.doi.org/10.1093/molbev/msac018")</f>
        <v>http://dx.doi.org/10.1093/molbev/msac018</v>
      </c>
      <c r="V839" s="6"/>
      <c r="W839" s="28"/>
      <c r="X839" s="28"/>
      <c r="Y839" s="29"/>
      <c r="Z839" s="28"/>
      <c r="AA839" s="28"/>
      <c r="AB839" s="28"/>
    </row>
    <row r="840" spans="1:28" ht="252" x14ac:dyDescent="0.15">
      <c r="A840" s="1" t="s">
        <v>9</v>
      </c>
      <c r="B840" s="4" t="s">
        <v>921</v>
      </c>
      <c r="C840" s="1" t="s">
        <v>922</v>
      </c>
      <c r="D840" s="1" t="s">
        <v>110</v>
      </c>
      <c r="E840" s="1" t="s">
        <v>923</v>
      </c>
      <c r="F840" s="1" t="s">
        <v>96</v>
      </c>
      <c r="G840" s="1">
        <v>2024</v>
      </c>
      <c r="H840" s="1" t="s">
        <v>924</v>
      </c>
      <c r="I840" s="1" t="str">
        <f>HYPERLINK("http://dx.doi.org/10.1016/j.aquatox.2024.107062","http://dx.doi.org/10.1016/j.aquatox.2024.107062")</f>
        <v>http://dx.doi.org/10.1016/j.aquatox.2024.107062</v>
      </c>
      <c r="V840" s="6"/>
      <c r="W840" s="28"/>
      <c r="X840" s="28"/>
      <c r="Y840" s="6"/>
      <c r="Z840" s="28"/>
      <c r="AA840" s="28"/>
      <c r="AB840" s="28"/>
    </row>
    <row r="841" spans="1:28" ht="266" x14ac:dyDescent="0.15">
      <c r="A841" s="1" t="s">
        <v>9</v>
      </c>
      <c r="B841" s="4" t="s">
        <v>3054</v>
      </c>
      <c r="C841" s="1" t="s">
        <v>3055</v>
      </c>
      <c r="D841" s="1" t="s">
        <v>585</v>
      </c>
      <c r="E841" s="1" t="s">
        <v>3056</v>
      </c>
      <c r="F841" s="1" t="s">
        <v>818</v>
      </c>
      <c r="G841" s="1">
        <v>2025</v>
      </c>
      <c r="H841" s="1" t="s">
        <v>3057</v>
      </c>
      <c r="I841" s="1" t="str">
        <f>HYPERLINK("http://dx.doi.org/10.3389/fimmu.2025.1556591","http://dx.doi.org/10.3389/fimmu.2025.1556591")</f>
        <v>http://dx.doi.org/10.3389/fimmu.2025.1556591</v>
      </c>
      <c r="V841" s="6"/>
      <c r="W841" s="28"/>
      <c r="X841" s="28"/>
      <c r="Y841" s="6"/>
      <c r="Z841" s="28"/>
      <c r="AA841" s="28"/>
      <c r="AB841" s="28"/>
    </row>
    <row r="842" spans="1:28" ht="345" x14ac:dyDescent="0.15">
      <c r="A842" s="1" t="s">
        <v>9</v>
      </c>
      <c r="B842" s="4" t="s">
        <v>574</v>
      </c>
      <c r="C842" s="1" t="s">
        <v>575</v>
      </c>
      <c r="D842" s="1" t="s">
        <v>90</v>
      </c>
      <c r="E842" s="1" t="s">
        <v>576</v>
      </c>
      <c r="F842" s="1" t="s">
        <v>21</v>
      </c>
      <c r="G842" s="1">
        <v>2024</v>
      </c>
      <c r="H842" s="1" t="s">
        <v>577</v>
      </c>
      <c r="I842" s="1" t="str">
        <f>HYPERLINK("http://dx.doi.org/10.1016/j.cbd.2024.101307","http://dx.doi.org/10.1016/j.cbd.2024.101307")</f>
        <v>http://dx.doi.org/10.1016/j.cbd.2024.101307</v>
      </c>
      <c r="V842" s="6"/>
      <c r="W842" s="28"/>
      <c r="X842" s="28"/>
      <c r="Y842" s="6"/>
      <c r="Z842" s="28"/>
      <c r="AA842" s="28"/>
      <c r="AB842" s="28"/>
    </row>
    <row r="843" spans="1:28" ht="224" x14ac:dyDescent="0.15">
      <c r="A843" s="1" t="s">
        <v>9</v>
      </c>
      <c r="B843" s="4" t="s">
        <v>1250</v>
      </c>
      <c r="C843" s="1" t="s">
        <v>1251</v>
      </c>
      <c r="D843" s="1" t="s">
        <v>441</v>
      </c>
      <c r="E843" s="1" t="s">
        <v>1252</v>
      </c>
      <c r="F843" s="1" t="s">
        <v>209</v>
      </c>
      <c r="G843" s="1">
        <v>2020</v>
      </c>
      <c r="H843" s="1" t="s">
        <v>1253</v>
      </c>
      <c r="I843" s="1" t="str">
        <f>HYPERLINK("http://dx.doi.org/10.1016/j.ygeno.2020.07.036","http://dx.doi.org/10.1016/j.ygeno.2020.07.036")</f>
        <v>http://dx.doi.org/10.1016/j.ygeno.2020.07.036</v>
      </c>
      <c r="V843" s="6"/>
      <c r="W843" s="28"/>
      <c r="X843" s="28"/>
      <c r="Y843" s="6"/>
      <c r="Z843" s="28"/>
      <c r="AA843" s="28"/>
      <c r="AB843" s="28"/>
    </row>
    <row r="844" spans="1:28" ht="306" x14ac:dyDescent="0.15">
      <c r="A844" s="1" t="s">
        <v>9</v>
      </c>
      <c r="B844" s="4" t="s">
        <v>2027</v>
      </c>
      <c r="C844" s="1" t="s">
        <v>2028</v>
      </c>
      <c r="D844" s="1" t="s">
        <v>260</v>
      </c>
      <c r="E844" s="1" t="s">
        <v>2029</v>
      </c>
      <c r="F844" s="1" t="s">
        <v>287</v>
      </c>
      <c r="G844" s="1">
        <v>2025</v>
      </c>
      <c r="H844" s="1" t="s">
        <v>2030</v>
      </c>
      <c r="I844" s="1" t="str">
        <f>HYPERLINK("http://dx.doi.org/10.1016/j.aquaculture.2025.742827","http://dx.doi.org/10.1016/j.aquaculture.2025.742827")</f>
        <v>http://dx.doi.org/10.1016/j.aquaculture.2025.742827</v>
      </c>
      <c r="V844" s="6"/>
      <c r="W844" s="28"/>
      <c r="X844" s="28"/>
      <c r="Y844" s="6"/>
      <c r="Z844" s="28"/>
      <c r="AA844" s="28"/>
      <c r="AB844" s="28"/>
    </row>
    <row r="845" spans="1:28" ht="293" x14ac:dyDescent="0.15">
      <c r="A845" s="1" t="s">
        <v>9</v>
      </c>
      <c r="B845" s="4" t="s">
        <v>949</v>
      </c>
      <c r="C845" s="1" t="s">
        <v>950</v>
      </c>
      <c r="D845" s="1" t="s">
        <v>951</v>
      </c>
      <c r="E845" s="1" t="s">
        <v>952</v>
      </c>
      <c r="F845" s="1" t="s">
        <v>256</v>
      </c>
      <c r="G845" s="1">
        <v>2025</v>
      </c>
      <c r="H845" s="1" t="s">
        <v>953</v>
      </c>
      <c r="I845" s="1" t="str">
        <f>HYPERLINK("http://dx.doi.org/10.3390/ijms26104523","http://dx.doi.org/10.3390/ijms26104523")</f>
        <v>http://dx.doi.org/10.3390/ijms26104523</v>
      </c>
      <c r="V845" s="6"/>
      <c r="W845" s="28"/>
      <c r="X845" s="28"/>
      <c r="Y845" s="6"/>
      <c r="Z845" s="28"/>
      <c r="AA845" s="28"/>
      <c r="AB845" s="28"/>
    </row>
    <row r="846" spans="1:28" ht="332" x14ac:dyDescent="0.15">
      <c r="A846" s="1" t="s">
        <v>9</v>
      </c>
      <c r="B846" s="4" t="s">
        <v>2298</v>
      </c>
      <c r="C846" s="1" t="s">
        <v>2299</v>
      </c>
      <c r="D846" s="1" t="s">
        <v>281</v>
      </c>
      <c r="E846" s="1" t="s">
        <v>2300</v>
      </c>
      <c r="F846" s="1" t="s">
        <v>112</v>
      </c>
      <c r="G846" s="1">
        <v>2019</v>
      </c>
      <c r="H846" s="1" t="s">
        <v>2301</v>
      </c>
      <c r="I846" s="1" t="str">
        <f>HYPERLINK("http://dx.doi.org/10.1016/j.chemosphere.2018.11.119","http://dx.doi.org/10.1016/j.chemosphere.2018.11.119")</f>
        <v>http://dx.doi.org/10.1016/j.chemosphere.2018.11.119</v>
      </c>
      <c r="V846" s="6"/>
      <c r="W846" s="28"/>
      <c r="X846" s="28"/>
      <c r="Y846" s="6"/>
      <c r="Z846" s="28"/>
      <c r="AA846" s="28"/>
      <c r="AB846" s="28"/>
    </row>
    <row r="847" spans="1:28" ht="280" x14ac:dyDescent="0.15">
      <c r="A847" s="1" t="s">
        <v>9</v>
      </c>
      <c r="B847" s="4" t="s">
        <v>1238</v>
      </c>
      <c r="C847" s="1" t="s">
        <v>1239</v>
      </c>
      <c r="D847" s="1" t="s">
        <v>142</v>
      </c>
      <c r="E847" s="1" t="s">
        <v>1240</v>
      </c>
      <c r="F847" s="1" t="s">
        <v>96</v>
      </c>
      <c r="G847" s="1">
        <v>2025</v>
      </c>
      <c r="H847" s="1" t="s">
        <v>1241</v>
      </c>
      <c r="I847" s="1" t="str">
        <f>HYPERLINK("http://dx.doi.org/10.1016/j.fsi.2025.110495","http://dx.doi.org/10.1016/j.fsi.2025.110495")</f>
        <v>http://dx.doi.org/10.1016/j.fsi.2025.110495</v>
      </c>
      <c r="V847" s="6"/>
      <c r="W847" s="28"/>
      <c r="X847" s="28"/>
      <c r="Y847" s="6"/>
      <c r="Z847" s="28"/>
      <c r="AA847" s="28"/>
      <c r="AB847" s="28"/>
    </row>
    <row r="848" spans="1:28" ht="238" x14ac:dyDescent="0.15">
      <c r="A848" s="1" t="s">
        <v>9</v>
      </c>
      <c r="B848" s="4" t="s">
        <v>1645</v>
      </c>
      <c r="C848" s="1" t="s">
        <v>1646</v>
      </c>
      <c r="D848" s="1" t="s">
        <v>585</v>
      </c>
      <c r="E848" s="1" t="s">
        <v>1647</v>
      </c>
      <c r="F848" s="1" t="s">
        <v>1648</v>
      </c>
      <c r="G848" s="1">
        <v>2021</v>
      </c>
      <c r="H848" s="1" t="s">
        <v>1649</v>
      </c>
      <c r="I848" s="1" t="str">
        <f>HYPERLINK("http://dx.doi.org/10.3389/fimmu.2021.792040","http://dx.doi.org/10.3389/fimmu.2021.792040")</f>
        <v>http://dx.doi.org/10.3389/fimmu.2021.792040</v>
      </c>
      <c r="V848" s="6"/>
      <c r="W848" s="28"/>
      <c r="X848" s="28"/>
      <c r="Y848" s="6"/>
      <c r="Z848" s="28"/>
      <c r="AA848" s="28"/>
      <c r="AB848" s="28"/>
    </row>
    <row r="849" spans="1:28" ht="280" x14ac:dyDescent="0.15">
      <c r="A849" s="1" t="s">
        <v>9</v>
      </c>
      <c r="B849" s="4" t="s">
        <v>1242</v>
      </c>
      <c r="C849" s="1" t="s">
        <v>1243</v>
      </c>
      <c r="D849" s="1" t="s">
        <v>142</v>
      </c>
      <c r="E849" s="1" t="s">
        <v>1244</v>
      </c>
      <c r="F849" s="1" t="s">
        <v>62</v>
      </c>
      <c r="G849" s="1">
        <v>2022</v>
      </c>
      <c r="H849" s="1" t="s">
        <v>1245</v>
      </c>
      <c r="I849" s="1" t="str">
        <f>HYPERLINK("http://dx.doi.org/10.1016/j.fsi.2022.04.040","http://dx.doi.org/10.1016/j.fsi.2022.04.040")</f>
        <v>http://dx.doi.org/10.1016/j.fsi.2022.04.040</v>
      </c>
      <c r="V849" s="6"/>
      <c r="W849" s="28"/>
      <c r="X849" s="28"/>
      <c r="Y849" s="6"/>
      <c r="Z849" s="28"/>
      <c r="AA849" s="28"/>
      <c r="AB849" s="28"/>
    </row>
    <row r="850" spans="1:28" ht="280" x14ac:dyDescent="0.15">
      <c r="A850" s="1" t="s">
        <v>9</v>
      </c>
      <c r="B850" s="4" t="s">
        <v>205</v>
      </c>
      <c r="C850" s="1" t="s">
        <v>206</v>
      </c>
      <c r="D850" s="1" t="s">
        <v>207</v>
      </c>
      <c r="E850" s="1" t="s">
        <v>208</v>
      </c>
      <c r="F850" s="1" t="s">
        <v>209</v>
      </c>
      <c r="G850" s="1">
        <v>2017</v>
      </c>
      <c r="H850" s="1" t="s">
        <v>210</v>
      </c>
      <c r="I850" s="1" t="str">
        <f>HYPERLINK("http://dx.doi.org/10.1007/s13258-017-0583-y","http://dx.doi.org/10.1007/s13258-017-0583-y")</f>
        <v>http://dx.doi.org/10.1007/s13258-017-0583-y</v>
      </c>
      <c r="V850" s="6"/>
      <c r="W850" s="28"/>
      <c r="X850" s="28"/>
      <c r="Y850" s="6"/>
      <c r="Z850" s="28"/>
      <c r="AA850" s="28"/>
      <c r="AB850" s="28"/>
    </row>
    <row r="851" spans="1:28" ht="332" x14ac:dyDescent="0.15">
      <c r="A851" s="1" t="s">
        <v>9</v>
      </c>
      <c r="B851" s="4" t="s">
        <v>205</v>
      </c>
      <c r="C851" s="1" t="s">
        <v>218</v>
      </c>
      <c r="D851" s="1" t="s">
        <v>219</v>
      </c>
      <c r="E851" s="1" t="s">
        <v>220</v>
      </c>
      <c r="F851" s="1" t="s">
        <v>221</v>
      </c>
      <c r="G851" s="1">
        <v>2018</v>
      </c>
      <c r="H851" s="1" t="s">
        <v>222</v>
      </c>
      <c r="I851" s="1" t="str">
        <f>HYPERLINK("http://dx.doi.org/10.1007/s12562-017-1154-5","http://dx.doi.org/10.1007/s12562-017-1154-5")</f>
        <v>http://dx.doi.org/10.1007/s12562-017-1154-5</v>
      </c>
      <c r="V851" s="6"/>
      <c r="W851" s="28"/>
      <c r="X851" s="28"/>
      <c r="Y851" s="6"/>
      <c r="Z851" s="28"/>
      <c r="AA851" s="28"/>
      <c r="AB851" s="28"/>
    </row>
    <row r="852" spans="1:28" ht="238" x14ac:dyDescent="0.15">
      <c r="A852" s="1" t="s">
        <v>9</v>
      </c>
      <c r="B852" s="4" t="s">
        <v>1683</v>
      </c>
      <c r="C852" s="1" t="s">
        <v>1684</v>
      </c>
      <c r="D852" s="1" t="s">
        <v>142</v>
      </c>
      <c r="E852" s="1" t="s">
        <v>1685</v>
      </c>
      <c r="F852" s="1" t="s">
        <v>96</v>
      </c>
      <c r="G852" s="1">
        <v>2023</v>
      </c>
      <c r="H852" s="1" t="s">
        <v>1686</v>
      </c>
      <c r="I852" s="1" t="str">
        <f>HYPERLINK("http://dx.doi.org/10.1016/j.fsi.2023.109026","http://dx.doi.org/10.1016/j.fsi.2023.109026")</f>
        <v>http://dx.doi.org/10.1016/j.fsi.2023.109026</v>
      </c>
      <c r="V852" s="6"/>
      <c r="W852" s="28"/>
      <c r="X852" s="28"/>
      <c r="Y852" s="6"/>
      <c r="Z852" s="28"/>
      <c r="AA852" s="28"/>
      <c r="AB852" s="28"/>
    </row>
    <row r="853" spans="1:28" ht="319" x14ac:dyDescent="0.15">
      <c r="A853" s="1" t="s">
        <v>9</v>
      </c>
      <c r="B853" s="4" t="s">
        <v>1543</v>
      </c>
      <c r="C853" s="1" t="s">
        <v>1544</v>
      </c>
      <c r="D853" s="1" t="s">
        <v>142</v>
      </c>
      <c r="E853" s="1" t="s">
        <v>1545</v>
      </c>
      <c r="F853" s="1" t="s">
        <v>122</v>
      </c>
      <c r="G853" s="1">
        <v>2024</v>
      </c>
      <c r="H853" s="1" t="s">
        <v>1546</v>
      </c>
      <c r="I853" s="1" t="str">
        <f>HYPERLINK("http://dx.doi.org/10.1016/j.fsi.2024.109670","http://dx.doi.org/10.1016/j.fsi.2024.109670")</f>
        <v>http://dx.doi.org/10.1016/j.fsi.2024.109670</v>
      </c>
      <c r="V853" s="6"/>
      <c r="W853" s="28"/>
      <c r="X853" s="28"/>
      <c r="Y853" s="6"/>
      <c r="Z853" s="28"/>
      <c r="AA853" s="28"/>
      <c r="AB853" s="28"/>
    </row>
    <row r="854" spans="1:28" ht="224" x14ac:dyDescent="0.15">
      <c r="A854" s="1" t="s">
        <v>9</v>
      </c>
      <c r="B854" s="4" t="s">
        <v>1741</v>
      </c>
      <c r="C854" s="1" t="s">
        <v>1742</v>
      </c>
      <c r="D854" s="1" t="s">
        <v>585</v>
      </c>
      <c r="E854" s="1" t="s">
        <v>1743</v>
      </c>
      <c r="F854" s="1" t="s">
        <v>1744</v>
      </c>
      <c r="G854" s="1">
        <v>2022</v>
      </c>
      <c r="H854" s="1" t="s">
        <v>1745</v>
      </c>
      <c r="I854" s="1" t="str">
        <f>HYPERLINK("http://dx.doi.org/10.3389/fimmu.2022.927796","http://dx.doi.org/10.3389/fimmu.2022.927796")</f>
        <v>http://dx.doi.org/10.3389/fimmu.2022.927796</v>
      </c>
      <c r="V854" s="6"/>
      <c r="W854" s="28"/>
      <c r="X854" s="28"/>
      <c r="Y854" s="6"/>
      <c r="Z854" s="28"/>
      <c r="AA854" s="28"/>
      <c r="AB854" s="28"/>
    </row>
    <row r="855" spans="1:28" ht="238" x14ac:dyDescent="0.15">
      <c r="A855" s="1" t="s">
        <v>9</v>
      </c>
      <c r="B855" s="4" t="s">
        <v>1412</v>
      </c>
      <c r="C855" s="1" t="s">
        <v>1413</v>
      </c>
      <c r="D855" s="1" t="s">
        <v>156</v>
      </c>
      <c r="E855" s="1" t="s">
        <v>1414</v>
      </c>
      <c r="F855" s="1" t="s">
        <v>1415</v>
      </c>
      <c r="G855" s="1">
        <v>2016</v>
      </c>
      <c r="H855" s="1" t="s">
        <v>1416</v>
      </c>
      <c r="I855" s="1" t="str">
        <f>HYPERLINK("http://dx.doi.org/10.1038/srep22687","http://dx.doi.org/10.1038/srep22687")</f>
        <v>http://dx.doi.org/10.1038/srep22687</v>
      </c>
      <c r="V855" s="6"/>
      <c r="W855" s="28"/>
      <c r="X855" s="28"/>
      <c r="Y855" s="6"/>
      <c r="Z855" s="28"/>
      <c r="AA855" s="28"/>
      <c r="AB855" s="28"/>
    </row>
    <row r="856" spans="1:28" ht="252" x14ac:dyDescent="0.15">
      <c r="A856" s="1" t="s">
        <v>9</v>
      </c>
      <c r="B856" s="4" t="s">
        <v>2258</v>
      </c>
      <c r="C856" s="1" t="s">
        <v>2259</v>
      </c>
      <c r="D856" s="1" t="s">
        <v>110</v>
      </c>
      <c r="E856" s="1" t="s">
        <v>2260</v>
      </c>
      <c r="F856" s="1" t="s">
        <v>21</v>
      </c>
      <c r="G856" s="1">
        <v>2025</v>
      </c>
      <c r="H856" s="1" t="s">
        <v>2261</v>
      </c>
      <c r="I856" s="1" t="str">
        <f>HYPERLINK("http://dx.doi.org/10.1016/j.aquatox.2025.107590","http://dx.doi.org/10.1016/j.aquatox.2025.107590")</f>
        <v>http://dx.doi.org/10.1016/j.aquatox.2025.107590</v>
      </c>
      <c r="V856" s="6"/>
      <c r="W856" s="28"/>
      <c r="X856" s="28"/>
      <c r="Y856" s="6"/>
      <c r="Z856" s="28"/>
      <c r="AA856" s="28"/>
      <c r="AB856" s="28"/>
    </row>
    <row r="857" spans="1:28" ht="252" x14ac:dyDescent="0.15">
      <c r="A857" s="1" t="s">
        <v>9</v>
      </c>
      <c r="B857" s="4" t="s">
        <v>2737</v>
      </c>
      <c r="C857" s="1" t="s">
        <v>2738</v>
      </c>
      <c r="D857" s="1" t="s">
        <v>156</v>
      </c>
      <c r="E857" s="1" t="s">
        <v>2739</v>
      </c>
      <c r="F857" s="1" t="s">
        <v>2740</v>
      </c>
      <c r="G857" s="1">
        <v>2015</v>
      </c>
      <c r="H857" s="1" t="s">
        <v>2741</v>
      </c>
      <c r="I857" s="1" t="str">
        <f>HYPERLINK("http://dx.doi.org/10.1038/srep17763","http://dx.doi.org/10.1038/srep17763")</f>
        <v>http://dx.doi.org/10.1038/srep17763</v>
      </c>
      <c r="V857" s="6"/>
      <c r="W857" s="28"/>
      <c r="X857" s="28"/>
      <c r="Y857" s="6"/>
      <c r="Z857" s="28"/>
      <c r="AA857" s="28"/>
      <c r="AB857" s="28"/>
    </row>
    <row r="858" spans="1:28" ht="397" x14ac:dyDescent="0.15">
      <c r="A858" s="1" t="s">
        <v>9</v>
      </c>
      <c r="B858" s="4" t="s">
        <v>2156</v>
      </c>
      <c r="C858" s="1" t="s">
        <v>2157</v>
      </c>
      <c r="D858" s="1" t="s">
        <v>142</v>
      </c>
      <c r="E858" s="1" t="s">
        <v>2158</v>
      </c>
      <c r="F858" s="1" t="s">
        <v>96</v>
      </c>
      <c r="G858" s="1">
        <v>2023</v>
      </c>
      <c r="H858" s="1" t="s">
        <v>2159</v>
      </c>
      <c r="I858" s="1" t="str">
        <f>HYPERLINK("http://dx.doi.org/10.1016/j.fsi.2023.109055","http://dx.doi.org/10.1016/j.fsi.2023.109055")</f>
        <v>http://dx.doi.org/10.1016/j.fsi.2023.109055</v>
      </c>
      <c r="V858" s="6"/>
      <c r="W858" s="28"/>
      <c r="X858" s="28"/>
      <c r="Y858" s="6"/>
      <c r="Z858" s="28"/>
      <c r="AA858" s="28"/>
      <c r="AB858" s="28"/>
    </row>
    <row r="859" spans="1:28" ht="280" x14ac:dyDescent="0.15">
      <c r="A859" s="1" t="s">
        <v>9</v>
      </c>
      <c r="B859" s="4" t="s">
        <v>1211</v>
      </c>
      <c r="C859" s="1" t="s">
        <v>1212</v>
      </c>
      <c r="D859" s="1" t="s">
        <v>260</v>
      </c>
      <c r="E859" s="1" t="s">
        <v>1213</v>
      </c>
      <c r="F859" s="1" t="s">
        <v>302</v>
      </c>
      <c r="G859" s="1">
        <v>2025</v>
      </c>
      <c r="H859" s="1" t="s">
        <v>1214</v>
      </c>
      <c r="I859" s="1" t="str">
        <f>HYPERLINK("http://dx.doi.org/10.1016/j.aquaculture.2024.742017","http://dx.doi.org/10.1016/j.aquaculture.2024.742017")</f>
        <v>http://dx.doi.org/10.1016/j.aquaculture.2024.742017</v>
      </c>
      <c r="V859" s="6"/>
      <c r="W859" s="28"/>
      <c r="X859" s="28"/>
      <c r="Y859" s="6"/>
      <c r="Z859" s="28"/>
      <c r="AA859" s="28"/>
      <c r="AB859" s="28"/>
    </row>
    <row r="860" spans="1:28" ht="196" x14ac:dyDescent="0.15">
      <c r="A860" s="1" t="s">
        <v>9</v>
      </c>
      <c r="B860" s="4" t="s">
        <v>2125</v>
      </c>
      <c r="C860" s="1" t="s">
        <v>2126</v>
      </c>
      <c r="D860" s="1" t="s">
        <v>142</v>
      </c>
      <c r="E860" s="1" t="s">
        <v>2127</v>
      </c>
      <c r="F860" s="1" t="s">
        <v>221</v>
      </c>
      <c r="G860" s="1">
        <v>2018</v>
      </c>
      <c r="H860" s="1" t="s">
        <v>2128</v>
      </c>
      <c r="I860" s="1" t="str">
        <f>HYPERLINK("http://dx.doi.org/10.1016/j.fsi.2017.10.031","http://dx.doi.org/10.1016/j.fsi.2017.10.031")</f>
        <v>http://dx.doi.org/10.1016/j.fsi.2017.10.031</v>
      </c>
      <c r="V860" s="6"/>
      <c r="W860" s="28"/>
      <c r="X860" s="28"/>
      <c r="Y860" s="6"/>
      <c r="Z860" s="28"/>
      <c r="AA860" s="28"/>
      <c r="AB860" s="28"/>
    </row>
    <row r="861" spans="1:28" x14ac:dyDescent="0.15">
      <c r="V861" s="6"/>
      <c r="W861" s="28"/>
      <c r="X861" s="28"/>
      <c r="Y861" s="6"/>
      <c r="Z861" s="28"/>
      <c r="AA861" s="28"/>
      <c r="AB861" s="28"/>
    </row>
    <row r="862" spans="1:28" x14ac:dyDescent="0.15">
      <c r="V862" s="6"/>
      <c r="W862" s="28"/>
      <c r="X862" s="28"/>
      <c r="Y862" s="6"/>
      <c r="Z862" s="28"/>
      <c r="AA862" s="28"/>
      <c r="AB862" s="28"/>
    </row>
    <row r="863" spans="1:28" x14ac:dyDescent="0.15">
      <c r="V863" s="6"/>
      <c r="W863" s="28"/>
      <c r="X863" s="28"/>
      <c r="Y863" s="6"/>
      <c r="Z863" s="28"/>
      <c r="AA863" s="28"/>
      <c r="AB863" s="28"/>
    </row>
    <row r="864" spans="1:28" x14ac:dyDescent="0.15">
      <c r="V864" s="6"/>
      <c r="W864" s="28"/>
      <c r="X864" s="28"/>
      <c r="Y864" s="6"/>
      <c r="Z864" s="28"/>
      <c r="AA864" s="28"/>
      <c r="AB864" s="28"/>
    </row>
    <row r="865" spans="22:28" x14ac:dyDescent="0.15">
      <c r="V865" s="6"/>
      <c r="W865" s="28"/>
      <c r="X865" s="28"/>
      <c r="Y865" s="6"/>
      <c r="Z865" s="28"/>
      <c r="AA865" s="28"/>
      <c r="AB865" s="28"/>
    </row>
    <row r="866" spans="22:28" x14ac:dyDescent="0.15">
      <c r="V866" s="6"/>
      <c r="W866" s="28"/>
      <c r="X866" s="28"/>
      <c r="Y866" s="6"/>
      <c r="Z866" s="28"/>
      <c r="AA866" s="28"/>
      <c r="AB866" s="28"/>
    </row>
    <row r="867" spans="22:28" x14ac:dyDescent="0.15">
      <c r="V867" s="6"/>
      <c r="W867" s="28"/>
      <c r="X867" s="28"/>
      <c r="Y867" s="6"/>
      <c r="Z867" s="28"/>
      <c r="AA867" s="28"/>
      <c r="AB867" s="28"/>
    </row>
    <row r="868" spans="22:28" x14ac:dyDescent="0.15">
      <c r="V868" s="6"/>
      <c r="W868" s="28"/>
      <c r="X868" s="28"/>
      <c r="Y868" s="6"/>
      <c r="Z868" s="28"/>
      <c r="AA868" s="28"/>
      <c r="AB868" s="28"/>
    </row>
    <row r="869" spans="22:28" x14ac:dyDescent="0.15">
      <c r="V869" s="6"/>
      <c r="W869" s="28"/>
      <c r="X869" s="28"/>
      <c r="Y869" s="6"/>
      <c r="Z869" s="28"/>
      <c r="AA869" s="28"/>
      <c r="AB869" s="28"/>
    </row>
    <row r="870" spans="22:28" x14ac:dyDescent="0.15">
      <c r="V870" s="6"/>
      <c r="W870" s="28"/>
      <c r="X870" s="28"/>
      <c r="Y870" s="6"/>
      <c r="Z870" s="28"/>
      <c r="AA870" s="28"/>
      <c r="AB870" s="28"/>
    </row>
    <row r="871" spans="22:28" x14ac:dyDescent="0.15">
      <c r="V871" s="6"/>
      <c r="W871" s="28"/>
      <c r="X871" s="28"/>
      <c r="Y871" s="6"/>
      <c r="Z871" s="28"/>
      <c r="AA871" s="28"/>
      <c r="AB871" s="28"/>
    </row>
    <row r="872" spans="22:28" x14ac:dyDescent="0.15">
      <c r="V872" s="6"/>
      <c r="W872" s="28"/>
      <c r="X872" s="28"/>
      <c r="Y872" s="6"/>
      <c r="Z872" s="28"/>
      <c r="AA872" s="28"/>
      <c r="AB872" s="28"/>
    </row>
    <row r="873" spans="22:28" x14ac:dyDescent="0.15">
      <c r="V873" s="6"/>
      <c r="W873" s="28"/>
      <c r="X873" s="28"/>
      <c r="Y873" s="6"/>
      <c r="Z873" s="28"/>
      <c r="AA873" s="28"/>
      <c r="AB873" s="28"/>
    </row>
    <row r="874" spans="22:28" x14ac:dyDescent="0.15">
      <c r="V874" s="6"/>
      <c r="W874" s="28"/>
      <c r="X874" s="28"/>
      <c r="Y874" s="6"/>
      <c r="Z874" s="28"/>
      <c r="AA874" s="28"/>
      <c r="AB874" s="28"/>
    </row>
    <row r="875" spans="22:28" x14ac:dyDescent="0.15">
      <c r="V875" s="6"/>
      <c r="W875" s="28"/>
      <c r="X875" s="28"/>
      <c r="Y875" s="6"/>
      <c r="Z875" s="28"/>
      <c r="AA875" s="28"/>
      <c r="AB875" s="28"/>
    </row>
    <row r="876" spans="22:28" x14ac:dyDescent="0.15">
      <c r="V876" s="6"/>
      <c r="W876" s="28"/>
      <c r="X876" s="28"/>
      <c r="Y876" s="6"/>
      <c r="Z876" s="28"/>
      <c r="AA876" s="28"/>
      <c r="AB876" s="28"/>
    </row>
    <row r="877" spans="22:28" x14ac:dyDescent="0.15">
      <c r="V877" s="6"/>
      <c r="W877" s="28"/>
      <c r="X877" s="28"/>
      <c r="Y877" s="6"/>
      <c r="Z877" s="28"/>
      <c r="AA877" s="28"/>
      <c r="AB877" s="28"/>
    </row>
    <row r="878" spans="22:28" x14ac:dyDescent="0.15">
      <c r="V878" s="6"/>
      <c r="W878" s="28"/>
      <c r="X878" s="28"/>
      <c r="Y878" s="6"/>
      <c r="Z878" s="28"/>
      <c r="AA878" s="28"/>
      <c r="AB878" s="28"/>
    </row>
    <row r="879" spans="22:28" x14ac:dyDescent="0.15">
      <c r="V879" s="6"/>
      <c r="W879" s="28"/>
      <c r="X879" s="28"/>
      <c r="Y879" s="6"/>
      <c r="Z879" s="28"/>
      <c r="AA879" s="28"/>
      <c r="AB879" s="28"/>
    </row>
    <row r="880" spans="22:28" x14ac:dyDescent="0.15">
      <c r="V880" s="6"/>
      <c r="W880" s="28"/>
      <c r="X880" s="28"/>
      <c r="Y880" s="6"/>
      <c r="Z880" s="28"/>
      <c r="AA880" s="28"/>
      <c r="AB880" s="28"/>
    </row>
    <row r="881" spans="22:28" x14ac:dyDescent="0.15">
      <c r="V881" s="6"/>
      <c r="W881" s="28"/>
      <c r="X881" s="28"/>
      <c r="Y881" s="6"/>
      <c r="Z881" s="28"/>
      <c r="AA881" s="28"/>
      <c r="AB881" s="28"/>
    </row>
    <row r="882" spans="22:28" x14ac:dyDescent="0.15">
      <c r="V882" s="6"/>
      <c r="W882" s="28"/>
      <c r="X882" s="28"/>
      <c r="Y882" s="6"/>
      <c r="Z882" s="28"/>
      <c r="AA882" s="28"/>
      <c r="AB882" s="28"/>
    </row>
    <row r="883" spans="22:28" x14ac:dyDescent="0.15">
      <c r="V883" s="6"/>
      <c r="W883" s="28"/>
      <c r="X883" s="28"/>
      <c r="Y883" s="6"/>
      <c r="Z883" s="28"/>
      <c r="AA883" s="28"/>
      <c r="AB883" s="28"/>
    </row>
    <row r="884" spans="22:28" x14ac:dyDescent="0.15">
      <c r="V884" s="6"/>
      <c r="W884" s="28"/>
      <c r="X884" s="28"/>
      <c r="Y884" s="6"/>
      <c r="Z884" s="28"/>
      <c r="AA884" s="28"/>
      <c r="AB884" s="28"/>
    </row>
    <row r="885" spans="22:28" x14ac:dyDescent="0.15">
      <c r="V885" s="6"/>
      <c r="W885" s="28"/>
      <c r="X885" s="28"/>
      <c r="Y885" s="6"/>
      <c r="Z885" s="28"/>
      <c r="AA885" s="28"/>
      <c r="AB885" s="28"/>
    </row>
    <row r="886" spans="22:28" x14ac:dyDescent="0.15">
      <c r="V886" s="6"/>
      <c r="W886" s="28"/>
      <c r="X886" s="28"/>
      <c r="Y886" s="6"/>
      <c r="Z886" s="28"/>
      <c r="AA886" s="28"/>
      <c r="AB886" s="28"/>
    </row>
    <row r="887" spans="22:28" x14ac:dyDescent="0.15">
      <c r="V887" s="6"/>
      <c r="W887" s="28"/>
      <c r="X887" s="28"/>
      <c r="Y887" s="6"/>
      <c r="Z887" s="28"/>
      <c r="AA887" s="28"/>
      <c r="AB887" s="28"/>
    </row>
    <row r="888" spans="22:28" x14ac:dyDescent="0.15">
      <c r="V888" s="6"/>
      <c r="W888" s="28"/>
      <c r="X888" s="28"/>
      <c r="Y888" s="6"/>
      <c r="Z888" s="28"/>
      <c r="AA888" s="28"/>
      <c r="AB888" s="28"/>
    </row>
    <row r="889" spans="22:28" x14ac:dyDescent="0.15">
      <c r="V889" s="6"/>
      <c r="W889" s="28"/>
      <c r="X889" s="28"/>
      <c r="Y889" s="6"/>
      <c r="Z889" s="28"/>
      <c r="AA889" s="28"/>
      <c r="AB889" s="28"/>
    </row>
    <row r="890" spans="22:28" x14ac:dyDescent="0.15">
      <c r="V890" s="6"/>
      <c r="W890" s="28"/>
      <c r="X890" s="28"/>
      <c r="Y890" s="6"/>
      <c r="Z890" s="28"/>
      <c r="AA890" s="28"/>
      <c r="AB890" s="28"/>
    </row>
    <row r="891" spans="22:28" x14ac:dyDescent="0.15">
      <c r="V891" s="6"/>
      <c r="W891" s="28"/>
      <c r="X891" s="28"/>
      <c r="Y891" s="6"/>
      <c r="Z891" s="28"/>
      <c r="AA891" s="28"/>
      <c r="AB891" s="28"/>
    </row>
    <row r="892" spans="22:28" x14ac:dyDescent="0.15">
      <c r="V892" s="6"/>
      <c r="W892" s="28"/>
      <c r="X892" s="28"/>
      <c r="Y892" s="6"/>
      <c r="Z892" s="28"/>
      <c r="AA892" s="28"/>
      <c r="AB892" s="28"/>
    </row>
    <row r="893" spans="22:28" x14ac:dyDescent="0.15">
      <c r="V893" s="6"/>
      <c r="W893" s="28"/>
      <c r="X893" s="28"/>
      <c r="Y893" s="6"/>
      <c r="Z893" s="28"/>
      <c r="AA893" s="28"/>
      <c r="AB893" s="28"/>
    </row>
    <row r="894" spans="22:28" x14ac:dyDescent="0.15">
      <c r="V894" s="6"/>
      <c r="W894" s="28"/>
      <c r="X894" s="28"/>
      <c r="Y894" s="6"/>
      <c r="Z894" s="28"/>
      <c r="AA894" s="28"/>
      <c r="AB894" s="28"/>
    </row>
    <row r="895" spans="22:28" x14ac:dyDescent="0.15">
      <c r="V895" s="6"/>
      <c r="W895" s="28"/>
      <c r="X895" s="28"/>
      <c r="Y895" s="6"/>
      <c r="Z895" s="28"/>
      <c r="AA895" s="28"/>
      <c r="AB895" s="28"/>
    </row>
    <row r="896" spans="22:28" x14ac:dyDescent="0.15">
      <c r="V896" s="6"/>
      <c r="W896" s="28"/>
      <c r="X896" s="28"/>
      <c r="Y896" s="6"/>
      <c r="Z896" s="28"/>
      <c r="AA896" s="28"/>
      <c r="AB896" s="28"/>
    </row>
    <row r="897" spans="22:28" x14ac:dyDescent="0.15">
      <c r="V897" s="6"/>
      <c r="W897" s="28"/>
      <c r="X897" s="28"/>
      <c r="Y897" s="6"/>
      <c r="Z897" s="28"/>
      <c r="AA897" s="28"/>
      <c r="AB897" s="28"/>
    </row>
    <row r="898" spans="22:28" x14ac:dyDescent="0.15">
      <c r="V898" s="6"/>
      <c r="W898" s="28"/>
      <c r="X898" s="28"/>
      <c r="Y898" s="6"/>
      <c r="Z898" s="28"/>
      <c r="AA898" s="28"/>
      <c r="AB898" s="28"/>
    </row>
    <row r="899" spans="22:28" x14ac:dyDescent="0.15">
      <c r="V899" s="6"/>
      <c r="W899" s="28"/>
      <c r="X899" s="28"/>
      <c r="Y899" s="6"/>
      <c r="Z899" s="28"/>
      <c r="AA899" s="28"/>
      <c r="AB899" s="28"/>
    </row>
    <row r="900" spans="22:28" x14ac:dyDescent="0.15">
      <c r="V900" s="6"/>
      <c r="W900" s="28"/>
      <c r="X900" s="28"/>
      <c r="Y900" s="6"/>
      <c r="Z900" s="28"/>
      <c r="AA900" s="28"/>
      <c r="AB900" s="28"/>
    </row>
    <row r="901" spans="22:28" x14ac:dyDescent="0.15">
      <c r="V901" s="6"/>
      <c r="W901" s="28"/>
      <c r="X901" s="28"/>
      <c r="Y901" s="6"/>
      <c r="Z901" s="28"/>
      <c r="AA901" s="28"/>
      <c r="AB901" s="28"/>
    </row>
    <row r="902" spans="22:28" x14ac:dyDescent="0.15">
      <c r="V902" s="6"/>
      <c r="W902" s="28"/>
      <c r="X902" s="28"/>
      <c r="Y902" s="6"/>
      <c r="Z902" s="28"/>
      <c r="AA902" s="28"/>
      <c r="AB902" s="28"/>
    </row>
    <row r="903" spans="22:28" x14ac:dyDescent="0.15">
      <c r="V903" s="6"/>
      <c r="W903" s="28"/>
      <c r="X903" s="28"/>
      <c r="Y903" s="6"/>
      <c r="Z903" s="28"/>
      <c r="AA903" s="28"/>
      <c r="AB903" s="28"/>
    </row>
    <row r="904" spans="22:28" x14ac:dyDescent="0.15">
      <c r="V904" s="6"/>
      <c r="W904" s="28"/>
      <c r="X904" s="28"/>
      <c r="Y904" s="6"/>
      <c r="Z904" s="28"/>
      <c r="AA904" s="28"/>
      <c r="AB904" s="28"/>
    </row>
    <row r="905" spans="22:28" x14ac:dyDescent="0.15">
      <c r="V905" s="6"/>
      <c r="W905" s="28"/>
      <c r="X905" s="28"/>
      <c r="Y905" s="6"/>
      <c r="Z905" s="28"/>
      <c r="AA905" s="28"/>
      <c r="AB905" s="28"/>
    </row>
    <row r="906" spans="22:28" x14ac:dyDescent="0.15">
      <c r="V906" s="6"/>
      <c r="W906" s="28"/>
      <c r="X906" s="28"/>
      <c r="Y906" s="6"/>
      <c r="Z906" s="28"/>
      <c r="AA906" s="28"/>
      <c r="AB906" s="28"/>
    </row>
    <row r="907" spans="22:28" x14ac:dyDescent="0.15">
      <c r="V907" s="6"/>
      <c r="W907" s="28"/>
      <c r="X907" s="28"/>
      <c r="Y907" s="6"/>
      <c r="Z907" s="28"/>
      <c r="AA907" s="28"/>
      <c r="AB907" s="28"/>
    </row>
    <row r="908" spans="22:28" x14ac:dyDescent="0.15">
      <c r="V908" s="6"/>
      <c r="W908" s="28"/>
      <c r="X908" s="28"/>
      <c r="Y908" s="6"/>
      <c r="Z908" s="28"/>
      <c r="AA908" s="28"/>
      <c r="AB908" s="28"/>
    </row>
    <row r="909" spans="22:28" x14ac:dyDescent="0.15">
      <c r="V909" s="6"/>
      <c r="W909" s="28"/>
      <c r="X909" s="28"/>
      <c r="Y909" s="6"/>
      <c r="Z909" s="28"/>
      <c r="AA909" s="28"/>
      <c r="AB909" s="28"/>
    </row>
    <row r="910" spans="22:28" x14ac:dyDescent="0.15">
      <c r="V910" s="6"/>
      <c r="W910" s="28"/>
      <c r="X910" s="28"/>
      <c r="Y910" s="6"/>
      <c r="Z910" s="28"/>
      <c r="AA910" s="28"/>
      <c r="AB910" s="28"/>
    </row>
    <row r="911" spans="22:28" x14ac:dyDescent="0.15">
      <c r="V911" s="6"/>
      <c r="W911" s="28"/>
      <c r="X911" s="28"/>
      <c r="Y911" s="6"/>
      <c r="Z911" s="28"/>
      <c r="AA911" s="28"/>
      <c r="AB911" s="28"/>
    </row>
    <row r="912" spans="22:28" x14ac:dyDescent="0.15">
      <c r="V912" s="6"/>
      <c r="W912" s="28"/>
      <c r="X912" s="28"/>
      <c r="Y912" s="6"/>
      <c r="Z912" s="28"/>
      <c r="AA912" s="28"/>
      <c r="AB912" s="28"/>
    </row>
    <row r="913" spans="22:28" x14ac:dyDescent="0.15">
      <c r="V913" s="6"/>
      <c r="W913" s="28"/>
      <c r="X913" s="28"/>
      <c r="Y913" s="6"/>
      <c r="Z913" s="28"/>
      <c r="AA913" s="28"/>
      <c r="AB913" s="28"/>
    </row>
    <row r="914" spans="22:28" x14ac:dyDescent="0.15">
      <c r="V914" s="6"/>
      <c r="W914" s="28"/>
      <c r="X914" s="28"/>
      <c r="Y914" s="6"/>
      <c r="Z914" s="28"/>
      <c r="AA914" s="28"/>
      <c r="AB914" s="28"/>
    </row>
    <row r="915" spans="22:28" x14ac:dyDescent="0.15">
      <c r="V915" s="6"/>
      <c r="W915" s="28"/>
      <c r="X915" s="28"/>
      <c r="Y915" s="6"/>
      <c r="Z915" s="28"/>
      <c r="AA915" s="28"/>
      <c r="AB915" s="28"/>
    </row>
    <row r="916" spans="22:28" x14ac:dyDescent="0.15">
      <c r="V916" s="6"/>
      <c r="W916" s="28"/>
      <c r="X916" s="28"/>
      <c r="Y916" s="6"/>
      <c r="Z916" s="28"/>
      <c r="AA916" s="28"/>
      <c r="AB916" s="28"/>
    </row>
    <row r="917" spans="22:28" x14ac:dyDescent="0.15">
      <c r="V917" s="6"/>
      <c r="W917" s="28"/>
      <c r="X917" s="28"/>
      <c r="Y917" s="6"/>
      <c r="Z917" s="28"/>
      <c r="AA917" s="28"/>
      <c r="AB917" s="28"/>
    </row>
    <row r="918" spans="22:28" x14ac:dyDescent="0.15">
      <c r="V918" s="6"/>
      <c r="W918" s="28"/>
      <c r="X918" s="28"/>
      <c r="Y918" s="6"/>
      <c r="Z918" s="28"/>
      <c r="AA918" s="28"/>
      <c r="AB918" s="28"/>
    </row>
    <row r="919" spans="22:28" x14ac:dyDescent="0.15">
      <c r="V919" s="6"/>
      <c r="W919" s="28"/>
      <c r="X919" s="28"/>
      <c r="Y919" s="6"/>
      <c r="Z919" s="28"/>
      <c r="AA919" s="28"/>
      <c r="AB919" s="28"/>
    </row>
    <row r="920" spans="22:28" x14ac:dyDescent="0.15">
      <c r="V920" s="6"/>
      <c r="W920" s="28"/>
      <c r="X920" s="28"/>
      <c r="Y920" s="6"/>
      <c r="Z920" s="28"/>
      <c r="AA920" s="28"/>
      <c r="AB920" s="28"/>
    </row>
    <row r="921" spans="22:28" x14ac:dyDescent="0.15">
      <c r="V921" s="6"/>
      <c r="W921" s="28"/>
      <c r="X921" s="28"/>
      <c r="Y921" s="6"/>
      <c r="Z921" s="28"/>
      <c r="AA921" s="28"/>
      <c r="AB921" s="28"/>
    </row>
    <row r="922" spans="22:28" x14ac:dyDescent="0.15">
      <c r="V922" s="6"/>
      <c r="W922" s="28"/>
      <c r="X922" s="28"/>
      <c r="Y922" s="6"/>
      <c r="Z922" s="28"/>
      <c r="AA922" s="28"/>
      <c r="AB922" s="28"/>
    </row>
    <row r="923" spans="22:28" x14ac:dyDescent="0.15">
      <c r="V923" s="6"/>
      <c r="W923" s="28"/>
      <c r="X923" s="28"/>
      <c r="Y923" s="6"/>
      <c r="Z923" s="28"/>
      <c r="AA923" s="28"/>
      <c r="AB923" s="28"/>
    </row>
    <row r="924" spans="22:28" x14ac:dyDescent="0.15">
      <c r="V924" s="6"/>
      <c r="W924" s="28"/>
      <c r="X924" s="28"/>
      <c r="Y924" s="6"/>
      <c r="Z924" s="28"/>
      <c r="AA924" s="28"/>
      <c r="AB924" s="28"/>
    </row>
    <row r="925" spans="22:28" x14ac:dyDescent="0.15">
      <c r="V925" s="6"/>
      <c r="W925" s="28"/>
      <c r="X925" s="28"/>
      <c r="Y925" s="6"/>
      <c r="Z925" s="28"/>
      <c r="AA925" s="28"/>
      <c r="AB925" s="28"/>
    </row>
    <row r="926" spans="22:28" x14ac:dyDescent="0.15">
      <c r="V926" s="6"/>
      <c r="W926" s="28"/>
      <c r="X926" s="28"/>
      <c r="Y926" s="6"/>
      <c r="Z926" s="28"/>
      <c r="AA926" s="28"/>
      <c r="AB926" s="28"/>
    </row>
    <row r="927" spans="22:28" x14ac:dyDescent="0.15">
      <c r="V927" s="6"/>
      <c r="W927" s="28"/>
      <c r="X927" s="28"/>
      <c r="Y927" s="6"/>
      <c r="Z927" s="28"/>
      <c r="AA927" s="28"/>
      <c r="AB927" s="28"/>
    </row>
    <row r="928" spans="22:28" x14ac:dyDescent="0.15">
      <c r="V928" s="6"/>
      <c r="W928" s="28"/>
      <c r="X928" s="28"/>
      <c r="Y928" s="6"/>
      <c r="Z928" s="28"/>
      <c r="AA928" s="28"/>
      <c r="AB928" s="28"/>
    </row>
    <row r="929" spans="22:28" x14ac:dyDescent="0.15">
      <c r="V929" s="6"/>
      <c r="W929" s="28"/>
      <c r="X929" s="28"/>
      <c r="Y929" s="6"/>
      <c r="Z929" s="28"/>
      <c r="AA929" s="28"/>
      <c r="AB929" s="28"/>
    </row>
    <row r="930" spans="22:28" x14ac:dyDescent="0.15">
      <c r="V930" s="6"/>
      <c r="W930" s="28"/>
      <c r="X930" s="28"/>
      <c r="Y930" s="6"/>
      <c r="Z930" s="28"/>
      <c r="AA930" s="28"/>
      <c r="AB930" s="28"/>
    </row>
    <row r="931" spans="22:28" x14ac:dyDescent="0.15">
      <c r="V931" s="6"/>
      <c r="W931" s="28"/>
      <c r="X931" s="28"/>
      <c r="Y931" s="6"/>
      <c r="Z931" s="28"/>
      <c r="AA931" s="28"/>
      <c r="AB931" s="28"/>
    </row>
    <row r="932" spans="22:28" x14ac:dyDescent="0.15">
      <c r="V932" s="6"/>
      <c r="W932" s="28"/>
      <c r="X932" s="28"/>
      <c r="Y932" s="28"/>
      <c r="Z932" s="28"/>
      <c r="AA932" s="28"/>
      <c r="AB932" s="28"/>
    </row>
    <row r="933" spans="22:28" x14ac:dyDescent="0.15">
      <c r="V933" s="6"/>
      <c r="W933" s="28"/>
      <c r="X933" s="28"/>
      <c r="Y933" s="28"/>
      <c r="Z933" s="28"/>
      <c r="AA933" s="28"/>
      <c r="AB933" s="28"/>
    </row>
    <row r="934" spans="22:28" x14ac:dyDescent="0.15">
      <c r="V934" s="6"/>
      <c r="W934" s="28"/>
      <c r="X934" s="28"/>
      <c r="Y934" s="28"/>
      <c r="Z934" s="28"/>
      <c r="AA934" s="28"/>
      <c r="AB934" s="28"/>
    </row>
    <row r="935" spans="22:28" x14ac:dyDescent="0.15">
      <c r="V935" s="6"/>
      <c r="W935" s="28"/>
      <c r="X935" s="28"/>
      <c r="Y935" s="28"/>
      <c r="Z935" s="28"/>
      <c r="AA935" s="28"/>
      <c r="AB935" s="28"/>
    </row>
    <row r="936" spans="22:28" x14ac:dyDescent="0.15">
      <c r="V936" s="6"/>
      <c r="W936" s="28"/>
      <c r="X936" s="28"/>
      <c r="Y936" s="28"/>
      <c r="Z936" s="28"/>
      <c r="AA936" s="28"/>
      <c r="AB936" s="28"/>
    </row>
    <row r="937" spans="22:28" x14ac:dyDescent="0.15">
      <c r="V937" s="6"/>
      <c r="W937" s="28"/>
      <c r="X937" s="28"/>
      <c r="Y937" s="28"/>
      <c r="Z937" s="28"/>
      <c r="AA937" s="28"/>
      <c r="AB937" s="28"/>
    </row>
    <row r="938" spans="22:28" x14ac:dyDescent="0.15">
      <c r="V938" s="6"/>
      <c r="W938" s="28"/>
      <c r="X938" s="28"/>
      <c r="Y938" s="28"/>
      <c r="Z938" s="28"/>
      <c r="AA938" s="28"/>
      <c r="AB938" s="28"/>
    </row>
    <row r="939" spans="22:28" x14ac:dyDescent="0.15">
      <c r="V939" s="6"/>
      <c r="W939" s="28"/>
      <c r="X939" s="28"/>
      <c r="Y939" s="28"/>
      <c r="Z939" s="28"/>
      <c r="AA939" s="28"/>
      <c r="AB939" s="28"/>
    </row>
    <row r="940" spans="22:28" x14ac:dyDescent="0.15">
      <c r="V940" s="6"/>
      <c r="W940" s="28"/>
      <c r="X940" s="28"/>
      <c r="Y940" s="28"/>
      <c r="Z940" s="28"/>
      <c r="AA940" s="28"/>
      <c r="AB940" s="28"/>
    </row>
    <row r="941" spans="22:28" x14ac:dyDescent="0.15">
      <c r="V941" s="6"/>
      <c r="W941" s="28"/>
      <c r="X941" s="28"/>
      <c r="Y941" s="28"/>
      <c r="Z941" s="28"/>
      <c r="AA941" s="28"/>
      <c r="AB941" s="28"/>
    </row>
    <row r="942" spans="22:28" x14ac:dyDescent="0.15">
      <c r="V942" s="6"/>
      <c r="W942" s="28"/>
      <c r="X942" s="28"/>
      <c r="Y942" s="28"/>
      <c r="Z942" s="28"/>
      <c r="AA942" s="28"/>
      <c r="AB942" s="28"/>
    </row>
    <row r="943" spans="22:28" x14ac:dyDescent="0.15">
      <c r="V943" s="6"/>
      <c r="W943" s="28"/>
      <c r="X943" s="28"/>
      <c r="Y943" s="28"/>
      <c r="Z943" s="28"/>
      <c r="AA943" s="28"/>
      <c r="AB943" s="28"/>
    </row>
    <row r="944" spans="22:28" x14ac:dyDescent="0.15">
      <c r="V944" s="6"/>
      <c r="W944" s="28"/>
      <c r="X944" s="28"/>
      <c r="Y944" s="28"/>
      <c r="Z944" s="28"/>
      <c r="AA944" s="28"/>
      <c r="AB944" s="28"/>
    </row>
    <row r="945" spans="22:28" x14ac:dyDescent="0.15">
      <c r="V945" s="6"/>
      <c r="W945" s="28"/>
      <c r="X945" s="28"/>
      <c r="Y945" s="28"/>
      <c r="Z945" s="28"/>
      <c r="AA945" s="28"/>
      <c r="AB945" s="28"/>
    </row>
    <row r="946" spans="22:28" x14ac:dyDescent="0.15">
      <c r="V946" s="6"/>
      <c r="W946" s="28"/>
      <c r="X946" s="28"/>
      <c r="Y946" s="28"/>
      <c r="Z946" s="28"/>
      <c r="AA946" s="28"/>
      <c r="AB946" s="28"/>
    </row>
    <row r="947" spans="22:28" x14ac:dyDescent="0.15">
      <c r="V947" s="6"/>
      <c r="W947" s="28"/>
      <c r="X947" s="28"/>
      <c r="Y947" s="28"/>
      <c r="Z947" s="28"/>
      <c r="AA947" s="28"/>
      <c r="AB947" s="28"/>
    </row>
    <row r="948" spans="22:28" x14ac:dyDescent="0.15">
      <c r="V948" s="6"/>
      <c r="W948" s="28"/>
      <c r="X948" s="28"/>
      <c r="Y948" s="28"/>
      <c r="Z948" s="28"/>
      <c r="AA948" s="28"/>
      <c r="AB948" s="28"/>
    </row>
    <row r="949" spans="22:28" x14ac:dyDescent="0.15">
      <c r="V949" s="6"/>
      <c r="W949" s="28"/>
      <c r="X949" s="28"/>
      <c r="Y949" s="28"/>
      <c r="Z949" s="28"/>
      <c r="AA949" s="28"/>
      <c r="AB949" s="28"/>
    </row>
    <row r="950" spans="22:28" x14ac:dyDescent="0.15">
      <c r="V950" s="6"/>
      <c r="W950" s="28"/>
      <c r="X950" s="28"/>
      <c r="Y950" s="28"/>
      <c r="Z950" s="28"/>
      <c r="AA950" s="28"/>
      <c r="AB950" s="28"/>
    </row>
    <row r="951" spans="22:28" x14ac:dyDescent="0.15">
      <c r="V951" s="6"/>
      <c r="W951" s="28"/>
      <c r="X951" s="28"/>
      <c r="Y951" s="28"/>
      <c r="Z951" s="28"/>
      <c r="AA951" s="28"/>
      <c r="AB951" s="28"/>
    </row>
    <row r="952" spans="22:28" x14ac:dyDescent="0.15">
      <c r="V952" s="6"/>
      <c r="W952" s="28"/>
      <c r="X952" s="28"/>
      <c r="Y952" s="28"/>
      <c r="Z952" s="28"/>
      <c r="AA952" s="28"/>
      <c r="AB952" s="28"/>
    </row>
    <row r="953" spans="22:28" x14ac:dyDescent="0.15">
      <c r="V953" s="6"/>
      <c r="W953" s="28"/>
      <c r="X953" s="28"/>
      <c r="Y953" s="28"/>
      <c r="Z953" s="28"/>
      <c r="AA953" s="28"/>
      <c r="AB953" s="28"/>
    </row>
    <row r="954" spans="22:28" x14ac:dyDescent="0.15">
      <c r="V954" s="6"/>
      <c r="W954" s="28"/>
      <c r="X954" s="28"/>
      <c r="Y954" s="28"/>
      <c r="Z954" s="28"/>
      <c r="AA954" s="28"/>
      <c r="AB954" s="28"/>
    </row>
    <row r="955" spans="22:28" x14ac:dyDescent="0.15">
      <c r="V955" s="6"/>
      <c r="W955" s="28"/>
      <c r="X955" s="28"/>
      <c r="Y955" s="28"/>
      <c r="Z955" s="28"/>
      <c r="AA955" s="28"/>
      <c r="AB955" s="28"/>
    </row>
    <row r="956" spans="22:28" x14ac:dyDescent="0.15">
      <c r="V956" s="6"/>
      <c r="W956" s="28"/>
      <c r="X956" s="28"/>
      <c r="Y956" s="28"/>
      <c r="Z956" s="28"/>
      <c r="AA956" s="28"/>
      <c r="AB956" s="28"/>
    </row>
    <row r="957" spans="22:28" x14ac:dyDescent="0.15">
      <c r="V957" s="6"/>
      <c r="W957" s="28"/>
      <c r="X957" s="28"/>
      <c r="Y957" s="28"/>
      <c r="Z957" s="28"/>
      <c r="AA957" s="28"/>
      <c r="AB957" s="28"/>
    </row>
    <row r="958" spans="22:28" x14ac:dyDescent="0.15">
      <c r="V958" s="6"/>
      <c r="W958" s="28"/>
      <c r="X958" s="28"/>
      <c r="Y958" s="28"/>
      <c r="Z958" s="28"/>
      <c r="AA958" s="28"/>
      <c r="AB958" s="28"/>
    </row>
    <row r="959" spans="22:28" x14ac:dyDescent="0.15">
      <c r="V959" s="6"/>
      <c r="W959" s="28"/>
      <c r="X959" s="28"/>
      <c r="Y959" s="28"/>
      <c r="Z959" s="28"/>
      <c r="AA959" s="28"/>
      <c r="AB959" s="28"/>
    </row>
    <row r="960" spans="22:28" x14ac:dyDescent="0.15">
      <c r="V960" s="6"/>
      <c r="W960" s="28"/>
      <c r="X960" s="28"/>
      <c r="Y960" s="28"/>
      <c r="Z960" s="28"/>
      <c r="AA960" s="28"/>
      <c r="AB960" s="28"/>
    </row>
    <row r="961" spans="22:28" x14ac:dyDescent="0.15">
      <c r="V961" s="6"/>
      <c r="W961" s="28"/>
      <c r="X961" s="28"/>
      <c r="Y961" s="28"/>
      <c r="Z961" s="28"/>
      <c r="AA961" s="28"/>
      <c r="AB961" s="28"/>
    </row>
    <row r="962" spans="22:28" x14ac:dyDescent="0.15">
      <c r="V962" s="6"/>
      <c r="W962" s="28"/>
      <c r="X962" s="28"/>
      <c r="Y962" s="28"/>
      <c r="Z962" s="28"/>
      <c r="AA962" s="28"/>
      <c r="AB962" s="28"/>
    </row>
    <row r="963" spans="22:28" x14ac:dyDescent="0.15">
      <c r="V963" s="6"/>
      <c r="W963" s="28"/>
      <c r="X963" s="28"/>
      <c r="Y963" s="28"/>
      <c r="Z963" s="28"/>
      <c r="AA963" s="28"/>
      <c r="AB963" s="28"/>
    </row>
    <row r="964" spans="22:28" x14ac:dyDescent="0.15">
      <c r="V964" s="6"/>
      <c r="W964" s="28"/>
      <c r="X964" s="28"/>
      <c r="Y964" s="28"/>
      <c r="Z964" s="28"/>
      <c r="AA964" s="28"/>
      <c r="AB964" s="28"/>
    </row>
    <row r="965" spans="22:28" x14ac:dyDescent="0.15">
      <c r="V965" s="6"/>
      <c r="W965" s="28"/>
      <c r="X965" s="28"/>
      <c r="Y965" s="28"/>
      <c r="Z965" s="28"/>
      <c r="AA965" s="28"/>
      <c r="AB965" s="28"/>
    </row>
    <row r="966" spans="22:28" x14ac:dyDescent="0.15">
      <c r="V966" s="6"/>
      <c r="W966" s="28"/>
      <c r="X966" s="28"/>
      <c r="Y966" s="28"/>
      <c r="Z966" s="28"/>
      <c r="AA966" s="28"/>
      <c r="AB966" s="28"/>
    </row>
    <row r="967" spans="22:28" x14ac:dyDescent="0.15">
      <c r="V967" s="6"/>
      <c r="W967" s="28"/>
      <c r="X967" s="28"/>
      <c r="Y967" s="28"/>
      <c r="Z967" s="28"/>
      <c r="AA967" s="28"/>
      <c r="AB967" s="28"/>
    </row>
    <row r="968" spans="22:28" x14ac:dyDescent="0.15">
      <c r="V968" s="6"/>
      <c r="W968" s="28"/>
      <c r="X968" s="28"/>
      <c r="Y968" s="28"/>
      <c r="Z968" s="28"/>
      <c r="AA968" s="28"/>
      <c r="AB968" s="28"/>
    </row>
    <row r="969" spans="22:28" x14ac:dyDescent="0.15">
      <c r="V969" s="6"/>
      <c r="W969" s="28"/>
      <c r="X969" s="28"/>
      <c r="Y969" s="28"/>
      <c r="Z969" s="28"/>
      <c r="AA969" s="28"/>
      <c r="AB969" s="28"/>
    </row>
    <row r="970" spans="22:28" x14ac:dyDescent="0.15">
      <c r="V970" s="6"/>
      <c r="W970" s="28"/>
      <c r="X970" s="28"/>
      <c r="Y970" s="28"/>
      <c r="Z970" s="28"/>
      <c r="AA970" s="28"/>
      <c r="AB970" s="28"/>
    </row>
    <row r="971" spans="22:28" x14ac:dyDescent="0.15">
      <c r="V971" s="6"/>
      <c r="W971" s="28"/>
      <c r="X971" s="28"/>
      <c r="Y971" s="28"/>
      <c r="Z971" s="28"/>
      <c r="AA971" s="28"/>
      <c r="AB971" s="28"/>
    </row>
    <row r="972" spans="22:28" x14ac:dyDescent="0.15">
      <c r="V972" s="6"/>
      <c r="W972" s="28"/>
      <c r="X972" s="28"/>
      <c r="Y972" s="28"/>
      <c r="Z972" s="28"/>
      <c r="AA972" s="28"/>
      <c r="AB972" s="28"/>
    </row>
    <row r="973" spans="22:28" x14ac:dyDescent="0.15">
      <c r="V973" s="6"/>
      <c r="W973" s="28"/>
      <c r="X973" s="28"/>
      <c r="Y973" s="28"/>
      <c r="Z973" s="28"/>
      <c r="AA973" s="28"/>
      <c r="AB973" s="28"/>
    </row>
    <row r="974" spans="22:28" x14ac:dyDescent="0.15">
      <c r="V974" s="6"/>
      <c r="W974" s="28"/>
      <c r="X974" s="28"/>
      <c r="Y974" s="28"/>
      <c r="Z974" s="28"/>
      <c r="AA974" s="28"/>
      <c r="AB974" s="28"/>
    </row>
    <row r="975" spans="22:28" x14ac:dyDescent="0.15">
      <c r="V975" s="6"/>
      <c r="W975" s="28"/>
      <c r="X975" s="28"/>
      <c r="Y975" s="28"/>
      <c r="Z975" s="28"/>
      <c r="AA975" s="28"/>
      <c r="AB975" s="28"/>
    </row>
    <row r="976" spans="22:28" x14ac:dyDescent="0.15">
      <c r="V976" s="6"/>
      <c r="W976" s="28"/>
      <c r="X976" s="28"/>
      <c r="Y976" s="28"/>
      <c r="Z976" s="28"/>
      <c r="AA976" s="28"/>
      <c r="AB976" s="28"/>
    </row>
    <row r="977" spans="22:28" x14ac:dyDescent="0.15">
      <c r="V977" s="6"/>
      <c r="W977" s="28"/>
      <c r="X977" s="28"/>
      <c r="Y977" s="28"/>
      <c r="Z977" s="28"/>
      <c r="AA977" s="28"/>
      <c r="AB977" s="28"/>
    </row>
    <row r="978" spans="22:28" x14ac:dyDescent="0.15">
      <c r="V978" s="6"/>
      <c r="W978" s="28"/>
      <c r="X978" s="28"/>
      <c r="Y978" s="28"/>
      <c r="Z978" s="28"/>
      <c r="AA978" s="28"/>
      <c r="AB978" s="28"/>
    </row>
    <row r="979" spans="22:28" x14ac:dyDescent="0.15">
      <c r="V979" s="6"/>
      <c r="W979" s="28"/>
      <c r="X979" s="28"/>
      <c r="Y979" s="28"/>
      <c r="Z979" s="28"/>
      <c r="AA979" s="28"/>
      <c r="AB979" s="28"/>
    </row>
    <row r="980" spans="22:28" x14ac:dyDescent="0.15">
      <c r="V980" s="6"/>
      <c r="W980" s="28"/>
      <c r="X980" s="28"/>
      <c r="Y980" s="28"/>
      <c r="Z980" s="28"/>
      <c r="AA980" s="28"/>
      <c r="AB980" s="28"/>
    </row>
    <row r="981" spans="22:28" x14ac:dyDescent="0.15">
      <c r="V981" s="6"/>
      <c r="W981" s="28"/>
      <c r="X981" s="28"/>
      <c r="Y981" s="28"/>
      <c r="Z981" s="28"/>
      <c r="AA981" s="28"/>
      <c r="AB981" s="28"/>
    </row>
    <row r="982" spans="22:28" x14ac:dyDescent="0.15">
      <c r="V982" s="6"/>
      <c r="W982" s="28"/>
      <c r="X982" s="28"/>
      <c r="Y982" s="28"/>
      <c r="Z982" s="28"/>
      <c r="AA982" s="28"/>
      <c r="AB982" s="28"/>
    </row>
    <row r="983" spans="22:28" x14ac:dyDescent="0.15">
      <c r="V983" s="6"/>
      <c r="W983" s="28"/>
      <c r="X983" s="28"/>
      <c r="Y983" s="28"/>
      <c r="Z983" s="28"/>
      <c r="AA983" s="28"/>
      <c r="AB983" s="28"/>
    </row>
    <row r="984" spans="22:28" x14ac:dyDescent="0.15">
      <c r="V984" s="6"/>
      <c r="W984" s="28"/>
      <c r="X984" s="28"/>
      <c r="Y984" s="28"/>
      <c r="Z984" s="28"/>
      <c r="AA984" s="28"/>
      <c r="AB984" s="28"/>
    </row>
    <row r="985" spans="22:28" x14ac:dyDescent="0.15">
      <c r="V985" s="6"/>
      <c r="W985" s="28"/>
      <c r="X985" s="28"/>
      <c r="Y985" s="28"/>
      <c r="Z985" s="28"/>
      <c r="AA985" s="28"/>
      <c r="AB985" s="28"/>
    </row>
    <row r="986" spans="22:28" x14ac:dyDescent="0.15">
      <c r="V986" s="6"/>
      <c r="W986" s="28"/>
      <c r="X986" s="28"/>
      <c r="Y986" s="28"/>
      <c r="Z986" s="28"/>
      <c r="AA986" s="28"/>
      <c r="AB986" s="28"/>
    </row>
    <row r="987" spans="22:28" x14ac:dyDescent="0.15">
      <c r="V987" s="6"/>
      <c r="W987" s="28"/>
      <c r="X987" s="28"/>
      <c r="Y987" s="28"/>
      <c r="Z987" s="28"/>
      <c r="AA987" s="28"/>
      <c r="AB987" s="28"/>
    </row>
    <row r="988" spans="22:28" x14ac:dyDescent="0.15">
      <c r="V988" s="6"/>
      <c r="W988" s="28"/>
      <c r="X988" s="28"/>
      <c r="Y988" s="28"/>
      <c r="Z988" s="28"/>
      <c r="AA988" s="28"/>
      <c r="AB988" s="28"/>
    </row>
    <row r="989" spans="22:28" x14ac:dyDescent="0.15">
      <c r="V989" s="6"/>
      <c r="W989" s="28"/>
      <c r="X989" s="28"/>
      <c r="Y989" s="28"/>
      <c r="Z989" s="28"/>
      <c r="AA989" s="28"/>
      <c r="AB989" s="28"/>
    </row>
    <row r="990" spans="22:28" x14ac:dyDescent="0.15">
      <c r="V990" s="6"/>
      <c r="W990" s="28"/>
      <c r="X990" s="28"/>
      <c r="Y990" s="28"/>
      <c r="Z990" s="28"/>
      <c r="AA990" s="28"/>
      <c r="AB990" s="28"/>
    </row>
    <row r="991" spans="22:28" x14ac:dyDescent="0.15">
      <c r="V991" s="6"/>
      <c r="W991" s="28"/>
      <c r="X991" s="28"/>
      <c r="Y991" s="28"/>
      <c r="Z991" s="28"/>
      <c r="AA991" s="28"/>
      <c r="AB991" s="28"/>
    </row>
    <row r="992" spans="22:28" x14ac:dyDescent="0.15">
      <c r="V992" s="6"/>
      <c r="W992" s="28"/>
      <c r="X992" s="28"/>
      <c r="Y992" s="28"/>
      <c r="Z992" s="28"/>
      <c r="AA992" s="28"/>
      <c r="AB992" s="28"/>
    </row>
    <row r="993" spans="22:28" x14ac:dyDescent="0.15">
      <c r="V993" s="6"/>
      <c r="W993" s="28"/>
      <c r="X993" s="28"/>
      <c r="Y993" s="28"/>
      <c r="Z993" s="28"/>
      <c r="AA993" s="28"/>
      <c r="AB993" s="28"/>
    </row>
    <row r="994" spans="22:28" x14ac:dyDescent="0.15">
      <c r="V994" s="6"/>
      <c r="W994" s="28"/>
      <c r="X994" s="28"/>
      <c r="Y994" s="28"/>
      <c r="Z994" s="28"/>
      <c r="AA994" s="28"/>
      <c r="AB994" s="28"/>
    </row>
    <row r="995" spans="22:28" x14ac:dyDescent="0.15">
      <c r="V995" s="6"/>
      <c r="W995" s="28"/>
      <c r="X995" s="28"/>
      <c r="Y995" s="28"/>
      <c r="Z995" s="28"/>
      <c r="AA995" s="28"/>
      <c r="AB995" s="28"/>
    </row>
    <row r="996" spans="22:28" x14ac:dyDescent="0.15">
      <c r="V996" s="6"/>
      <c r="W996" s="28"/>
      <c r="X996" s="28"/>
      <c r="Y996" s="28"/>
      <c r="Z996" s="28"/>
      <c r="AA996" s="28"/>
      <c r="AB996" s="28"/>
    </row>
    <row r="997" spans="22:28" x14ac:dyDescent="0.15">
      <c r="V997" s="6"/>
      <c r="W997" s="28"/>
      <c r="X997" s="28"/>
      <c r="Y997" s="28"/>
      <c r="Z997" s="28"/>
      <c r="AA997" s="28"/>
      <c r="AB997" s="28"/>
    </row>
    <row r="998" spans="22:28" x14ac:dyDescent="0.15">
      <c r="V998" s="6"/>
      <c r="W998" s="28"/>
      <c r="X998" s="28"/>
      <c r="Y998" s="28"/>
      <c r="Z998" s="28"/>
      <c r="AA998" s="28"/>
      <c r="AB998" s="28"/>
    </row>
    <row r="999" spans="22:28" x14ac:dyDescent="0.15">
      <c r="V999" s="6"/>
      <c r="W999" s="28"/>
      <c r="X999" s="28"/>
      <c r="Y999" s="28"/>
      <c r="Z999" s="28"/>
      <c r="AA999" s="28"/>
      <c r="AB999" s="28"/>
    </row>
    <row r="1000" spans="22:28" x14ac:dyDescent="0.15">
      <c r="V1000" s="6"/>
      <c r="W1000" s="28"/>
      <c r="X1000" s="28"/>
      <c r="Y1000" s="28"/>
      <c r="Z1000" s="28"/>
      <c r="AA1000" s="28"/>
      <c r="AB1000" s="28"/>
    </row>
    <row r="1001" spans="22:28" x14ac:dyDescent="0.15">
      <c r="V1001" s="6"/>
      <c r="W1001" s="28"/>
      <c r="X1001" s="28"/>
      <c r="Y1001" s="28"/>
      <c r="Z1001" s="28"/>
      <c r="AA1001" s="28"/>
      <c r="AB1001" s="28"/>
    </row>
    <row r="1002" spans="22:28" x14ac:dyDescent="0.15">
      <c r="V1002" s="6"/>
      <c r="W1002" s="28"/>
      <c r="X1002" s="28"/>
      <c r="Y1002" s="28"/>
      <c r="Z1002" s="28"/>
      <c r="AA1002" s="28"/>
      <c r="AB1002" s="28"/>
    </row>
    <row r="1003" spans="22:28" x14ac:dyDescent="0.15">
      <c r="V1003" s="6"/>
      <c r="W1003" s="28"/>
      <c r="X1003" s="28"/>
      <c r="Y1003" s="28"/>
      <c r="Z1003" s="28"/>
      <c r="AA1003" s="28"/>
      <c r="AB1003" s="28"/>
    </row>
    <row r="1004" spans="22:28" x14ac:dyDescent="0.15">
      <c r="V1004" s="6"/>
      <c r="W1004" s="28"/>
      <c r="X1004" s="28"/>
      <c r="Y1004" s="28"/>
      <c r="Z1004" s="28"/>
      <c r="AA1004" s="28"/>
      <c r="AB1004" s="28"/>
    </row>
    <row r="1005" spans="22:28" x14ac:dyDescent="0.15">
      <c r="V1005" s="6"/>
      <c r="W1005" s="28"/>
      <c r="X1005" s="28"/>
      <c r="Y1005" s="28"/>
      <c r="Z1005" s="28"/>
      <c r="AA1005" s="28"/>
      <c r="AB1005" s="28"/>
    </row>
    <row r="1006" spans="22:28" x14ac:dyDescent="0.15">
      <c r="V1006" s="6"/>
      <c r="W1006" s="28"/>
      <c r="X1006" s="28"/>
      <c r="Y1006" s="28"/>
      <c r="Z1006" s="28"/>
      <c r="AA1006" s="28"/>
      <c r="AB1006" s="28"/>
    </row>
    <row r="1007" spans="22:28" x14ac:dyDescent="0.15">
      <c r="V1007" s="6"/>
      <c r="W1007" s="28"/>
      <c r="X1007" s="28"/>
      <c r="Y1007" s="28"/>
      <c r="Z1007" s="28"/>
      <c r="AA1007" s="28"/>
      <c r="AB1007" s="28"/>
    </row>
    <row r="1008" spans="22:28" x14ac:dyDescent="0.15">
      <c r="V1008" s="6"/>
      <c r="W1008" s="28"/>
      <c r="X1008" s="28"/>
      <c r="Y1008" s="28"/>
      <c r="Z1008" s="28"/>
      <c r="AA1008" s="28"/>
      <c r="AB1008" s="28"/>
    </row>
    <row r="1009" spans="22:28" x14ac:dyDescent="0.15">
      <c r="V1009" s="6"/>
      <c r="W1009" s="28"/>
      <c r="X1009" s="28"/>
      <c r="Y1009" s="28"/>
      <c r="Z1009" s="28"/>
      <c r="AA1009" s="28"/>
      <c r="AB1009" s="28"/>
    </row>
    <row r="1010" spans="22:28" x14ac:dyDescent="0.15">
      <c r="V1010" s="6"/>
      <c r="W1010" s="28"/>
      <c r="X1010" s="28"/>
      <c r="Y1010" s="28"/>
      <c r="Z1010" s="28"/>
      <c r="AA1010" s="28"/>
      <c r="AB1010" s="28"/>
    </row>
    <row r="1011" spans="22:28" x14ac:dyDescent="0.15">
      <c r="V1011" s="6"/>
      <c r="W1011" s="28"/>
      <c r="X1011" s="28"/>
      <c r="Y1011" s="28"/>
      <c r="Z1011" s="28"/>
      <c r="AA1011" s="28"/>
      <c r="AB1011" s="28"/>
    </row>
    <row r="1012" spans="22:28" x14ac:dyDescent="0.15">
      <c r="V1012" s="6"/>
      <c r="W1012" s="28"/>
      <c r="X1012" s="28"/>
      <c r="Y1012" s="28"/>
      <c r="Z1012" s="28"/>
      <c r="AA1012" s="28"/>
      <c r="AB1012" s="28"/>
    </row>
    <row r="1013" spans="22:28" x14ac:dyDescent="0.15">
      <c r="V1013" s="29"/>
      <c r="W1013" s="28"/>
      <c r="X1013" s="28"/>
      <c r="Y1013" s="28"/>
      <c r="Z1013" s="28"/>
      <c r="AA1013" s="28"/>
      <c r="AB1013" s="28"/>
    </row>
    <row r="1014" spans="22:28" x14ac:dyDescent="0.15">
      <c r="V1014" s="6"/>
      <c r="W1014" s="28"/>
      <c r="X1014" s="28"/>
      <c r="Y1014" s="28"/>
      <c r="Z1014" s="28"/>
      <c r="AA1014" s="28"/>
      <c r="AB1014" s="28"/>
    </row>
    <row r="1015" spans="22:28" x14ac:dyDescent="0.15">
      <c r="V1015" s="6"/>
      <c r="W1015" s="28"/>
      <c r="X1015" s="28"/>
      <c r="Y1015" s="28"/>
      <c r="Z1015" s="28"/>
      <c r="AA1015" s="28"/>
      <c r="AB1015" s="28"/>
    </row>
    <row r="1016" spans="22:28" x14ac:dyDescent="0.15">
      <c r="V1016" s="6"/>
      <c r="W1016" s="28"/>
      <c r="X1016" s="28"/>
      <c r="Y1016" s="28"/>
      <c r="Z1016" s="28"/>
      <c r="AA1016" s="28"/>
      <c r="AB1016" s="28"/>
    </row>
    <row r="1017" spans="22:28" x14ac:dyDescent="0.15">
      <c r="V1017" s="6"/>
      <c r="W1017" s="28"/>
      <c r="X1017" s="28"/>
      <c r="Y1017" s="28"/>
      <c r="Z1017" s="28"/>
      <c r="AA1017" s="28"/>
      <c r="AB1017" s="28"/>
    </row>
    <row r="1018" spans="22:28" x14ac:dyDescent="0.15">
      <c r="V1018" s="6"/>
      <c r="W1018" s="28"/>
      <c r="X1018" s="28"/>
      <c r="Y1018" s="28"/>
      <c r="Z1018" s="28"/>
      <c r="AA1018" s="28"/>
      <c r="AB1018" s="28"/>
    </row>
    <row r="1019" spans="22:28" x14ac:dyDescent="0.15">
      <c r="V1019" s="6"/>
      <c r="W1019" s="28"/>
      <c r="X1019" s="28"/>
      <c r="Y1019" s="28"/>
      <c r="Z1019" s="28"/>
      <c r="AA1019" s="28"/>
      <c r="AB1019" s="28"/>
    </row>
    <row r="1020" spans="22:28" x14ac:dyDescent="0.15">
      <c r="V1020" s="6"/>
      <c r="W1020" s="28"/>
      <c r="X1020" s="28"/>
      <c r="Y1020" s="28"/>
      <c r="Z1020" s="28"/>
      <c r="AA1020" s="28"/>
      <c r="AB1020" s="28"/>
    </row>
    <row r="1021" spans="22:28" x14ac:dyDescent="0.15">
      <c r="V1021" s="6"/>
      <c r="W1021" s="28"/>
      <c r="X1021" s="28"/>
      <c r="Y1021" s="28"/>
      <c r="Z1021" s="28"/>
      <c r="AA1021" s="28"/>
      <c r="AB1021" s="28"/>
    </row>
    <row r="1022" spans="22:28" x14ac:dyDescent="0.15">
      <c r="V1022" s="6"/>
      <c r="W1022" s="28"/>
      <c r="X1022" s="28"/>
      <c r="Y1022" s="28"/>
      <c r="Z1022" s="28"/>
      <c r="AA1022" s="28"/>
      <c r="AB1022" s="28"/>
    </row>
    <row r="1023" spans="22:28" x14ac:dyDescent="0.15">
      <c r="V1023" s="6"/>
      <c r="W1023" s="28"/>
      <c r="X1023" s="28"/>
      <c r="Y1023" s="28"/>
      <c r="Z1023" s="28"/>
      <c r="AA1023" s="28"/>
      <c r="AB1023" s="28"/>
    </row>
    <row r="1024" spans="22:28" x14ac:dyDescent="0.15">
      <c r="V1024" s="6"/>
      <c r="W1024" s="28"/>
      <c r="X1024" s="28"/>
      <c r="Y1024" s="28"/>
      <c r="Z1024" s="28"/>
      <c r="AA1024" s="28"/>
      <c r="AB1024" s="28"/>
    </row>
    <row r="1025" spans="22:28" x14ac:dyDescent="0.15">
      <c r="V1025" s="6"/>
      <c r="W1025" s="28"/>
      <c r="X1025" s="28"/>
      <c r="Y1025" s="28"/>
      <c r="Z1025" s="28"/>
      <c r="AA1025" s="28"/>
      <c r="AB1025" s="28"/>
    </row>
    <row r="1026" spans="22:28" x14ac:dyDescent="0.15">
      <c r="V1026" s="6"/>
      <c r="W1026" s="28"/>
      <c r="X1026" s="28"/>
      <c r="Y1026" s="28"/>
      <c r="Z1026" s="28"/>
      <c r="AA1026" s="28"/>
      <c r="AB1026" s="28"/>
    </row>
    <row r="1027" spans="22:28" x14ac:dyDescent="0.15">
      <c r="V1027" s="6"/>
      <c r="W1027" s="28"/>
      <c r="X1027" s="28"/>
      <c r="Y1027" s="28"/>
      <c r="Z1027" s="28"/>
      <c r="AA1027" s="28"/>
      <c r="AB1027" s="28"/>
    </row>
    <row r="1028" spans="22:28" x14ac:dyDescent="0.15">
      <c r="V1028" s="6"/>
      <c r="W1028" s="28"/>
      <c r="X1028" s="28"/>
      <c r="Y1028" s="28"/>
      <c r="Z1028" s="28"/>
      <c r="AA1028" s="28"/>
      <c r="AB1028" s="28"/>
    </row>
    <row r="1029" spans="22:28" x14ac:dyDescent="0.15">
      <c r="V1029" s="6"/>
      <c r="W1029" s="28"/>
      <c r="X1029" s="28"/>
      <c r="Y1029" s="28"/>
      <c r="Z1029" s="28"/>
      <c r="AA1029" s="28"/>
      <c r="AB1029" s="28"/>
    </row>
    <row r="1030" spans="22:28" x14ac:dyDescent="0.15">
      <c r="V1030" s="6"/>
      <c r="W1030" s="28"/>
      <c r="X1030" s="28"/>
      <c r="Y1030" s="28"/>
      <c r="Z1030" s="28"/>
      <c r="AA1030" s="28"/>
      <c r="AB1030" s="28"/>
    </row>
    <row r="1031" spans="22:28" x14ac:dyDescent="0.15">
      <c r="V1031" s="6"/>
      <c r="W1031" s="28"/>
      <c r="X1031" s="28"/>
      <c r="Y1031" s="28"/>
      <c r="Z1031" s="28"/>
      <c r="AA1031" s="28"/>
      <c r="AB1031" s="28"/>
    </row>
    <row r="1032" spans="22:28" x14ac:dyDescent="0.15">
      <c r="V1032" s="6"/>
      <c r="W1032" s="28"/>
      <c r="X1032" s="28"/>
      <c r="Y1032" s="28"/>
      <c r="Z1032" s="28"/>
      <c r="AA1032" s="28"/>
      <c r="AB1032" s="28"/>
    </row>
    <row r="1033" spans="22:28" x14ac:dyDescent="0.15">
      <c r="V1033" s="6"/>
      <c r="W1033" s="28"/>
      <c r="X1033" s="28"/>
      <c r="Y1033" s="28"/>
      <c r="Z1033" s="28"/>
      <c r="AA1033" s="28"/>
      <c r="AB1033" s="28"/>
    </row>
    <row r="1034" spans="22:28" x14ac:dyDescent="0.15">
      <c r="V1034" s="6"/>
      <c r="W1034" s="28"/>
      <c r="X1034" s="28"/>
      <c r="Y1034" s="28"/>
      <c r="Z1034" s="28"/>
      <c r="AA1034" s="28"/>
      <c r="AB1034" s="28"/>
    </row>
    <row r="1035" spans="22:28" x14ac:dyDescent="0.15">
      <c r="V1035" s="6"/>
      <c r="W1035" s="28"/>
      <c r="X1035" s="28"/>
      <c r="Y1035" s="28"/>
      <c r="Z1035" s="28"/>
      <c r="AA1035" s="28"/>
      <c r="AB1035" s="28"/>
    </row>
    <row r="1036" spans="22:28" x14ac:dyDescent="0.15">
      <c r="V1036" s="6"/>
      <c r="W1036" s="28"/>
      <c r="X1036" s="28"/>
      <c r="Y1036" s="28"/>
      <c r="Z1036" s="28"/>
      <c r="AA1036" s="28"/>
      <c r="AB1036" s="28"/>
    </row>
    <row r="1037" spans="22:28" x14ac:dyDescent="0.15">
      <c r="V1037" s="6"/>
      <c r="W1037" s="28"/>
      <c r="X1037" s="28"/>
      <c r="Y1037" s="28"/>
      <c r="Z1037" s="28"/>
      <c r="AA1037" s="28"/>
      <c r="AB1037" s="28"/>
    </row>
    <row r="1038" spans="22:28" x14ac:dyDescent="0.15">
      <c r="V1038" s="6"/>
      <c r="W1038" s="28"/>
      <c r="X1038" s="28"/>
      <c r="Y1038" s="28"/>
      <c r="Z1038" s="28"/>
      <c r="AA1038" s="28"/>
      <c r="AB1038" s="28"/>
    </row>
    <row r="1039" spans="22:28" x14ac:dyDescent="0.15">
      <c r="V1039" s="6"/>
      <c r="W1039" s="28"/>
      <c r="X1039" s="28"/>
      <c r="Y1039" s="28"/>
      <c r="Z1039" s="28"/>
      <c r="AA1039" s="28"/>
      <c r="AB1039" s="28"/>
    </row>
    <row r="1040" spans="22:28" x14ac:dyDescent="0.15">
      <c r="V1040" s="6"/>
      <c r="W1040" s="28"/>
      <c r="X1040" s="28"/>
      <c r="Y1040" s="28"/>
      <c r="Z1040" s="28"/>
      <c r="AA1040" s="28"/>
      <c r="AB1040" s="28"/>
    </row>
    <row r="1041" spans="22:28" x14ac:dyDescent="0.15">
      <c r="V1041" s="6"/>
      <c r="W1041" s="28"/>
      <c r="X1041" s="28"/>
      <c r="Y1041" s="28"/>
      <c r="Z1041" s="28"/>
      <c r="AA1041" s="28"/>
      <c r="AB1041" s="28"/>
    </row>
    <row r="1042" spans="22:28" x14ac:dyDescent="0.15">
      <c r="V1042" s="6"/>
      <c r="W1042" s="28"/>
      <c r="X1042" s="28"/>
      <c r="Y1042" s="28"/>
      <c r="Z1042" s="28"/>
      <c r="AA1042" s="28"/>
      <c r="AB1042" s="28"/>
    </row>
    <row r="1043" spans="22:28" x14ac:dyDescent="0.15">
      <c r="V1043" s="6"/>
      <c r="W1043" s="28"/>
      <c r="X1043" s="28"/>
      <c r="Y1043" s="28"/>
      <c r="Z1043" s="28"/>
      <c r="AA1043" s="28"/>
      <c r="AB1043" s="28"/>
    </row>
    <row r="1044" spans="22:28" x14ac:dyDescent="0.15">
      <c r="V1044" s="6"/>
      <c r="W1044" s="28"/>
      <c r="X1044" s="28"/>
      <c r="Y1044" s="28"/>
      <c r="Z1044" s="28"/>
      <c r="AA1044" s="28"/>
      <c r="AB1044" s="28"/>
    </row>
    <row r="1045" spans="22:28" x14ac:dyDescent="0.15">
      <c r="V1045" s="6"/>
      <c r="W1045" s="28"/>
      <c r="X1045" s="28"/>
      <c r="Y1045" s="28"/>
      <c r="Z1045" s="28"/>
      <c r="AA1045" s="28"/>
      <c r="AB1045" s="28"/>
    </row>
    <row r="1046" spans="22:28" x14ac:dyDescent="0.15">
      <c r="V1046" s="6"/>
      <c r="W1046" s="28"/>
      <c r="X1046" s="28"/>
      <c r="Y1046" s="28"/>
      <c r="Z1046" s="28"/>
      <c r="AA1046" s="28"/>
      <c r="AB1046" s="28"/>
    </row>
    <row r="1047" spans="22:28" x14ac:dyDescent="0.15">
      <c r="V1047" s="6"/>
      <c r="W1047" s="28"/>
      <c r="X1047" s="28"/>
      <c r="Y1047" s="28"/>
      <c r="Z1047" s="28"/>
      <c r="AA1047" s="28"/>
      <c r="AB1047" s="28"/>
    </row>
    <row r="1048" spans="22:28" x14ac:dyDescent="0.15">
      <c r="V1048" s="6"/>
      <c r="W1048" s="28"/>
      <c r="X1048" s="28"/>
      <c r="Y1048" s="28"/>
      <c r="Z1048" s="28"/>
      <c r="AA1048" s="28"/>
      <c r="AB1048" s="28"/>
    </row>
    <row r="1049" spans="22:28" x14ac:dyDescent="0.15">
      <c r="V1049" s="6"/>
      <c r="W1049" s="28"/>
      <c r="X1049" s="28"/>
      <c r="Y1049" s="28"/>
      <c r="Z1049" s="28"/>
      <c r="AA1049" s="28"/>
      <c r="AB1049" s="28"/>
    </row>
    <row r="1050" spans="22:28" x14ac:dyDescent="0.15">
      <c r="V1050" s="6"/>
      <c r="W1050" s="28"/>
      <c r="X1050" s="28"/>
      <c r="Y1050" s="28"/>
      <c r="Z1050" s="28"/>
      <c r="AA1050" s="28"/>
      <c r="AB1050" s="28"/>
    </row>
    <row r="1051" spans="22:28" x14ac:dyDescent="0.15">
      <c r="V1051" s="6"/>
      <c r="W1051" s="28"/>
      <c r="X1051" s="28"/>
      <c r="Y1051" s="28"/>
      <c r="Z1051" s="28"/>
      <c r="AA1051" s="28"/>
      <c r="AB1051" s="28"/>
    </row>
    <row r="1052" spans="22:28" x14ac:dyDescent="0.15">
      <c r="V1052" s="6"/>
      <c r="W1052" s="28"/>
      <c r="X1052" s="28"/>
      <c r="Y1052" s="28"/>
      <c r="Z1052" s="28"/>
      <c r="AA1052" s="28"/>
      <c r="AB1052" s="28"/>
    </row>
    <row r="1053" spans="22:28" x14ac:dyDescent="0.15">
      <c r="V1053" s="6"/>
      <c r="W1053" s="28"/>
      <c r="X1053" s="28"/>
      <c r="Y1053" s="28"/>
      <c r="Z1053" s="28"/>
      <c r="AA1053" s="28"/>
      <c r="AB1053" s="28"/>
    </row>
    <row r="1054" spans="22:28" x14ac:dyDescent="0.15">
      <c r="V1054" s="6"/>
      <c r="W1054" s="28"/>
      <c r="X1054" s="28"/>
      <c r="Y1054" s="28"/>
      <c r="Z1054" s="28"/>
      <c r="AA1054" s="28"/>
      <c r="AB1054" s="28"/>
    </row>
    <row r="1055" spans="22:28" x14ac:dyDescent="0.15">
      <c r="V1055" s="6"/>
      <c r="W1055" s="28"/>
      <c r="X1055" s="28"/>
      <c r="Y1055" s="28"/>
      <c r="Z1055" s="28"/>
      <c r="AA1055" s="28"/>
      <c r="AB1055" s="28"/>
    </row>
    <row r="1056" spans="22:28" x14ac:dyDescent="0.15">
      <c r="V1056" s="6"/>
      <c r="W1056" s="28"/>
      <c r="X1056" s="28"/>
      <c r="Y1056" s="28"/>
      <c r="Z1056" s="28"/>
      <c r="AA1056" s="28"/>
      <c r="AB1056" s="28"/>
    </row>
    <row r="1057" spans="22:28" x14ac:dyDescent="0.15">
      <c r="V1057" s="6"/>
      <c r="W1057" s="28"/>
      <c r="X1057" s="28"/>
      <c r="Y1057" s="28"/>
      <c r="Z1057" s="28"/>
      <c r="AA1057" s="28"/>
      <c r="AB1057" s="28"/>
    </row>
    <row r="1058" spans="22:28" x14ac:dyDescent="0.15">
      <c r="V1058" s="6"/>
      <c r="W1058" s="28"/>
      <c r="X1058" s="28"/>
      <c r="Y1058" s="28"/>
      <c r="Z1058" s="28"/>
      <c r="AA1058" s="28"/>
      <c r="AB1058" s="28"/>
    </row>
    <row r="1059" spans="22:28" x14ac:dyDescent="0.15">
      <c r="V1059" s="6"/>
      <c r="W1059" s="28"/>
      <c r="X1059" s="28"/>
      <c r="Y1059" s="28"/>
      <c r="Z1059" s="28"/>
      <c r="AA1059" s="28"/>
      <c r="AB1059" s="28"/>
    </row>
    <row r="1060" spans="22:28" x14ac:dyDescent="0.15">
      <c r="V1060" s="6"/>
      <c r="W1060" s="28"/>
      <c r="X1060" s="28"/>
      <c r="Y1060" s="28"/>
      <c r="Z1060" s="28"/>
      <c r="AA1060" s="28"/>
      <c r="AB1060" s="28"/>
    </row>
    <row r="1061" spans="22:28" x14ac:dyDescent="0.15">
      <c r="V1061" s="6"/>
      <c r="W1061" s="28"/>
      <c r="X1061" s="28"/>
      <c r="Y1061" s="28"/>
      <c r="Z1061" s="28"/>
      <c r="AA1061" s="28"/>
      <c r="AB1061" s="28"/>
    </row>
    <row r="1062" spans="22:28" x14ac:dyDescent="0.15">
      <c r="V1062" s="6"/>
      <c r="W1062" s="28"/>
      <c r="X1062" s="28"/>
      <c r="Y1062" s="28"/>
      <c r="Z1062" s="28"/>
      <c r="AA1062" s="28"/>
      <c r="AB1062" s="28"/>
    </row>
    <row r="1063" spans="22:28" x14ac:dyDescent="0.15">
      <c r="V1063" s="6"/>
      <c r="W1063" s="28"/>
      <c r="X1063" s="28"/>
      <c r="Y1063" s="28"/>
      <c r="Z1063" s="28"/>
      <c r="AA1063" s="28"/>
      <c r="AB1063" s="28"/>
    </row>
    <row r="1064" spans="22:28" x14ac:dyDescent="0.15">
      <c r="V1064" s="6"/>
      <c r="W1064" s="28"/>
      <c r="X1064" s="28"/>
      <c r="Y1064" s="28"/>
      <c r="Z1064" s="28"/>
      <c r="AA1064" s="28"/>
      <c r="AB1064" s="28"/>
    </row>
    <row r="1065" spans="22:28" x14ac:dyDescent="0.15">
      <c r="V1065" s="6"/>
      <c r="W1065" s="28"/>
      <c r="X1065" s="28"/>
      <c r="Y1065" s="28"/>
      <c r="Z1065" s="28"/>
      <c r="AA1065" s="28"/>
      <c r="AB1065" s="28"/>
    </row>
    <row r="1066" spans="22:28" x14ac:dyDescent="0.15">
      <c r="V1066" s="6"/>
      <c r="W1066" s="28"/>
      <c r="X1066" s="28"/>
      <c r="Y1066" s="28"/>
      <c r="Z1066" s="28"/>
      <c r="AA1066" s="28"/>
      <c r="AB1066" s="28"/>
    </row>
    <row r="1067" spans="22:28" x14ac:dyDescent="0.15">
      <c r="V1067" s="6"/>
      <c r="W1067" s="28"/>
      <c r="X1067" s="28"/>
      <c r="Y1067" s="28"/>
      <c r="Z1067" s="28"/>
      <c r="AA1067" s="28"/>
      <c r="AB1067" s="28"/>
    </row>
    <row r="1068" spans="22:28" x14ac:dyDescent="0.15">
      <c r="V1068" s="6"/>
      <c r="W1068" s="28"/>
      <c r="X1068" s="28"/>
      <c r="Y1068" s="28"/>
      <c r="Z1068" s="28"/>
      <c r="AA1068" s="28"/>
      <c r="AB1068" s="28"/>
    </row>
    <row r="1069" spans="22:28" x14ac:dyDescent="0.15">
      <c r="V1069" s="6"/>
      <c r="W1069" s="28"/>
      <c r="X1069" s="28"/>
      <c r="Y1069" s="28"/>
      <c r="Z1069" s="28"/>
      <c r="AA1069" s="28"/>
      <c r="AB1069" s="28"/>
    </row>
    <row r="1070" spans="22:28" x14ac:dyDescent="0.15">
      <c r="V1070" s="6"/>
      <c r="W1070" s="28"/>
      <c r="X1070" s="28"/>
      <c r="Y1070" s="28"/>
      <c r="Z1070" s="28"/>
      <c r="AA1070" s="28"/>
      <c r="AB1070" s="28"/>
    </row>
    <row r="1071" spans="22:28" x14ac:dyDescent="0.15">
      <c r="V1071" s="6"/>
      <c r="W1071" s="28"/>
      <c r="X1071" s="28"/>
      <c r="Y1071" s="28"/>
      <c r="Z1071" s="28"/>
      <c r="AA1071" s="28"/>
      <c r="AB1071" s="28"/>
    </row>
    <row r="1072" spans="22:28" x14ac:dyDescent="0.15">
      <c r="V1072" s="6"/>
      <c r="W1072" s="28"/>
      <c r="X1072" s="28"/>
      <c r="Y1072" s="28"/>
      <c r="Z1072" s="28"/>
      <c r="AA1072" s="28"/>
      <c r="AB1072" s="28"/>
    </row>
    <row r="1073" spans="22:28" x14ac:dyDescent="0.15">
      <c r="V1073" s="6"/>
      <c r="W1073" s="28"/>
      <c r="X1073" s="28"/>
      <c r="Y1073" s="28"/>
      <c r="Z1073" s="28"/>
      <c r="AA1073" s="28"/>
      <c r="AB1073" s="28"/>
    </row>
    <row r="1074" spans="22:28" x14ac:dyDescent="0.15">
      <c r="V1074" s="6"/>
      <c r="W1074" s="28"/>
      <c r="X1074" s="28"/>
      <c r="Y1074" s="28"/>
      <c r="Z1074" s="28"/>
      <c r="AA1074" s="28"/>
      <c r="AB1074" s="28"/>
    </row>
    <row r="1075" spans="22:28" x14ac:dyDescent="0.15">
      <c r="V1075" s="6"/>
      <c r="W1075" s="28"/>
      <c r="X1075" s="28"/>
      <c r="Y1075" s="28"/>
      <c r="Z1075" s="28"/>
      <c r="AA1075" s="28"/>
      <c r="AB1075" s="28"/>
    </row>
    <row r="1076" spans="22:28" x14ac:dyDescent="0.15">
      <c r="V1076" s="6"/>
      <c r="W1076" s="28"/>
      <c r="X1076" s="28"/>
      <c r="Y1076" s="28"/>
      <c r="Z1076" s="28"/>
      <c r="AA1076" s="28"/>
      <c r="AB1076" s="28"/>
    </row>
    <row r="1077" spans="22:28" x14ac:dyDescent="0.15">
      <c r="V1077" s="6"/>
      <c r="W1077" s="28"/>
      <c r="X1077" s="28"/>
      <c r="Y1077" s="28"/>
      <c r="Z1077" s="28"/>
      <c r="AA1077" s="28"/>
      <c r="AB1077" s="28"/>
    </row>
    <row r="1078" spans="22:28" x14ac:dyDescent="0.15">
      <c r="V1078" s="6"/>
      <c r="W1078" s="28"/>
      <c r="X1078" s="28"/>
      <c r="Y1078" s="28"/>
      <c r="Z1078" s="28"/>
      <c r="AA1078" s="28"/>
      <c r="AB1078" s="28"/>
    </row>
    <row r="1079" spans="22:28" x14ac:dyDescent="0.15">
      <c r="V1079" s="6"/>
      <c r="W1079" s="28"/>
      <c r="X1079" s="28"/>
      <c r="Y1079" s="28"/>
      <c r="Z1079" s="28"/>
      <c r="AA1079" s="28"/>
      <c r="AB1079" s="28"/>
    </row>
    <row r="1080" spans="22:28" x14ac:dyDescent="0.15">
      <c r="V1080" s="6"/>
      <c r="W1080" s="28"/>
      <c r="X1080" s="28"/>
      <c r="Y1080" s="28"/>
      <c r="Z1080" s="28"/>
      <c r="AA1080" s="28"/>
      <c r="AB1080" s="28"/>
    </row>
    <row r="1081" spans="22:28" x14ac:dyDescent="0.15">
      <c r="V1081" s="6"/>
      <c r="W1081" s="28"/>
      <c r="X1081" s="28"/>
      <c r="Y1081" s="28"/>
      <c r="Z1081" s="28"/>
      <c r="AA1081" s="28"/>
      <c r="AB1081" s="28"/>
    </row>
    <row r="1082" spans="22:28" x14ac:dyDescent="0.15">
      <c r="V1082" s="6"/>
      <c r="W1082" s="28"/>
      <c r="X1082" s="28"/>
      <c r="Y1082" s="28"/>
      <c r="Z1082" s="28"/>
      <c r="AA1082" s="28"/>
      <c r="AB1082" s="28"/>
    </row>
    <row r="1083" spans="22:28" x14ac:dyDescent="0.15">
      <c r="V1083" s="6"/>
      <c r="W1083" s="28"/>
      <c r="X1083" s="28"/>
      <c r="Y1083" s="28"/>
      <c r="Z1083" s="28"/>
      <c r="AA1083" s="28"/>
      <c r="AB1083" s="28"/>
    </row>
    <row r="1084" spans="22:28" x14ac:dyDescent="0.15">
      <c r="V1084" s="6"/>
      <c r="W1084" s="28"/>
      <c r="X1084" s="28"/>
      <c r="Y1084" s="28"/>
      <c r="Z1084" s="28"/>
      <c r="AA1084" s="28"/>
      <c r="AB1084" s="28"/>
    </row>
    <row r="1085" spans="22:28" x14ac:dyDescent="0.15">
      <c r="V1085" s="6"/>
      <c r="W1085" s="28"/>
      <c r="X1085" s="28"/>
      <c r="Y1085" s="28"/>
      <c r="Z1085" s="28"/>
      <c r="AA1085" s="28"/>
      <c r="AB1085" s="28"/>
    </row>
    <row r="1086" spans="22:28" x14ac:dyDescent="0.15">
      <c r="V1086" s="6"/>
      <c r="W1086" s="28"/>
      <c r="X1086" s="28"/>
      <c r="Y1086" s="28"/>
      <c r="Z1086" s="28"/>
      <c r="AA1086" s="28"/>
      <c r="AB1086" s="28"/>
    </row>
    <row r="1087" spans="22:28" x14ac:dyDescent="0.15">
      <c r="V1087" s="6"/>
      <c r="W1087" s="28"/>
      <c r="X1087" s="28"/>
      <c r="Y1087" s="28"/>
      <c r="Z1087" s="28"/>
      <c r="AA1087" s="28"/>
      <c r="AB1087" s="28"/>
    </row>
    <row r="1088" spans="22:28" x14ac:dyDescent="0.15">
      <c r="V1088" s="6"/>
      <c r="W1088" s="28"/>
      <c r="X1088" s="28"/>
      <c r="Y1088" s="28"/>
      <c r="Z1088" s="28"/>
      <c r="AA1088" s="28"/>
      <c r="AB1088" s="28"/>
    </row>
    <row r="1089" spans="22:28" x14ac:dyDescent="0.15">
      <c r="V1089" s="6"/>
      <c r="W1089" s="28"/>
      <c r="X1089" s="28"/>
      <c r="Y1089" s="28"/>
      <c r="Z1089" s="28"/>
      <c r="AA1089" s="28"/>
      <c r="AB1089" s="28"/>
    </row>
    <row r="1090" spans="22:28" x14ac:dyDescent="0.15">
      <c r="V1090" s="6"/>
      <c r="W1090" s="28"/>
      <c r="X1090" s="28"/>
      <c r="Y1090" s="28"/>
      <c r="Z1090" s="28"/>
      <c r="AA1090" s="28"/>
      <c r="AB1090" s="28"/>
    </row>
    <row r="1091" spans="22:28" x14ac:dyDescent="0.15">
      <c r="V1091" s="6"/>
      <c r="W1091" s="28"/>
      <c r="X1091" s="28"/>
      <c r="Y1091" s="28"/>
      <c r="Z1091" s="28"/>
      <c r="AA1091" s="28"/>
      <c r="AB1091" s="28"/>
    </row>
    <row r="1092" spans="22:28" x14ac:dyDescent="0.15">
      <c r="V1092" s="6"/>
      <c r="W1092" s="28"/>
      <c r="X1092" s="28"/>
      <c r="Y1092" s="28"/>
      <c r="Z1092" s="28"/>
      <c r="AA1092" s="28"/>
      <c r="AB1092" s="28"/>
    </row>
    <row r="1093" spans="22:28" x14ac:dyDescent="0.15">
      <c r="V1093" s="6"/>
      <c r="W1093" s="28"/>
      <c r="X1093" s="28"/>
      <c r="Y1093" s="28"/>
      <c r="Z1093" s="28"/>
      <c r="AA1093" s="28"/>
      <c r="AB1093" s="28"/>
    </row>
    <row r="1094" spans="22:28" x14ac:dyDescent="0.15">
      <c r="V1094" s="6"/>
      <c r="W1094" s="28"/>
      <c r="X1094" s="28"/>
      <c r="Y1094" s="28"/>
      <c r="Z1094" s="28"/>
      <c r="AA1094" s="28"/>
      <c r="AB1094" s="28"/>
    </row>
    <row r="1095" spans="22:28" x14ac:dyDescent="0.15">
      <c r="V1095" s="6"/>
      <c r="W1095" s="28"/>
      <c r="X1095" s="28"/>
      <c r="Y1095" s="28"/>
      <c r="Z1095" s="28"/>
      <c r="AA1095" s="28"/>
      <c r="AB1095" s="28"/>
    </row>
    <row r="1096" spans="22:28" x14ac:dyDescent="0.15">
      <c r="V1096" s="6"/>
      <c r="W1096" s="28"/>
      <c r="X1096" s="28"/>
      <c r="Y1096" s="28"/>
      <c r="Z1096" s="28"/>
      <c r="AA1096" s="28"/>
      <c r="AB1096" s="28"/>
    </row>
    <row r="1097" spans="22:28" x14ac:dyDescent="0.15">
      <c r="V1097" s="6"/>
      <c r="W1097" s="28"/>
      <c r="X1097" s="28"/>
      <c r="Y1097" s="28"/>
      <c r="Z1097" s="28"/>
      <c r="AA1097" s="28"/>
      <c r="AB1097" s="28"/>
    </row>
    <row r="1098" spans="22:28" x14ac:dyDescent="0.15">
      <c r="V1098" s="6"/>
      <c r="W1098" s="28"/>
      <c r="X1098" s="28"/>
      <c r="Y1098" s="28"/>
      <c r="Z1098" s="28"/>
      <c r="AA1098" s="28"/>
      <c r="AB1098" s="28"/>
    </row>
    <row r="1099" spans="22:28" x14ac:dyDescent="0.15">
      <c r="V1099" s="6"/>
      <c r="W1099" s="28"/>
      <c r="X1099" s="28"/>
      <c r="Y1099" s="28"/>
      <c r="Z1099" s="28"/>
      <c r="AA1099" s="28"/>
      <c r="AB1099" s="28"/>
    </row>
    <row r="1100" spans="22:28" x14ac:dyDescent="0.15">
      <c r="V1100" s="6"/>
      <c r="W1100" s="28"/>
      <c r="X1100" s="28"/>
      <c r="Y1100" s="28"/>
      <c r="Z1100" s="28"/>
      <c r="AA1100" s="28"/>
      <c r="AB1100" s="28"/>
    </row>
    <row r="1101" spans="22:28" x14ac:dyDescent="0.15">
      <c r="V1101" s="6"/>
      <c r="W1101" s="28"/>
      <c r="X1101" s="28"/>
      <c r="Y1101" s="28"/>
      <c r="Z1101" s="28"/>
      <c r="AA1101" s="28"/>
      <c r="AB1101" s="28"/>
    </row>
    <row r="1102" spans="22:28" x14ac:dyDescent="0.15">
      <c r="V1102" s="6"/>
      <c r="W1102" s="28"/>
      <c r="X1102" s="28"/>
      <c r="Y1102" s="28"/>
      <c r="Z1102" s="28"/>
      <c r="AA1102" s="28"/>
      <c r="AB1102" s="28"/>
    </row>
    <row r="1103" spans="22:28" x14ac:dyDescent="0.15">
      <c r="V1103" s="6"/>
      <c r="W1103" s="28"/>
      <c r="X1103" s="28"/>
      <c r="Y1103" s="28"/>
      <c r="Z1103" s="28"/>
      <c r="AA1103" s="28"/>
      <c r="AB1103" s="28"/>
    </row>
    <row r="1104" spans="22:28" x14ac:dyDescent="0.15">
      <c r="V1104" s="6"/>
      <c r="W1104" s="28"/>
      <c r="X1104" s="28"/>
      <c r="Y1104" s="28"/>
      <c r="Z1104" s="28"/>
      <c r="AA1104" s="28"/>
      <c r="AB1104" s="28"/>
    </row>
    <row r="1105" spans="22:28" x14ac:dyDescent="0.15">
      <c r="V1105" s="6"/>
      <c r="W1105" s="28"/>
      <c r="X1105" s="28"/>
      <c r="Y1105" s="28"/>
      <c r="Z1105" s="28"/>
      <c r="AA1105" s="28"/>
      <c r="AB1105" s="28"/>
    </row>
    <row r="1106" spans="22:28" x14ac:dyDescent="0.15">
      <c r="V1106" s="6"/>
      <c r="W1106" s="28"/>
      <c r="X1106" s="28"/>
      <c r="Y1106" s="28"/>
      <c r="Z1106" s="28"/>
      <c r="AA1106" s="28"/>
      <c r="AB1106" s="28"/>
    </row>
    <row r="1107" spans="22:28" x14ac:dyDescent="0.15">
      <c r="V1107" s="6"/>
      <c r="W1107" s="28"/>
      <c r="X1107" s="28"/>
      <c r="Y1107" s="28"/>
      <c r="Z1107" s="28"/>
      <c r="AA1107" s="28"/>
      <c r="AB1107" s="28"/>
    </row>
    <row r="1108" spans="22:28" x14ac:dyDescent="0.15">
      <c r="V1108" s="6"/>
      <c r="W1108" s="28"/>
      <c r="X1108" s="28"/>
      <c r="Y1108" s="28"/>
      <c r="Z1108" s="28"/>
      <c r="AA1108" s="28"/>
      <c r="AB1108" s="28"/>
    </row>
    <row r="1109" spans="22:28" x14ac:dyDescent="0.15">
      <c r="V1109" s="6"/>
      <c r="W1109" s="28"/>
      <c r="X1109" s="28"/>
      <c r="Y1109" s="28"/>
      <c r="Z1109" s="28"/>
      <c r="AA1109" s="28"/>
      <c r="AB1109" s="28"/>
    </row>
    <row r="1110" spans="22:28" x14ac:dyDescent="0.15">
      <c r="V1110" s="6"/>
      <c r="W1110" s="28"/>
      <c r="X1110" s="28"/>
      <c r="Y1110" s="28"/>
      <c r="Z1110" s="28"/>
      <c r="AA1110" s="28"/>
      <c r="AB1110" s="28"/>
    </row>
    <row r="1111" spans="22:28" x14ac:dyDescent="0.15">
      <c r="V1111" s="6"/>
      <c r="W1111" s="28"/>
      <c r="X1111" s="28"/>
      <c r="Y1111" s="28"/>
      <c r="Z1111" s="28"/>
      <c r="AA1111" s="28"/>
      <c r="AB1111" s="28"/>
    </row>
    <row r="1112" spans="22:28" x14ac:dyDescent="0.15">
      <c r="V1112" s="6"/>
      <c r="W1112" s="28"/>
      <c r="X1112" s="28"/>
      <c r="Y1112" s="28"/>
      <c r="Z1112" s="28"/>
      <c r="AA1112" s="28"/>
      <c r="AB1112" s="28"/>
    </row>
    <row r="1113" spans="22:28" x14ac:dyDescent="0.15">
      <c r="V1113" s="6"/>
      <c r="W1113" s="28"/>
      <c r="X1113" s="28"/>
      <c r="Y1113" s="28"/>
      <c r="Z1113" s="28"/>
      <c r="AA1113" s="28"/>
      <c r="AB1113" s="28"/>
    </row>
    <row r="1114" spans="22:28" x14ac:dyDescent="0.15">
      <c r="V1114" s="6"/>
      <c r="W1114" s="28"/>
      <c r="X1114" s="28"/>
      <c r="Y1114" s="28"/>
      <c r="Z1114" s="28"/>
      <c r="AA1114" s="28"/>
      <c r="AB1114" s="28"/>
    </row>
    <row r="1115" spans="22:28" x14ac:dyDescent="0.15">
      <c r="V1115" s="6"/>
      <c r="W1115" s="28"/>
      <c r="X1115" s="28"/>
      <c r="Y1115" s="28"/>
      <c r="Z1115" s="28"/>
      <c r="AA1115" s="28"/>
      <c r="AB1115" s="28"/>
    </row>
    <row r="1116" spans="22:28" x14ac:dyDescent="0.15">
      <c r="V1116" s="6"/>
      <c r="W1116" s="28"/>
      <c r="X1116" s="28"/>
      <c r="Y1116" s="28"/>
      <c r="Z1116" s="28"/>
      <c r="AA1116" s="28"/>
      <c r="AB1116" s="28"/>
    </row>
    <row r="1117" spans="22:28" x14ac:dyDescent="0.15">
      <c r="V1117" s="6"/>
      <c r="W1117" s="28"/>
      <c r="X1117" s="28"/>
      <c r="Y1117" s="28"/>
      <c r="Z1117" s="28"/>
      <c r="AA1117" s="28"/>
      <c r="AB1117" s="28"/>
    </row>
    <row r="1118" spans="22:28" x14ac:dyDescent="0.15">
      <c r="V1118" s="6"/>
      <c r="W1118" s="28"/>
      <c r="X1118" s="28"/>
      <c r="Y1118" s="28"/>
      <c r="Z1118" s="28"/>
      <c r="AA1118" s="28"/>
      <c r="AB1118" s="28"/>
    </row>
    <row r="1119" spans="22:28" x14ac:dyDescent="0.15">
      <c r="V1119" s="6"/>
      <c r="W1119" s="28"/>
      <c r="X1119" s="28"/>
      <c r="Y1119" s="28"/>
      <c r="Z1119" s="28"/>
      <c r="AA1119" s="28"/>
      <c r="AB1119" s="28"/>
    </row>
    <row r="1120" spans="22:28" x14ac:dyDescent="0.15">
      <c r="V1120" s="6"/>
      <c r="W1120" s="28"/>
      <c r="X1120" s="28"/>
      <c r="Y1120" s="28"/>
      <c r="Z1120" s="28"/>
      <c r="AA1120" s="28"/>
      <c r="AB1120" s="28"/>
    </row>
    <row r="1121" spans="22:28" x14ac:dyDescent="0.15">
      <c r="V1121" s="6"/>
      <c r="W1121" s="28"/>
      <c r="X1121" s="28"/>
      <c r="Y1121" s="28"/>
      <c r="Z1121" s="28"/>
      <c r="AA1121" s="28"/>
      <c r="AB1121" s="28"/>
    </row>
    <row r="1122" spans="22:28" x14ac:dyDescent="0.15">
      <c r="V1122" s="6"/>
      <c r="W1122" s="28"/>
      <c r="X1122" s="28"/>
      <c r="Y1122" s="28"/>
      <c r="Z1122" s="28"/>
      <c r="AA1122" s="28"/>
      <c r="AB1122" s="28"/>
    </row>
    <row r="1123" spans="22:28" x14ac:dyDescent="0.15">
      <c r="V1123" s="6"/>
      <c r="W1123" s="28"/>
      <c r="X1123" s="28"/>
      <c r="Y1123" s="28"/>
      <c r="Z1123" s="28"/>
      <c r="AA1123" s="28"/>
      <c r="AB1123" s="28"/>
    </row>
    <row r="1124" spans="22:28" x14ac:dyDescent="0.15">
      <c r="V1124" s="6"/>
      <c r="W1124" s="28"/>
      <c r="X1124" s="28"/>
      <c r="Y1124" s="28"/>
      <c r="Z1124" s="28"/>
      <c r="AA1124" s="28"/>
      <c r="AB1124" s="28"/>
    </row>
    <row r="1125" spans="22:28" x14ac:dyDescent="0.15">
      <c r="V1125" s="6"/>
      <c r="W1125" s="28"/>
      <c r="X1125" s="28"/>
      <c r="Y1125" s="28"/>
      <c r="Z1125" s="28"/>
      <c r="AA1125" s="28"/>
      <c r="AB1125" s="28"/>
    </row>
    <row r="1126" spans="22:28" x14ac:dyDescent="0.15">
      <c r="V1126" s="6"/>
      <c r="W1126" s="28"/>
      <c r="X1126" s="28"/>
      <c r="Y1126" s="28"/>
      <c r="Z1126" s="28"/>
      <c r="AA1126" s="28"/>
      <c r="AB1126" s="28"/>
    </row>
    <row r="1127" spans="22:28" x14ac:dyDescent="0.15">
      <c r="V1127" s="6"/>
      <c r="W1127" s="28"/>
      <c r="X1127" s="28"/>
      <c r="Y1127" s="28"/>
      <c r="Z1127" s="28"/>
      <c r="AA1127" s="28"/>
      <c r="AB1127" s="28"/>
    </row>
    <row r="1128" spans="22:28" x14ac:dyDescent="0.15">
      <c r="V1128" s="6"/>
      <c r="W1128" s="28"/>
      <c r="X1128" s="28"/>
      <c r="Y1128" s="28"/>
      <c r="Z1128" s="28"/>
      <c r="AA1128" s="28"/>
      <c r="AB1128" s="28"/>
    </row>
    <row r="1129" spans="22:28" x14ac:dyDescent="0.15">
      <c r="V1129" s="6"/>
      <c r="W1129" s="28"/>
      <c r="X1129" s="28"/>
      <c r="Y1129" s="28"/>
      <c r="Z1129" s="28"/>
      <c r="AA1129" s="28"/>
      <c r="AB1129" s="28"/>
    </row>
    <row r="1130" spans="22:28" x14ac:dyDescent="0.15">
      <c r="V1130" s="6"/>
      <c r="W1130" s="28"/>
      <c r="X1130" s="28"/>
      <c r="Y1130" s="28"/>
      <c r="Z1130" s="28"/>
      <c r="AA1130" s="28"/>
      <c r="AB1130" s="28"/>
    </row>
    <row r="1131" spans="22:28" x14ac:dyDescent="0.15">
      <c r="V1131" s="6"/>
      <c r="W1131" s="28"/>
      <c r="X1131" s="28"/>
      <c r="Y1131" s="28"/>
      <c r="Z1131" s="28"/>
      <c r="AA1131" s="28"/>
      <c r="AB1131" s="28"/>
    </row>
    <row r="1132" spans="22:28" x14ac:dyDescent="0.15">
      <c r="V1132" s="6"/>
      <c r="W1132" s="28"/>
      <c r="X1132" s="28"/>
      <c r="Y1132" s="28"/>
      <c r="Z1132" s="28"/>
      <c r="AA1132" s="28"/>
      <c r="AB1132" s="28"/>
    </row>
    <row r="1133" spans="22:28" x14ac:dyDescent="0.15">
      <c r="V1133" s="6"/>
      <c r="W1133" s="28"/>
      <c r="X1133" s="28"/>
      <c r="Y1133" s="28"/>
      <c r="Z1133" s="28"/>
      <c r="AA1133" s="28"/>
      <c r="AB1133" s="28"/>
    </row>
    <row r="1134" spans="22:28" x14ac:dyDescent="0.15">
      <c r="V1134" s="6"/>
      <c r="W1134" s="28"/>
      <c r="X1134" s="28"/>
      <c r="Y1134" s="28"/>
      <c r="Z1134" s="28"/>
      <c r="AA1134" s="28"/>
      <c r="AB1134" s="28"/>
    </row>
    <row r="1135" spans="22:28" x14ac:dyDescent="0.15">
      <c r="V1135" s="6"/>
      <c r="W1135" s="28"/>
      <c r="X1135" s="28"/>
      <c r="Y1135" s="28"/>
      <c r="Z1135" s="28"/>
      <c r="AA1135" s="28"/>
      <c r="AB1135" s="28"/>
    </row>
    <row r="1136" spans="22:28" x14ac:dyDescent="0.15">
      <c r="V1136" s="6"/>
      <c r="W1136" s="28"/>
      <c r="X1136" s="28"/>
      <c r="Y1136" s="28"/>
      <c r="Z1136" s="28"/>
      <c r="AA1136" s="28"/>
      <c r="AB1136" s="28"/>
    </row>
    <row r="1137" spans="22:28" x14ac:dyDescent="0.15">
      <c r="V1137" s="6"/>
      <c r="W1137" s="28"/>
      <c r="X1137" s="28"/>
      <c r="Y1137" s="28"/>
      <c r="Z1137" s="28"/>
      <c r="AA1137" s="28"/>
      <c r="AB1137" s="28"/>
    </row>
    <row r="1138" spans="22:28" x14ac:dyDescent="0.15">
      <c r="V1138" s="6"/>
      <c r="W1138" s="28"/>
      <c r="X1138" s="28"/>
      <c r="Y1138" s="28"/>
      <c r="Z1138" s="28"/>
      <c r="AA1138" s="28"/>
      <c r="AB1138" s="28"/>
    </row>
    <row r="1139" spans="22:28" x14ac:dyDescent="0.15">
      <c r="V1139" s="6"/>
      <c r="W1139" s="28"/>
      <c r="X1139" s="28"/>
      <c r="Y1139" s="28"/>
      <c r="Z1139" s="28"/>
      <c r="AA1139" s="28"/>
      <c r="AB1139" s="28"/>
    </row>
    <row r="1140" spans="22:28" x14ac:dyDescent="0.15">
      <c r="V1140" s="6"/>
      <c r="W1140" s="28"/>
      <c r="X1140" s="28"/>
      <c r="Y1140" s="28"/>
      <c r="Z1140" s="28"/>
      <c r="AA1140" s="28"/>
      <c r="AB1140" s="28"/>
    </row>
    <row r="1141" spans="22:28" x14ac:dyDescent="0.15">
      <c r="V1141" s="6"/>
      <c r="W1141" s="28"/>
      <c r="X1141" s="28"/>
      <c r="Y1141" s="28"/>
      <c r="Z1141" s="28"/>
      <c r="AA1141" s="28"/>
      <c r="AB1141" s="28"/>
    </row>
    <row r="1142" spans="22:28" x14ac:dyDescent="0.15">
      <c r="V1142" s="6"/>
      <c r="W1142" s="28"/>
      <c r="X1142" s="28"/>
      <c r="Y1142" s="28"/>
      <c r="Z1142" s="28"/>
      <c r="AA1142" s="28"/>
      <c r="AB1142" s="28"/>
    </row>
    <row r="1143" spans="22:28" x14ac:dyDescent="0.15">
      <c r="V1143" s="6"/>
      <c r="W1143" s="28"/>
      <c r="X1143" s="28"/>
      <c r="Y1143" s="28"/>
      <c r="Z1143" s="28"/>
      <c r="AA1143" s="28"/>
      <c r="AB1143" s="28"/>
    </row>
    <row r="1144" spans="22:28" x14ac:dyDescent="0.15">
      <c r="V1144" s="6"/>
      <c r="W1144" s="28"/>
      <c r="X1144" s="28"/>
      <c r="Y1144" s="28"/>
      <c r="Z1144" s="28"/>
      <c r="AA1144" s="28"/>
      <c r="AB1144" s="28"/>
    </row>
    <row r="1145" spans="22:28" x14ac:dyDescent="0.15">
      <c r="V1145" s="6"/>
      <c r="W1145" s="28"/>
      <c r="X1145" s="28"/>
      <c r="Y1145" s="28"/>
      <c r="Z1145" s="28"/>
      <c r="AA1145" s="28"/>
      <c r="AB1145" s="28"/>
    </row>
    <row r="1146" spans="22:28" x14ac:dyDescent="0.15">
      <c r="V1146" s="6"/>
      <c r="W1146" s="28"/>
      <c r="X1146" s="28"/>
      <c r="Y1146" s="28"/>
      <c r="Z1146" s="28"/>
      <c r="AA1146" s="28"/>
      <c r="AB1146" s="28"/>
    </row>
    <row r="1147" spans="22:28" x14ac:dyDescent="0.15">
      <c r="V1147" s="6"/>
      <c r="W1147" s="28"/>
      <c r="X1147" s="28"/>
      <c r="Y1147" s="28"/>
      <c r="Z1147" s="28"/>
      <c r="AA1147" s="28"/>
      <c r="AB1147" s="28"/>
    </row>
    <row r="1148" spans="22:28" x14ac:dyDescent="0.15">
      <c r="V1148" s="6"/>
      <c r="W1148" s="28"/>
      <c r="X1148" s="28"/>
      <c r="Y1148" s="28"/>
      <c r="Z1148" s="28"/>
      <c r="AA1148" s="28"/>
      <c r="AB1148" s="28"/>
    </row>
    <row r="1149" spans="22:28" x14ac:dyDescent="0.15">
      <c r="V1149" s="6"/>
      <c r="W1149" s="28"/>
      <c r="X1149" s="28"/>
      <c r="Y1149" s="28"/>
      <c r="Z1149" s="28"/>
      <c r="AA1149" s="28"/>
      <c r="AB1149" s="28"/>
    </row>
    <row r="1150" spans="22:28" x14ac:dyDescent="0.15">
      <c r="V1150" s="6"/>
      <c r="W1150" s="28"/>
      <c r="X1150" s="28"/>
      <c r="Y1150" s="28"/>
      <c r="Z1150" s="28"/>
      <c r="AA1150" s="28"/>
      <c r="AB1150" s="28"/>
    </row>
    <row r="1151" spans="22:28" x14ac:dyDescent="0.15">
      <c r="V1151" s="6"/>
      <c r="W1151" s="28"/>
      <c r="X1151" s="28"/>
      <c r="Y1151" s="28"/>
      <c r="Z1151" s="28"/>
      <c r="AA1151" s="28"/>
      <c r="AB1151" s="28"/>
    </row>
    <row r="1152" spans="22:28" x14ac:dyDescent="0.15">
      <c r="V1152" s="6"/>
      <c r="W1152" s="28"/>
      <c r="X1152" s="28"/>
      <c r="Y1152" s="28"/>
      <c r="Z1152" s="28"/>
      <c r="AA1152" s="28"/>
      <c r="AB1152" s="28"/>
    </row>
    <row r="1153" spans="22:28" x14ac:dyDescent="0.15">
      <c r="V1153" s="6"/>
      <c r="W1153" s="28"/>
      <c r="X1153" s="28"/>
      <c r="Y1153" s="28"/>
      <c r="Z1153" s="28"/>
      <c r="AA1153" s="28"/>
      <c r="AB1153" s="28"/>
    </row>
    <row r="1154" spans="22:28" x14ac:dyDescent="0.15">
      <c r="V1154" s="6"/>
      <c r="W1154" s="28"/>
      <c r="X1154" s="28"/>
      <c r="Y1154" s="28"/>
      <c r="Z1154" s="28"/>
      <c r="AA1154" s="28"/>
      <c r="AB1154" s="28"/>
    </row>
    <row r="1155" spans="22:28" x14ac:dyDescent="0.15">
      <c r="V1155" s="6"/>
      <c r="W1155" s="28"/>
      <c r="X1155" s="28"/>
      <c r="Y1155" s="28"/>
      <c r="Z1155" s="28"/>
      <c r="AA1155" s="28"/>
      <c r="AB1155" s="28"/>
    </row>
    <row r="1156" spans="22:28" x14ac:dyDescent="0.15">
      <c r="V1156" s="6"/>
      <c r="W1156" s="28"/>
      <c r="X1156" s="28"/>
      <c r="Y1156" s="28"/>
      <c r="Z1156" s="28"/>
      <c r="AA1156" s="28"/>
      <c r="AB1156" s="28"/>
    </row>
    <row r="1157" spans="22:28" x14ac:dyDescent="0.15">
      <c r="V1157" s="6"/>
      <c r="W1157" s="28"/>
      <c r="X1157" s="28"/>
      <c r="Y1157" s="28"/>
      <c r="Z1157" s="28"/>
      <c r="AA1157" s="28"/>
      <c r="AB1157" s="28"/>
    </row>
    <row r="1158" spans="22:28" x14ac:dyDescent="0.15">
      <c r="V1158" s="6"/>
      <c r="W1158" s="28"/>
      <c r="X1158" s="28"/>
      <c r="Y1158" s="28"/>
      <c r="Z1158" s="28"/>
      <c r="AA1158" s="28"/>
      <c r="AB1158" s="28"/>
    </row>
    <row r="1159" spans="22:28" x14ac:dyDescent="0.15">
      <c r="V1159" s="6"/>
      <c r="W1159" s="28"/>
      <c r="X1159" s="28"/>
      <c r="Y1159" s="28"/>
      <c r="Z1159" s="28"/>
      <c r="AA1159" s="28"/>
      <c r="AB1159" s="28"/>
    </row>
    <row r="1160" spans="22:28" x14ac:dyDescent="0.15">
      <c r="V1160" s="6"/>
      <c r="W1160" s="28"/>
      <c r="X1160" s="28"/>
      <c r="Y1160" s="28"/>
      <c r="Z1160" s="28"/>
      <c r="AA1160" s="28"/>
      <c r="AB1160" s="28"/>
    </row>
    <row r="1161" spans="22:28" x14ac:dyDescent="0.15">
      <c r="V1161" s="6"/>
      <c r="W1161" s="28"/>
      <c r="X1161" s="28"/>
      <c r="Y1161" s="28"/>
      <c r="Z1161" s="28"/>
      <c r="AA1161" s="28"/>
      <c r="AB1161" s="28"/>
    </row>
    <row r="1162" spans="22:28" x14ac:dyDescent="0.15">
      <c r="V1162" s="6"/>
      <c r="W1162" s="28"/>
      <c r="X1162" s="28"/>
      <c r="Y1162" s="28"/>
      <c r="Z1162" s="28"/>
      <c r="AA1162" s="28"/>
      <c r="AB1162" s="28"/>
    </row>
    <row r="1163" spans="22:28" x14ac:dyDescent="0.15">
      <c r="V1163" s="6"/>
      <c r="W1163" s="28"/>
      <c r="X1163" s="28"/>
      <c r="Y1163" s="28"/>
      <c r="Z1163" s="28"/>
      <c r="AA1163" s="28"/>
      <c r="AB1163" s="28"/>
    </row>
    <row r="1164" spans="22:28" x14ac:dyDescent="0.15">
      <c r="V1164" s="6"/>
      <c r="W1164" s="28"/>
      <c r="X1164" s="28"/>
      <c r="Y1164" s="28"/>
      <c r="Z1164" s="28"/>
      <c r="AA1164" s="28"/>
      <c r="AB1164" s="28"/>
    </row>
    <row r="1165" spans="22:28" x14ac:dyDescent="0.15">
      <c r="V1165" s="6"/>
      <c r="W1165" s="28"/>
      <c r="X1165" s="28"/>
      <c r="Y1165" s="28"/>
      <c r="Z1165" s="28"/>
      <c r="AA1165" s="28"/>
      <c r="AB1165" s="28"/>
    </row>
    <row r="1166" spans="22:28" x14ac:dyDescent="0.15">
      <c r="V1166" s="6"/>
      <c r="W1166" s="28"/>
      <c r="X1166" s="28"/>
      <c r="Y1166" s="28"/>
      <c r="Z1166" s="28"/>
      <c r="AA1166" s="28"/>
      <c r="AB1166" s="28"/>
    </row>
    <row r="1167" spans="22:28" x14ac:dyDescent="0.15">
      <c r="V1167" s="6"/>
      <c r="W1167" s="28"/>
      <c r="X1167" s="28"/>
      <c r="Y1167" s="28"/>
      <c r="Z1167" s="28"/>
      <c r="AA1167" s="28"/>
      <c r="AB1167" s="28"/>
    </row>
    <row r="1168" spans="22:28" x14ac:dyDescent="0.15">
      <c r="V1168" s="6"/>
      <c r="W1168" s="28"/>
      <c r="X1168" s="28"/>
      <c r="Y1168" s="28"/>
      <c r="Z1168" s="28"/>
      <c r="AA1168" s="28"/>
      <c r="AB1168" s="28"/>
    </row>
    <row r="1169" spans="22:28" x14ac:dyDescent="0.15">
      <c r="V1169" s="6"/>
      <c r="W1169" s="28"/>
      <c r="X1169" s="28"/>
      <c r="Y1169" s="28"/>
      <c r="Z1169" s="28"/>
      <c r="AA1169" s="28"/>
      <c r="AB1169" s="28"/>
    </row>
    <row r="1170" spans="22:28" x14ac:dyDescent="0.15">
      <c r="V1170" s="6"/>
      <c r="W1170" s="28"/>
      <c r="X1170" s="28"/>
      <c r="Y1170" s="28"/>
      <c r="Z1170" s="28"/>
      <c r="AA1170" s="28"/>
      <c r="AB1170" s="28"/>
    </row>
    <row r="1171" spans="22:28" x14ac:dyDescent="0.15">
      <c r="V1171" s="6"/>
      <c r="W1171" s="28"/>
      <c r="X1171" s="28"/>
      <c r="Y1171" s="28"/>
      <c r="Z1171" s="28"/>
      <c r="AA1171" s="28"/>
      <c r="AB1171" s="28"/>
    </row>
    <row r="1172" spans="22:28" x14ac:dyDescent="0.15">
      <c r="V1172" s="6"/>
      <c r="W1172" s="28"/>
      <c r="X1172" s="28"/>
      <c r="Y1172" s="28"/>
      <c r="Z1172" s="28"/>
      <c r="AA1172" s="28"/>
      <c r="AB1172" s="28"/>
    </row>
    <row r="1173" spans="22:28" x14ac:dyDescent="0.15">
      <c r="V1173" s="6"/>
      <c r="W1173" s="28"/>
      <c r="X1173" s="28"/>
      <c r="Y1173" s="28"/>
      <c r="Z1173" s="28"/>
      <c r="AA1173" s="28"/>
      <c r="AB1173" s="28"/>
    </row>
    <row r="1174" spans="22:28" x14ac:dyDescent="0.15">
      <c r="V1174" s="6"/>
      <c r="W1174" s="28"/>
      <c r="X1174" s="28"/>
      <c r="Y1174" s="28"/>
      <c r="Z1174" s="28"/>
      <c r="AA1174" s="28"/>
      <c r="AB1174" s="28"/>
    </row>
    <row r="1175" spans="22:28" x14ac:dyDescent="0.15">
      <c r="V1175" s="6"/>
      <c r="W1175" s="28"/>
      <c r="X1175" s="28"/>
      <c r="Y1175" s="28"/>
      <c r="Z1175" s="28"/>
      <c r="AA1175" s="28"/>
      <c r="AB1175" s="28"/>
    </row>
    <row r="1176" spans="22:28" x14ac:dyDescent="0.15">
      <c r="V1176" s="6"/>
      <c r="W1176" s="28"/>
      <c r="X1176" s="28"/>
      <c r="Y1176" s="28"/>
      <c r="Z1176" s="28"/>
      <c r="AA1176" s="28"/>
      <c r="AB1176" s="28"/>
    </row>
    <row r="1177" spans="22:28" x14ac:dyDescent="0.15">
      <c r="V1177" s="6"/>
      <c r="W1177" s="28"/>
      <c r="X1177" s="28"/>
      <c r="Y1177" s="28"/>
      <c r="Z1177" s="28"/>
      <c r="AA1177" s="28"/>
      <c r="AB1177" s="28"/>
    </row>
    <row r="1178" spans="22:28" x14ac:dyDescent="0.15">
      <c r="V1178" s="6"/>
      <c r="W1178" s="28"/>
      <c r="X1178" s="28"/>
      <c r="Y1178" s="28"/>
      <c r="Z1178" s="28"/>
      <c r="AA1178" s="28"/>
      <c r="AB1178" s="28"/>
    </row>
    <row r="1179" spans="22:28" x14ac:dyDescent="0.15">
      <c r="V1179" s="6"/>
      <c r="W1179" s="28"/>
      <c r="X1179" s="28"/>
      <c r="Y1179" s="28"/>
      <c r="Z1179" s="28"/>
      <c r="AA1179" s="28"/>
      <c r="AB1179" s="28"/>
    </row>
    <row r="1180" spans="22:28" x14ac:dyDescent="0.15">
      <c r="V1180" s="6"/>
      <c r="W1180" s="28"/>
      <c r="X1180" s="28"/>
      <c r="Y1180" s="28"/>
      <c r="Z1180" s="28"/>
      <c r="AA1180" s="28"/>
      <c r="AB1180" s="28"/>
    </row>
    <row r="1181" spans="22:28" x14ac:dyDescent="0.15">
      <c r="V1181" s="6"/>
      <c r="W1181" s="28"/>
      <c r="X1181" s="28"/>
      <c r="Y1181" s="28"/>
      <c r="Z1181" s="28"/>
      <c r="AA1181" s="28"/>
      <c r="AB1181" s="28"/>
    </row>
    <row r="1182" spans="22:28" x14ac:dyDescent="0.15">
      <c r="V1182" s="6"/>
      <c r="W1182" s="28"/>
      <c r="X1182" s="28"/>
      <c r="Y1182" s="28"/>
      <c r="Z1182" s="28"/>
      <c r="AA1182" s="28"/>
      <c r="AB1182" s="28"/>
    </row>
    <row r="1183" spans="22:28" x14ac:dyDescent="0.15">
      <c r="V1183" s="6"/>
      <c r="W1183" s="28"/>
      <c r="X1183" s="28"/>
      <c r="Y1183" s="28"/>
      <c r="Z1183" s="28"/>
      <c r="AA1183" s="28"/>
      <c r="AB1183" s="28"/>
    </row>
    <row r="1184" spans="22:28" x14ac:dyDescent="0.15">
      <c r="V1184" s="6"/>
      <c r="W1184" s="28"/>
      <c r="X1184" s="28"/>
      <c r="Y1184" s="28"/>
      <c r="Z1184" s="28"/>
      <c r="AA1184" s="28"/>
      <c r="AB1184" s="28"/>
    </row>
    <row r="1185" spans="22:28" x14ac:dyDescent="0.15">
      <c r="V1185" s="6"/>
      <c r="W1185" s="28"/>
      <c r="X1185" s="28"/>
      <c r="Y1185" s="28"/>
      <c r="Z1185" s="28"/>
      <c r="AA1185" s="28"/>
      <c r="AB1185" s="28"/>
    </row>
    <row r="1186" spans="22:28" x14ac:dyDescent="0.15">
      <c r="V1186" s="6"/>
      <c r="W1186" s="28"/>
      <c r="X1186" s="28"/>
      <c r="Y1186" s="28"/>
      <c r="Z1186" s="28"/>
      <c r="AA1186" s="28"/>
      <c r="AB1186" s="28"/>
    </row>
    <row r="1187" spans="22:28" x14ac:dyDescent="0.15">
      <c r="V1187" s="6"/>
      <c r="W1187" s="28"/>
      <c r="X1187" s="28"/>
      <c r="Y1187" s="28"/>
      <c r="Z1187" s="28"/>
      <c r="AA1187" s="28"/>
      <c r="AB1187" s="28"/>
    </row>
    <row r="1188" spans="22:28" x14ac:dyDescent="0.15">
      <c r="V1188" s="6"/>
      <c r="W1188" s="28"/>
      <c r="X1188" s="28"/>
      <c r="Y1188" s="28"/>
      <c r="Z1188" s="28"/>
      <c r="AA1188" s="28"/>
      <c r="AB1188" s="28"/>
    </row>
    <row r="1189" spans="22:28" x14ac:dyDescent="0.15">
      <c r="V1189" s="6"/>
      <c r="W1189" s="28"/>
      <c r="X1189" s="28"/>
      <c r="Y1189" s="28"/>
      <c r="Z1189" s="28"/>
      <c r="AA1189" s="28"/>
      <c r="AB1189" s="28"/>
    </row>
    <row r="1190" spans="22:28" x14ac:dyDescent="0.15">
      <c r="V1190" s="6"/>
      <c r="W1190" s="28"/>
      <c r="X1190" s="28"/>
      <c r="Y1190" s="28"/>
      <c r="Z1190" s="28"/>
      <c r="AA1190" s="28"/>
      <c r="AB1190" s="28"/>
    </row>
    <row r="1191" spans="22:28" x14ac:dyDescent="0.15">
      <c r="V1191" s="6"/>
      <c r="W1191" s="28"/>
      <c r="X1191" s="28"/>
      <c r="Y1191" s="28"/>
      <c r="Z1191" s="28"/>
      <c r="AA1191" s="28"/>
      <c r="AB1191" s="28"/>
    </row>
    <row r="1192" spans="22:28" x14ac:dyDescent="0.15">
      <c r="V1192" s="6"/>
      <c r="W1192" s="28"/>
      <c r="X1192" s="28"/>
      <c r="Y1192" s="28"/>
      <c r="Z1192" s="28"/>
      <c r="AA1192" s="28"/>
      <c r="AB1192" s="28"/>
    </row>
    <row r="1193" spans="22:28" x14ac:dyDescent="0.15">
      <c r="V1193" s="6"/>
      <c r="W1193" s="28"/>
      <c r="X1193" s="28"/>
      <c r="Y1193" s="28"/>
      <c r="Z1193" s="28"/>
      <c r="AA1193" s="28"/>
      <c r="AB1193" s="28"/>
    </row>
    <row r="1194" spans="22:28" x14ac:dyDescent="0.15">
      <c r="V1194" s="6"/>
      <c r="W1194" s="28"/>
      <c r="X1194" s="28"/>
      <c r="Y1194" s="28"/>
      <c r="Z1194" s="28"/>
      <c r="AA1194" s="28"/>
      <c r="AB1194" s="28"/>
    </row>
    <row r="1195" spans="22:28" x14ac:dyDescent="0.15">
      <c r="V1195" s="6"/>
      <c r="W1195" s="28"/>
      <c r="X1195" s="28"/>
      <c r="Y1195" s="28"/>
      <c r="Z1195" s="28"/>
      <c r="AA1195" s="28"/>
      <c r="AB1195" s="28"/>
    </row>
    <row r="1196" spans="22:28" x14ac:dyDescent="0.15">
      <c r="V1196" s="6"/>
      <c r="W1196" s="28"/>
      <c r="X1196" s="28"/>
      <c r="Y1196" s="28"/>
      <c r="Z1196" s="28"/>
      <c r="AA1196" s="28"/>
      <c r="AB1196" s="28"/>
    </row>
    <row r="1197" spans="22:28" x14ac:dyDescent="0.15">
      <c r="V1197" s="6"/>
      <c r="W1197" s="28"/>
      <c r="X1197" s="28"/>
      <c r="Y1197" s="28"/>
      <c r="Z1197" s="28"/>
      <c r="AA1197" s="28"/>
      <c r="AB1197" s="28"/>
    </row>
    <row r="1198" spans="22:28" x14ac:dyDescent="0.15">
      <c r="V1198" s="6"/>
      <c r="W1198" s="28"/>
      <c r="X1198" s="28"/>
      <c r="Y1198" s="28"/>
      <c r="Z1198" s="28"/>
      <c r="AA1198" s="28"/>
      <c r="AB1198" s="28"/>
    </row>
    <row r="1199" spans="22:28" x14ac:dyDescent="0.15">
      <c r="V1199" s="6"/>
      <c r="W1199" s="28"/>
      <c r="X1199" s="28"/>
      <c r="Y1199" s="28"/>
      <c r="Z1199" s="28"/>
      <c r="AA1199" s="28"/>
      <c r="AB1199" s="28"/>
    </row>
    <row r="1200" spans="22:28" x14ac:dyDescent="0.15">
      <c r="V1200" s="6"/>
      <c r="W1200" s="28"/>
      <c r="X1200" s="28"/>
      <c r="Y1200" s="28"/>
      <c r="Z1200" s="28"/>
      <c r="AA1200" s="28"/>
      <c r="AB1200" s="28"/>
    </row>
    <row r="1201" spans="22:28" x14ac:dyDescent="0.15">
      <c r="V1201" s="6"/>
      <c r="W1201" s="28"/>
      <c r="X1201" s="28"/>
      <c r="Y1201" s="28"/>
      <c r="Z1201" s="28"/>
      <c r="AA1201" s="28"/>
      <c r="AB1201" s="28"/>
    </row>
    <row r="1202" spans="22:28" x14ac:dyDescent="0.15">
      <c r="V1202" s="6"/>
      <c r="W1202" s="28"/>
      <c r="X1202" s="28"/>
      <c r="Y1202" s="28"/>
      <c r="Z1202" s="28"/>
      <c r="AA1202" s="28"/>
      <c r="AB1202" s="28"/>
    </row>
    <row r="1203" spans="22:28" x14ac:dyDescent="0.15">
      <c r="V1203" s="6"/>
      <c r="W1203" s="28"/>
      <c r="X1203" s="28"/>
      <c r="Y1203" s="28"/>
      <c r="Z1203" s="28"/>
      <c r="AA1203" s="28"/>
      <c r="AB1203" s="28"/>
    </row>
    <row r="1204" spans="22:28" x14ac:dyDescent="0.15">
      <c r="V1204" s="6"/>
      <c r="W1204" s="28"/>
      <c r="X1204" s="28"/>
      <c r="Y1204" s="28"/>
      <c r="Z1204" s="28"/>
      <c r="AA1204" s="28"/>
      <c r="AB1204" s="28"/>
    </row>
    <row r="1205" spans="22:28" x14ac:dyDescent="0.15">
      <c r="V1205" s="6"/>
      <c r="W1205" s="28"/>
      <c r="X1205" s="28"/>
      <c r="Y1205" s="28"/>
      <c r="Z1205" s="28"/>
      <c r="AA1205" s="28"/>
      <c r="AB1205" s="28"/>
    </row>
    <row r="1206" spans="22:28" x14ac:dyDescent="0.15">
      <c r="V1206" s="6"/>
      <c r="W1206" s="28"/>
      <c r="X1206" s="28"/>
      <c r="Y1206" s="28"/>
      <c r="Z1206" s="28"/>
      <c r="AA1206" s="28"/>
      <c r="AB1206" s="28"/>
    </row>
    <row r="1207" spans="22:28" x14ac:dyDescent="0.15">
      <c r="V1207" s="6"/>
      <c r="W1207" s="28"/>
      <c r="X1207" s="28"/>
      <c r="Y1207" s="28"/>
      <c r="Z1207" s="28"/>
      <c r="AA1207" s="28"/>
      <c r="AB1207" s="28"/>
    </row>
    <row r="1208" spans="22:28" x14ac:dyDescent="0.15">
      <c r="V1208" s="6"/>
      <c r="W1208" s="28"/>
      <c r="X1208" s="28"/>
      <c r="Y1208" s="28"/>
      <c r="Z1208" s="28"/>
      <c r="AA1208" s="28"/>
      <c r="AB1208" s="28"/>
    </row>
    <row r="1209" spans="22:28" x14ac:dyDescent="0.15">
      <c r="V1209" s="6"/>
      <c r="W1209" s="28"/>
      <c r="X1209" s="28"/>
      <c r="Y1209" s="28"/>
      <c r="Z1209" s="28"/>
      <c r="AA1209" s="28"/>
      <c r="AB1209" s="28"/>
    </row>
    <row r="1210" spans="22:28" x14ac:dyDescent="0.15">
      <c r="V1210" s="6"/>
      <c r="W1210" s="28"/>
      <c r="X1210" s="28"/>
      <c r="Y1210" s="28"/>
      <c r="Z1210" s="28"/>
      <c r="AA1210" s="28"/>
      <c r="AB1210" s="28"/>
    </row>
    <row r="1211" spans="22:28" x14ac:dyDescent="0.15">
      <c r="V1211" s="6"/>
      <c r="W1211" s="28"/>
      <c r="X1211" s="28"/>
      <c r="Y1211" s="28"/>
      <c r="Z1211" s="28"/>
      <c r="AA1211" s="28"/>
      <c r="AB1211" s="28"/>
    </row>
    <row r="1212" spans="22:28" x14ac:dyDescent="0.15">
      <c r="V1212" s="6"/>
      <c r="W1212" s="28"/>
      <c r="X1212" s="28"/>
      <c r="Y1212" s="28"/>
      <c r="Z1212" s="28"/>
      <c r="AA1212" s="28"/>
      <c r="AB1212" s="28"/>
    </row>
    <row r="1213" spans="22:28" x14ac:dyDescent="0.15">
      <c r="V1213" s="6"/>
      <c r="W1213" s="28"/>
      <c r="X1213" s="28"/>
      <c r="Y1213" s="28"/>
      <c r="Z1213" s="28"/>
      <c r="AA1213" s="28"/>
      <c r="AB1213" s="28"/>
    </row>
    <row r="1214" spans="22:28" x14ac:dyDescent="0.15">
      <c r="V1214" s="6"/>
      <c r="W1214" s="28"/>
      <c r="X1214" s="28"/>
      <c r="Y1214" s="28"/>
      <c r="Z1214" s="28"/>
      <c r="AA1214" s="28"/>
      <c r="AB1214" s="28"/>
    </row>
    <row r="1215" spans="22:28" x14ac:dyDescent="0.15">
      <c r="V1215" s="6"/>
      <c r="W1215" s="28"/>
      <c r="X1215" s="28"/>
      <c r="Y1215" s="28"/>
      <c r="Z1215" s="28"/>
      <c r="AA1215" s="28"/>
      <c r="AB1215" s="28"/>
    </row>
    <row r="1216" spans="22:28" x14ac:dyDescent="0.15">
      <c r="V1216" s="6"/>
      <c r="W1216" s="28"/>
      <c r="X1216" s="28"/>
      <c r="Y1216" s="28"/>
      <c r="Z1216" s="28"/>
      <c r="AA1216" s="28"/>
      <c r="AB1216" s="28"/>
    </row>
    <row r="1217" spans="22:28" x14ac:dyDescent="0.15">
      <c r="V1217" s="6"/>
      <c r="W1217" s="28"/>
      <c r="X1217" s="28"/>
      <c r="Y1217" s="28"/>
      <c r="Z1217" s="28"/>
      <c r="AA1217" s="28"/>
      <c r="AB1217" s="28"/>
    </row>
    <row r="1218" spans="22:28" x14ac:dyDescent="0.15">
      <c r="V1218" s="6"/>
      <c r="W1218" s="28"/>
      <c r="X1218" s="28"/>
      <c r="Y1218" s="28"/>
      <c r="Z1218" s="28"/>
      <c r="AA1218" s="28"/>
      <c r="AB1218" s="28"/>
    </row>
    <row r="1219" spans="22:28" x14ac:dyDescent="0.15">
      <c r="V1219" s="6"/>
      <c r="W1219" s="28"/>
      <c r="X1219" s="28"/>
      <c r="Y1219" s="28"/>
      <c r="Z1219" s="28"/>
      <c r="AA1219" s="28"/>
      <c r="AB1219" s="28"/>
    </row>
    <row r="1220" spans="22:28" x14ac:dyDescent="0.15">
      <c r="V1220" s="6"/>
      <c r="W1220" s="28"/>
      <c r="X1220" s="28"/>
      <c r="Y1220" s="28"/>
      <c r="Z1220" s="28"/>
      <c r="AA1220" s="28"/>
      <c r="AB1220" s="28"/>
    </row>
    <row r="1221" spans="22:28" x14ac:dyDescent="0.15">
      <c r="V1221" s="6"/>
      <c r="W1221" s="28"/>
      <c r="X1221" s="28"/>
      <c r="Y1221" s="28"/>
      <c r="Z1221" s="28"/>
      <c r="AA1221" s="28"/>
      <c r="AB1221" s="28"/>
    </row>
    <row r="1222" spans="22:28" x14ac:dyDescent="0.15">
      <c r="V1222" s="6"/>
      <c r="W1222" s="28"/>
      <c r="X1222" s="28"/>
      <c r="Y1222" s="28"/>
      <c r="Z1222" s="28"/>
      <c r="AA1222" s="28"/>
      <c r="AB1222" s="28"/>
    </row>
    <row r="1223" spans="22:28" x14ac:dyDescent="0.15">
      <c r="V1223" s="6"/>
      <c r="W1223" s="28"/>
      <c r="X1223" s="28"/>
      <c r="Y1223" s="28"/>
      <c r="Z1223" s="28"/>
      <c r="AA1223" s="28"/>
      <c r="AB1223" s="28"/>
    </row>
    <row r="1224" spans="22:28" x14ac:dyDescent="0.15">
      <c r="V1224" s="6"/>
      <c r="W1224" s="28"/>
      <c r="X1224" s="28"/>
      <c r="Y1224" s="28"/>
      <c r="Z1224" s="28"/>
      <c r="AA1224" s="28"/>
      <c r="AB1224" s="28"/>
    </row>
    <row r="1225" spans="22:28" x14ac:dyDescent="0.15">
      <c r="V1225" s="6"/>
      <c r="W1225" s="28"/>
      <c r="X1225" s="28"/>
      <c r="Y1225" s="28"/>
      <c r="Z1225" s="28"/>
      <c r="AA1225" s="28"/>
      <c r="AB1225" s="28"/>
    </row>
    <row r="1226" spans="22:28" x14ac:dyDescent="0.15">
      <c r="V1226" s="6"/>
      <c r="W1226" s="28"/>
      <c r="X1226" s="28"/>
      <c r="Y1226" s="28"/>
      <c r="Z1226" s="28"/>
      <c r="AA1226" s="28"/>
      <c r="AB1226" s="28"/>
    </row>
    <row r="1227" spans="22:28" x14ac:dyDescent="0.15">
      <c r="V1227" s="6"/>
      <c r="W1227" s="28"/>
      <c r="X1227" s="28"/>
      <c r="Y1227" s="28"/>
      <c r="Z1227" s="28"/>
      <c r="AA1227" s="28"/>
      <c r="AB1227" s="28"/>
    </row>
    <row r="1228" spans="22:28" x14ac:dyDescent="0.15">
      <c r="V1228" s="6"/>
      <c r="W1228" s="28"/>
      <c r="X1228" s="28"/>
      <c r="Y1228" s="28"/>
      <c r="Z1228" s="28"/>
      <c r="AA1228" s="28"/>
      <c r="AB1228" s="28"/>
    </row>
    <row r="1229" spans="22:28" x14ac:dyDescent="0.15">
      <c r="V1229" s="6"/>
      <c r="W1229" s="28"/>
      <c r="X1229" s="28"/>
      <c r="Y1229" s="28"/>
      <c r="Z1229" s="28"/>
      <c r="AA1229" s="28"/>
      <c r="AB1229" s="28"/>
    </row>
    <row r="1230" spans="22:28" x14ac:dyDescent="0.15">
      <c r="V1230" s="6"/>
      <c r="W1230" s="28"/>
      <c r="X1230" s="28"/>
      <c r="Y1230" s="28"/>
      <c r="Z1230" s="28"/>
      <c r="AA1230" s="28"/>
      <c r="AB1230" s="28"/>
    </row>
    <row r="1231" spans="22:28" x14ac:dyDescent="0.15">
      <c r="V1231" s="6"/>
      <c r="W1231" s="28"/>
      <c r="X1231" s="28"/>
      <c r="Y1231" s="28"/>
      <c r="Z1231" s="28"/>
      <c r="AA1231" s="28"/>
      <c r="AB1231" s="28"/>
    </row>
    <row r="1232" spans="22:28" x14ac:dyDescent="0.15">
      <c r="V1232" s="6"/>
      <c r="W1232" s="28"/>
      <c r="X1232" s="28"/>
      <c r="Y1232" s="28"/>
      <c r="Z1232" s="28"/>
      <c r="AA1232" s="28"/>
      <c r="AB1232" s="28"/>
    </row>
    <row r="1233" spans="22:28" x14ac:dyDescent="0.15">
      <c r="V1233" s="6"/>
      <c r="W1233" s="28"/>
      <c r="X1233" s="28"/>
      <c r="Y1233" s="28"/>
      <c r="Z1233" s="28"/>
      <c r="AA1233" s="28"/>
      <c r="AB1233" s="28"/>
    </row>
    <row r="1234" spans="22:28" x14ac:dyDescent="0.15">
      <c r="V1234" s="6"/>
      <c r="W1234" s="28"/>
      <c r="X1234" s="28"/>
      <c r="Y1234" s="28"/>
      <c r="Z1234" s="28"/>
      <c r="AA1234" s="28"/>
      <c r="AB1234" s="28"/>
    </row>
    <row r="1235" spans="22:28" x14ac:dyDescent="0.15">
      <c r="V1235" s="6"/>
      <c r="W1235" s="28"/>
      <c r="X1235" s="28"/>
      <c r="Y1235" s="28"/>
      <c r="Z1235" s="28"/>
      <c r="AA1235" s="28"/>
      <c r="AB1235" s="28"/>
    </row>
    <row r="1236" spans="22:28" x14ac:dyDescent="0.15">
      <c r="V1236" s="6"/>
      <c r="W1236" s="28"/>
      <c r="X1236" s="28"/>
      <c r="Y1236" s="28"/>
      <c r="Z1236" s="28"/>
      <c r="AA1236" s="28"/>
      <c r="AB1236" s="28"/>
    </row>
    <row r="1237" spans="22:28" x14ac:dyDescent="0.15">
      <c r="V1237" s="6"/>
      <c r="W1237" s="28"/>
      <c r="X1237" s="28"/>
      <c r="Y1237" s="28"/>
      <c r="Z1237" s="28"/>
      <c r="AA1237" s="28"/>
      <c r="AB1237" s="28"/>
    </row>
    <row r="1238" spans="22:28" x14ac:dyDescent="0.15">
      <c r="V1238" s="6"/>
      <c r="W1238" s="28"/>
      <c r="X1238" s="28"/>
      <c r="Y1238" s="28"/>
      <c r="Z1238" s="28"/>
      <c r="AA1238" s="28"/>
      <c r="AB1238" s="28"/>
    </row>
    <row r="1239" spans="22:28" x14ac:dyDescent="0.15">
      <c r="V1239" s="6"/>
      <c r="W1239" s="28"/>
      <c r="X1239" s="28"/>
      <c r="Y1239" s="28"/>
      <c r="Z1239" s="28"/>
      <c r="AA1239" s="28"/>
      <c r="AB1239" s="28"/>
    </row>
    <row r="1240" spans="22:28" x14ac:dyDescent="0.15">
      <c r="V1240" s="6"/>
      <c r="W1240" s="28"/>
      <c r="X1240" s="28"/>
      <c r="Y1240" s="28"/>
      <c r="Z1240" s="28"/>
      <c r="AA1240" s="28"/>
      <c r="AB1240" s="28"/>
    </row>
    <row r="1241" spans="22:28" x14ac:dyDescent="0.15">
      <c r="V1241" s="6"/>
      <c r="W1241" s="28"/>
      <c r="X1241" s="28"/>
      <c r="Y1241" s="28"/>
      <c r="Z1241" s="28"/>
      <c r="AA1241" s="28"/>
      <c r="AB1241" s="28"/>
    </row>
    <row r="1242" spans="22:28" x14ac:dyDescent="0.15">
      <c r="V1242" s="6"/>
      <c r="W1242" s="28"/>
      <c r="X1242" s="28"/>
      <c r="Y1242" s="28"/>
      <c r="Z1242" s="28"/>
      <c r="AA1242" s="28"/>
      <c r="AB1242" s="28"/>
    </row>
    <row r="1243" spans="22:28" x14ac:dyDescent="0.15">
      <c r="V1243" s="6"/>
      <c r="W1243" s="28"/>
      <c r="X1243" s="28"/>
      <c r="Y1243" s="28"/>
      <c r="Z1243" s="28"/>
      <c r="AA1243" s="28"/>
      <c r="AB1243" s="28"/>
    </row>
    <row r="1244" spans="22:28" x14ac:dyDescent="0.15">
      <c r="V1244" s="6"/>
      <c r="W1244" s="28"/>
      <c r="X1244" s="28"/>
      <c r="Y1244" s="28"/>
      <c r="Z1244" s="28"/>
      <c r="AA1244" s="28"/>
      <c r="AB1244" s="28"/>
    </row>
    <row r="1245" spans="22:28" x14ac:dyDescent="0.15">
      <c r="V1245" s="6"/>
      <c r="W1245" s="28"/>
      <c r="X1245" s="28"/>
      <c r="Y1245" s="28"/>
      <c r="Z1245" s="28"/>
      <c r="AA1245" s="28"/>
      <c r="AB1245" s="28"/>
    </row>
    <row r="1246" spans="22:28" x14ac:dyDescent="0.15">
      <c r="V1246" s="6"/>
      <c r="W1246" s="28"/>
      <c r="X1246" s="28"/>
      <c r="Y1246" s="28"/>
      <c r="Z1246" s="28"/>
      <c r="AA1246" s="28"/>
      <c r="AB1246" s="28"/>
    </row>
    <row r="1247" spans="22:28" x14ac:dyDescent="0.15">
      <c r="V1247" s="6"/>
      <c r="W1247" s="28"/>
      <c r="X1247" s="28"/>
      <c r="Y1247" s="28"/>
      <c r="Z1247" s="28"/>
      <c r="AA1247" s="28"/>
      <c r="AB1247" s="28"/>
    </row>
    <row r="1248" spans="22:28" x14ac:dyDescent="0.15">
      <c r="V1248" s="6"/>
      <c r="W1248" s="28"/>
      <c r="X1248" s="28"/>
      <c r="Y1248" s="28"/>
      <c r="Z1248" s="28"/>
      <c r="AA1248" s="28"/>
      <c r="AB1248" s="28"/>
    </row>
    <row r="1249" spans="22:28" x14ac:dyDescent="0.15">
      <c r="V1249" s="6"/>
      <c r="W1249" s="28"/>
      <c r="X1249" s="28"/>
      <c r="Y1249" s="28"/>
      <c r="Z1249" s="28"/>
      <c r="AA1249" s="28"/>
      <c r="AB1249" s="28"/>
    </row>
    <row r="1250" spans="22:28" x14ac:dyDescent="0.15">
      <c r="V1250" s="6"/>
      <c r="W1250" s="28"/>
      <c r="X1250" s="28"/>
      <c r="Y1250" s="28"/>
      <c r="Z1250" s="28"/>
      <c r="AA1250" s="28"/>
      <c r="AB1250" s="28"/>
    </row>
    <row r="1251" spans="22:28" x14ac:dyDescent="0.15">
      <c r="V1251" s="6"/>
      <c r="W1251" s="28"/>
      <c r="X1251" s="28"/>
      <c r="Y1251" s="28"/>
      <c r="Z1251" s="28"/>
      <c r="AA1251" s="28"/>
      <c r="AB1251" s="28"/>
    </row>
    <row r="1252" spans="22:28" x14ac:dyDescent="0.15">
      <c r="V1252" s="6"/>
      <c r="W1252" s="28"/>
      <c r="X1252" s="28"/>
      <c r="Y1252" s="28"/>
      <c r="Z1252" s="28"/>
      <c r="AA1252" s="28"/>
      <c r="AB1252" s="28"/>
    </row>
    <row r="1253" spans="22:28" x14ac:dyDescent="0.15">
      <c r="V1253" s="6"/>
      <c r="W1253" s="28"/>
      <c r="X1253" s="28"/>
      <c r="Y1253" s="28"/>
      <c r="Z1253" s="28"/>
      <c r="AA1253" s="28"/>
      <c r="AB1253" s="28"/>
    </row>
    <row r="1254" spans="22:28" x14ac:dyDescent="0.15">
      <c r="V1254" s="6"/>
      <c r="W1254" s="28"/>
      <c r="X1254" s="28"/>
      <c r="Y1254" s="28"/>
      <c r="Z1254" s="28"/>
      <c r="AA1254" s="28"/>
      <c r="AB1254" s="28"/>
    </row>
    <row r="1255" spans="22:28" x14ac:dyDescent="0.15">
      <c r="V1255" s="6"/>
      <c r="W1255" s="28"/>
      <c r="X1255" s="28"/>
      <c r="Y1255" s="28"/>
      <c r="Z1255" s="28"/>
      <c r="AA1255" s="28"/>
      <c r="AB1255" s="28"/>
    </row>
    <row r="1256" spans="22:28" x14ac:dyDescent="0.15">
      <c r="V1256" s="6"/>
      <c r="W1256" s="28"/>
      <c r="X1256" s="28"/>
      <c r="Y1256" s="28"/>
      <c r="Z1256" s="28"/>
      <c r="AA1256" s="28"/>
      <c r="AB1256" s="28"/>
    </row>
    <row r="1257" spans="22:28" x14ac:dyDescent="0.15">
      <c r="V1257" s="6"/>
      <c r="W1257" s="28"/>
      <c r="X1257" s="28"/>
      <c r="Y1257" s="28"/>
      <c r="Z1257" s="28"/>
      <c r="AA1257" s="28"/>
      <c r="AB1257" s="28"/>
    </row>
    <row r="1258" spans="22:28" x14ac:dyDescent="0.15">
      <c r="V1258" s="6"/>
      <c r="W1258" s="28"/>
      <c r="X1258" s="28"/>
      <c r="Y1258" s="28"/>
      <c r="Z1258" s="28"/>
      <c r="AA1258" s="28"/>
      <c r="AB1258" s="28"/>
    </row>
    <row r="1259" spans="22:28" x14ac:dyDescent="0.15">
      <c r="V1259" s="6"/>
      <c r="W1259" s="28"/>
      <c r="X1259" s="28"/>
      <c r="Y1259" s="28"/>
      <c r="Z1259" s="28"/>
      <c r="AA1259" s="28"/>
      <c r="AB1259" s="28"/>
    </row>
    <row r="1260" spans="22:28" x14ac:dyDescent="0.15">
      <c r="V1260" s="6"/>
      <c r="W1260" s="28"/>
      <c r="X1260" s="28"/>
      <c r="Y1260" s="28"/>
      <c r="Z1260" s="28"/>
      <c r="AA1260" s="28"/>
      <c r="AB1260" s="28"/>
    </row>
    <row r="1261" spans="22:28" x14ac:dyDescent="0.15">
      <c r="V1261" s="6"/>
      <c r="W1261" s="28"/>
      <c r="X1261" s="28"/>
      <c r="Y1261" s="28"/>
      <c r="Z1261" s="28"/>
      <c r="AA1261" s="28"/>
      <c r="AB1261" s="28"/>
    </row>
    <row r="1262" spans="22:28" x14ac:dyDescent="0.15">
      <c r="V1262" s="6"/>
      <c r="W1262" s="28"/>
      <c r="X1262" s="28"/>
      <c r="Y1262" s="28"/>
      <c r="Z1262" s="28"/>
      <c r="AA1262" s="28"/>
      <c r="AB1262" s="28"/>
    </row>
    <row r="1263" spans="22:28" x14ac:dyDescent="0.15">
      <c r="V1263" s="6"/>
      <c r="W1263" s="28"/>
      <c r="X1263" s="28"/>
      <c r="Y1263" s="28"/>
      <c r="Z1263" s="28"/>
      <c r="AA1263" s="28"/>
      <c r="AB1263" s="28"/>
    </row>
    <row r="1264" spans="22:28" x14ac:dyDescent="0.15">
      <c r="V1264" s="6"/>
      <c r="W1264" s="28"/>
      <c r="X1264" s="28"/>
      <c r="Y1264" s="28"/>
      <c r="Z1264" s="28"/>
      <c r="AA1264" s="28"/>
      <c r="AB1264" s="28"/>
    </row>
    <row r="1265" spans="22:28" x14ac:dyDescent="0.15">
      <c r="V1265" s="6"/>
      <c r="W1265" s="28"/>
      <c r="X1265" s="28"/>
      <c r="Y1265" s="28"/>
      <c r="Z1265" s="28"/>
      <c r="AA1265" s="28"/>
      <c r="AB1265" s="28"/>
    </row>
    <row r="1266" spans="22:28" x14ac:dyDescent="0.15">
      <c r="V1266" s="6"/>
      <c r="W1266" s="28"/>
      <c r="X1266" s="28"/>
      <c r="Y1266" s="28"/>
      <c r="Z1266" s="28"/>
      <c r="AA1266" s="28"/>
      <c r="AB1266" s="28"/>
    </row>
    <row r="1267" spans="22:28" x14ac:dyDescent="0.15">
      <c r="V1267" s="6"/>
      <c r="W1267" s="28"/>
      <c r="X1267" s="28"/>
      <c r="Y1267" s="28"/>
      <c r="Z1267" s="28"/>
      <c r="AA1267" s="28"/>
      <c r="AB1267" s="28"/>
    </row>
    <row r="1268" spans="22:28" x14ac:dyDescent="0.15">
      <c r="V1268" s="6"/>
      <c r="W1268" s="28"/>
      <c r="X1268" s="28"/>
      <c r="Y1268" s="28"/>
      <c r="Z1268" s="28"/>
      <c r="AA1268" s="28"/>
      <c r="AB1268" s="28"/>
    </row>
    <row r="1269" spans="22:28" x14ac:dyDescent="0.15">
      <c r="V1269" s="6"/>
      <c r="W1269" s="28"/>
      <c r="X1269" s="28"/>
      <c r="Y1269" s="28"/>
      <c r="Z1269" s="28"/>
      <c r="AA1269" s="28"/>
      <c r="AB1269" s="28"/>
    </row>
    <row r="1270" spans="22:28" x14ac:dyDescent="0.15">
      <c r="V1270" s="6"/>
      <c r="W1270" s="28"/>
      <c r="X1270" s="28"/>
      <c r="Y1270" s="28"/>
      <c r="Z1270" s="28"/>
      <c r="AA1270" s="28"/>
      <c r="AB1270" s="28"/>
    </row>
    <row r="1271" spans="22:28" x14ac:dyDescent="0.15">
      <c r="V1271" s="6"/>
      <c r="W1271" s="28"/>
      <c r="X1271" s="28"/>
      <c r="Y1271" s="28"/>
      <c r="Z1271" s="28"/>
      <c r="AA1271" s="28"/>
      <c r="AB1271" s="28"/>
    </row>
    <row r="1272" spans="22:28" x14ac:dyDescent="0.15">
      <c r="V1272" s="6"/>
      <c r="W1272" s="28"/>
      <c r="X1272" s="28"/>
      <c r="Y1272" s="28"/>
      <c r="Z1272" s="28"/>
      <c r="AA1272" s="28"/>
      <c r="AB1272" s="28"/>
    </row>
    <row r="1273" spans="22:28" x14ac:dyDescent="0.15">
      <c r="V1273" s="6"/>
      <c r="W1273" s="28"/>
      <c r="X1273" s="28"/>
      <c r="Y1273" s="28"/>
      <c r="Z1273" s="28"/>
      <c r="AA1273" s="28"/>
      <c r="AB1273" s="28"/>
    </row>
    <row r="1274" spans="22:28" x14ac:dyDescent="0.15">
      <c r="V1274" s="6"/>
      <c r="W1274" s="28"/>
      <c r="X1274" s="28"/>
      <c r="Y1274" s="28"/>
      <c r="Z1274" s="28"/>
      <c r="AA1274" s="28"/>
      <c r="AB1274" s="28"/>
    </row>
    <row r="1275" spans="22:28" x14ac:dyDescent="0.15">
      <c r="V1275" s="6"/>
      <c r="W1275" s="28"/>
      <c r="X1275" s="28"/>
      <c r="Y1275" s="28"/>
      <c r="Z1275" s="28"/>
      <c r="AA1275" s="28"/>
      <c r="AB1275" s="28"/>
    </row>
    <row r="1276" spans="22:28" x14ac:dyDescent="0.15">
      <c r="V1276" s="6"/>
      <c r="W1276" s="28"/>
      <c r="X1276" s="28"/>
      <c r="Y1276" s="28"/>
      <c r="Z1276" s="28"/>
      <c r="AA1276" s="28"/>
      <c r="AB1276" s="28"/>
    </row>
    <row r="1277" spans="22:28" x14ac:dyDescent="0.15">
      <c r="V1277" s="6"/>
      <c r="W1277" s="28"/>
      <c r="X1277" s="28"/>
      <c r="Y1277" s="28"/>
      <c r="Z1277" s="28"/>
      <c r="AA1277" s="28"/>
      <c r="AB1277" s="28"/>
    </row>
    <row r="1278" spans="22:28" x14ac:dyDescent="0.15">
      <c r="V1278" s="6"/>
      <c r="W1278" s="28"/>
      <c r="X1278" s="28"/>
      <c r="Y1278" s="28"/>
      <c r="Z1278" s="28"/>
      <c r="AA1278" s="28"/>
      <c r="AB1278" s="28"/>
    </row>
    <row r="1279" spans="22:28" x14ac:dyDescent="0.15">
      <c r="V1279" s="6"/>
      <c r="W1279" s="28"/>
      <c r="X1279" s="28"/>
      <c r="Y1279" s="28"/>
      <c r="Z1279" s="28"/>
      <c r="AA1279" s="28"/>
      <c r="AB1279" s="28"/>
    </row>
    <row r="1280" spans="22:28" x14ac:dyDescent="0.15">
      <c r="V1280" s="6"/>
      <c r="W1280" s="28"/>
      <c r="X1280" s="28"/>
      <c r="Y1280" s="28"/>
      <c r="Z1280" s="28"/>
      <c r="AA1280" s="28"/>
      <c r="AB1280" s="28"/>
    </row>
    <row r="1281" spans="22:28" x14ac:dyDescent="0.15">
      <c r="V1281" s="6"/>
      <c r="W1281" s="28"/>
      <c r="X1281" s="28"/>
      <c r="Y1281" s="28"/>
      <c r="Z1281" s="28"/>
      <c r="AA1281" s="28"/>
      <c r="AB1281" s="28"/>
    </row>
    <row r="1282" spans="22:28" x14ac:dyDescent="0.15">
      <c r="V1282" s="6"/>
      <c r="W1282" s="28"/>
      <c r="X1282" s="28"/>
      <c r="Y1282" s="28"/>
      <c r="Z1282" s="28"/>
      <c r="AA1282" s="28"/>
      <c r="AB1282" s="28"/>
    </row>
    <row r="1283" spans="22:28" x14ac:dyDescent="0.15">
      <c r="V1283" s="6"/>
      <c r="W1283" s="28"/>
      <c r="X1283" s="28"/>
      <c r="Y1283" s="28"/>
      <c r="Z1283" s="28"/>
      <c r="AA1283" s="28"/>
      <c r="AB1283" s="28"/>
    </row>
    <row r="1284" spans="22:28" x14ac:dyDescent="0.15">
      <c r="V1284" s="6"/>
      <c r="W1284" s="28"/>
      <c r="X1284" s="28"/>
      <c r="Y1284" s="28"/>
      <c r="Z1284" s="28"/>
      <c r="AA1284" s="28"/>
      <c r="AB1284" s="28"/>
    </row>
    <row r="1285" spans="22:28" x14ac:dyDescent="0.15">
      <c r="V1285" s="6"/>
      <c r="W1285" s="28"/>
      <c r="X1285" s="28"/>
      <c r="Y1285" s="28"/>
      <c r="Z1285" s="28"/>
      <c r="AA1285" s="28"/>
      <c r="AB1285" s="28"/>
    </row>
    <row r="1286" spans="22:28" x14ac:dyDescent="0.15">
      <c r="V1286" s="6"/>
      <c r="W1286" s="28"/>
      <c r="X1286" s="28"/>
      <c r="Y1286" s="28"/>
      <c r="Z1286" s="28"/>
      <c r="AA1286" s="28"/>
      <c r="AB1286" s="28"/>
    </row>
    <row r="1287" spans="22:28" x14ac:dyDescent="0.15">
      <c r="V1287" s="6"/>
      <c r="W1287" s="28"/>
      <c r="X1287" s="28"/>
      <c r="Y1287" s="28"/>
      <c r="Z1287" s="28"/>
      <c r="AA1287" s="28"/>
      <c r="AB1287" s="28"/>
    </row>
    <row r="1288" spans="22:28" x14ac:dyDescent="0.15">
      <c r="V1288" s="6"/>
      <c r="W1288" s="28"/>
      <c r="X1288" s="28"/>
      <c r="Y1288" s="28"/>
      <c r="Z1288" s="28"/>
      <c r="AA1288" s="28"/>
      <c r="AB1288" s="28"/>
    </row>
    <row r="1289" spans="22:28" x14ac:dyDescent="0.15">
      <c r="V1289" s="6"/>
      <c r="W1289" s="28"/>
      <c r="X1289" s="28"/>
      <c r="Y1289" s="28"/>
      <c r="Z1289" s="28"/>
      <c r="AA1289" s="28"/>
      <c r="AB1289" s="28"/>
    </row>
    <row r="1290" spans="22:28" x14ac:dyDescent="0.15">
      <c r="V1290" s="6"/>
      <c r="W1290" s="28"/>
      <c r="X1290" s="28"/>
      <c r="Y1290" s="28"/>
      <c r="Z1290" s="28"/>
      <c r="AA1290" s="28"/>
      <c r="AB1290" s="28"/>
    </row>
    <row r="1291" spans="22:28" x14ac:dyDescent="0.15">
      <c r="V1291" s="6"/>
      <c r="W1291" s="28"/>
      <c r="X1291" s="28"/>
      <c r="Y1291" s="28"/>
      <c r="Z1291" s="28"/>
      <c r="AA1291" s="28"/>
      <c r="AB1291" s="28"/>
    </row>
    <row r="1292" spans="22:28" x14ac:dyDescent="0.15">
      <c r="V1292" s="6"/>
      <c r="W1292" s="28"/>
      <c r="X1292" s="28"/>
      <c r="Y1292" s="28"/>
      <c r="Z1292" s="28"/>
      <c r="AA1292" s="28"/>
      <c r="AB1292" s="28"/>
    </row>
    <row r="1293" spans="22:28" x14ac:dyDescent="0.15">
      <c r="V1293" s="6"/>
      <c r="W1293" s="28"/>
      <c r="X1293" s="28"/>
      <c r="Y1293" s="28"/>
      <c r="Z1293" s="28"/>
      <c r="AA1293" s="28"/>
      <c r="AB1293" s="28"/>
    </row>
    <row r="1294" spans="22:28" x14ac:dyDescent="0.15">
      <c r="V1294" s="6"/>
      <c r="W1294" s="28"/>
      <c r="X1294" s="28"/>
      <c r="Y1294" s="28"/>
      <c r="Z1294" s="28"/>
      <c r="AA1294" s="28"/>
      <c r="AB1294" s="28"/>
    </row>
    <row r="1295" spans="22:28" x14ac:dyDescent="0.15">
      <c r="V1295" s="6"/>
      <c r="W1295" s="28"/>
      <c r="X1295" s="28"/>
      <c r="Y1295" s="28"/>
      <c r="Z1295" s="28"/>
      <c r="AA1295" s="28"/>
      <c r="AB1295" s="28"/>
    </row>
    <row r="1296" spans="22:28" x14ac:dyDescent="0.15">
      <c r="V1296" s="6"/>
      <c r="W1296" s="28"/>
      <c r="X1296" s="28"/>
      <c r="Y1296" s="28"/>
      <c r="Z1296" s="28"/>
      <c r="AA1296" s="28"/>
      <c r="AB1296" s="28"/>
    </row>
    <row r="1297" spans="22:28" x14ac:dyDescent="0.15">
      <c r="V1297" s="6"/>
      <c r="W1297" s="28"/>
      <c r="X1297" s="28"/>
      <c r="Y1297" s="28"/>
      <c r="Z1297" s="28"/>
      <c r="AA1297" s="28"/>
      <c r="AB1297" s="28"/>
    </row>
    <row r="1298" spans="22:28" x14ac:dyDescent="0.15">
      <c r="V1298" s="6"/>
      <c r="W1298" s="28"/>
      <c r="X1298" s="28"/>
      <c r="Y1298" s="28"/>
      <c r="Z1298" s="28"/>
      <c r="AA1298" s="28"/>
      <c r="AB1298" s="28"/>
    </row>
    <row r="1299" spans="22:28" x14ac:dyDescent="0.15">
      <c r="V1299" s="6"/>
      <c r="W1299" s="28"/>
      <c r="X1299" s="28"/>
      <c r="Y1299" s="28"/>
      <c r="Z1299" s="28"/>
      <c r="AA1299" s="28"/>
      <c r="AB1299" s="28"/>
    </row>
    <row r="1300" spans="22:28" x14ac:dyDescent="0.15">
      <c r="V1300" s="6"/>
      <c r="W1300" s="28"/>
      <c r="X1300" s="28"/>
      <c r="Y1300" s="28"/>
      <c r="Z1300" s="28"/>
      <c r="AA1300" s="28"/>
      <c r="AB1300" s="28"/>
    </row>
    <row r="1301" spans="22:28" x14ac:dyDescent="0.15">
      <c r="V1301" s="6"/>
      <c r="W1301" s="28"/>
      <c r="X1301" s="28"/>
      <c r="Y1301" s="28"/>
      <c r="Z1301" s="28"/>
      <c r="AA1301" s="28"/>
      <c r="AB1301" s="28"/>
    </row>
    <row r="1302" spans="22:28" x14ac:dyDescent="0.15">
      <c r="V1302" s="6"/>
      <c r="W1302" s="28"/>
      <c r="X1302" s="28"/>
      <c r="Y1302" s="28"/>
      <c r="Z1302" s="28"/>
      <c r="AA1302" s="28"/>
      <c r="AB1302" s="28"/>
    </row>
    <row r="1303" spans="22:28" x14ac:dyDescent="0.15">
      <c r="V1303" s="6"/>
      <c r="W1303" s="28"/>
      <c r="X1303" s="28"/>
      <c r="Y1303" s="28"/>
      <c r="Z1303" s="28"/>
      <c r="AA1303" s="28"/>
      <c r="AB1303" s="28"/>
    </row>
    <row r="1304" spans="22:28" x14ac:dyDescent="0.15">
      <c r="V1304" s="6"/>
      <c r="W1304" s="28"/>
      <c r="X1304" s="28"/>
      <c r="Y1304" s="28"/>
      <c r="Z1304" s="28"/>
      <c r="AA1304" s="28"/>
      <c r="AB1304" s="28"/>
    </row>
    <row r="1305" spans="22:28" x14ac:dyDescent="0.15">
      <c r="V1305" s="6"/>
      <c r="W1305" s="28"/>
      <c r="X1305" s="28"/>
      <c r="Y1305" s="28"/>
      <c r="Z1305" s="28"/>
      <c r="AA1305" s="28"/>
      <c r="AB1305" s="28"/>
    </row>
    <row r="1306" spans="22:28" x14ac:dyDescent="0.15">
      <c r="V1306" s="6"/>
      <c r="W1306" s="28"/>
      <c r="X1306" s="28"/>
      <c r="Y1306" s="28"/>
      <c r="Z1306" s="28"/>
      <c r="AA1306" s="28"/>
      <c r="AB1306" s="28"/>
    </row>
    <row r="1307" spans="22:28" x14ac:dyDescent="0.15">
      <c r="V1307" s="6"/>
      <c r="W1307" s="28"/>
      <c r="X1307" s="28"/>
      <c r="Y1307" s="28"/>
      <c r="Z1307" s="28"/>
      <c r="AA1307" s="28"/>
      <c r="AB1307" s="28"/>
    </row>
    <row r="1308" spans="22:28" x14ac:dyDescent="0.15">
      <c r="V1308" s="6"/>
      <c r="W1308" s="28"/>
      <c r="X1308" s="28"/>
      <c r="Y1308" s="28"/>
      <c r="Z1308" s="28"/>
      <c r="AA1308" s="28"/>
      <c r="AB1308" s="28"/>
    </row>
    <row r="1309" spans="22:28" x14ac:dyDescent="0.15">
      <c r="V1309" s="6"/>
      <c r="W1309" s="28"/>
      <c r="X1309" s="28"/>
      <c r="Y1309" s="28"/>
      <c r="Z1309" s="28"/>
      <c r="AA1309" s="28"/>
      <c r="AB1309" s="28"/>
    </row>
    <row r="1310" spans="22:28" x14ac:dyDescent="0.15">
      <c r="V1310" s="6"/>
      <c r="W1310" s="28"/>
      <c r="X1310" s="28"/>
      <c r="Y1310" s="28"/>
      <c r="Z1310" s="28"/>
      <c r="AA1310" s="28"/>
      <c r="AB1310" s="28"/>
    </row>
    <row r="1311" spans="22:28" x14ac:dyDescent="0.15">
      <c r="V1311" s="6"/>
      <c r="W1311" s="28"/>
      <c r="X1311" s="28"/>
      <c r="Y1311" s="28"/>
      <c r="Z1311" s="28"/>
      <c r="AA1311" s="28"/>
      <c r="AB1311" s="28"/>
    </row>
    <row r="1312" spans="22:28" x14ac:dyDescent="0.15">
      <c r="V1312" s="6"/>
      <c r="W1312" s="28"/>
      <c r="X1312" s="28"/>
      <c r="Y1312" s="28"/>
      <c r="Z1312" s="28"/>
      <c r="AA1312" s="28"/>
      <c r="AB1312" s="28"/>
    </row>
    <row r="1313" spans="22:28" x14ac:dyDescent="0.15">
      <c r="V1313" s="6"/>
      <c r="W1313" s="28"/>
      <c r="X1313" s="28"/>
      <c r="Y1313" s="28"/>
      <c r="Z1313" s="28"/>
      <c r="AA1313" s="28"/>
      <c r="AB1313" s="28"/>
    </row>
    <row r="1314" spans="22:28" x14ac:dyDescent="0.15">
      <c r="V1314" s="6"/>
      <c r="W1314" s="28"/>
      <c r="X1314" s="28"/>
      <c r="Y1314" s="28"/>
      <c r="Z1314" s="28"/>
      <c r="AA1314" s="28"/>
      <c r="AB1314" s="28"/>
    </row>
    <row r="1315" spans="22:28" x14ac:dyDescent="0.15">
      <c r="V1315" s="6"/>
      <c r="W1315" s="28"/>
      <c r="X1315" s="28"/>
      <c r="Y1315" s="28"/>
      <c r="Z1315" s="28"/>
      <c r="AA1315" s="28"/>
      <c r="AB1315" s="28"/>
    </row>
    <row r="1316" spans="22:28" x14ac:dyDescent="0.15">
      <c r="V1316" s="6"/>
      <c r="W1316" s="28"/>
      <c r="X1316" s="28"/>
      <c r="Y1316" s="28"/>
      <c r="Z1316" s="28"/>
      <c r="AA1316" s="28"/>
      <c r="AB1316" s="28"/>
    </row>
    <row r="1317" spans="22:28" x14ac:dyDescent="0.15">
      <c r="V1317" s="6"/>
      <c r="W1317" s="28"/>
      <c r="X1317" s="28"/>
      <c r="Y1317" s="28"/>
      <c r="Z1317" s="28"/>
      <c r="AA1317" s="28"/>
      <c r="AB1317" s="28"/>
    </row>
    <row r="1318" spans="22:28" x14ac:dyDescent="0.15">
      <c r="V1318" s="6"/>
      <c r="W1318" s="28"/>
      <c r="X1318" s="28"/>
      <c r="Y1318" s="28"/>
      <c r="Z1318" s="28"/>
      <c r="AA1318" s="28"/>
      <c r="AB1318" s="28"/>
    </row>
    <row r="1319" spans="22:28" x14ac:dyDescent="0.15">
      <c r="V1319" s="6"/>
      <c r="W1319" s="28"/>
      <c r="X1319" s="28"/>
      <c r="Y1319" s="28"/>
      <c r="Z1319" s="28"/>
      <c r="AA1319" s="28"/>
      <c r="AB1319" s="28"/>
    </row>
    <row r="1320" spans="22:28" x14ac:dyDescent="0.15">
      <c r="V1320" s="6"/>
      <c r="W1320" s="28"/>
      <c r="X1320" s="28"/>
      <c r="Y1320" s="28"/>
      <c r="Z1320" s="28"/>
      <c r="AA1320" s="28"/>
      <c r="AB1320" s="28"/>
    </row>
    <row r="1321" spans="22:28" x14ac:dyDescent="0.15">
      <c r="V1321" s="6"/>
      <c r="W1321" s="28"/>
      <c r="X1321" s="28"/>
      <c r="Y1321" s="28"/>
      <c r="Z1321" s="28"/>
      <c r="AA1321" s="28"/>
      <c r="AB1321" s="28"/>
    </row>
    <row r="1322" spans="22:28" x14ac:dyDescent="0.15">
      <c r="V1322" s="6"/>
      <c r="W1322" s="28"/>
      <c r="X1322" s="28"/>
      <c r="Y1322" s="28"/>
      <c r="Z1322" s="28"/>
      <c r="AA1322" s="28"/>
      <c r="AB1322" s="28"/>
    </row>
    <row r="1323" spans="22:28" x14ac:dyDescent="0.15">
      <c r="V1323" s="6"/>
      <c r="W1323" s="28"/>
      <c r="X1323" s="28"/>
      <c r="Y1323" s="28"/>
      <c r="Z1323" s="28"/>
      <c r="AA1323" s="28"/>
      <c r="AB1323" s="28"/>
    </row>
    <row r="1324" spans="22:28" x14ac:dyDescent="0.15">
      <c r="V1324" s="6"/>
      <c r="W1324" s="28"/>
      <c r="X1324" s="28"/>
      <c r="Y1324" s="28"/>
      <c r="Z1324" s="28"/>
      <c r="AA1324" s="28"/>
      <c r="AB1324" s="28"/>
    </row>
    <row r="1325" spans="22:28" x14ac:dyDescent="0.15">
      <c r="V1325" s="6"/>
      <c r="W1325" s="28"/>
      <c r="X1325" s="28"/>
      <c r="Y1325" s="28"/>
      <c r="Z1325" s="28"/>
      <c r="AA1325" s="28"/>
      <c r="AB1325" s="28"/>
    </row>
    <row r="1326" spans="22:28" x14ac:dyDescent="0.15">
      <c r="V1326" s="6"/>
      <c r="W1326" s="28"/>
      <c r="X1326" s="28"/>
      <c r="Y1326" s="28"/>
      <c r="Z1326" s="28"/>
      <c r="AA1326" s="28"/>
      <c r="AB1326" s="28"/>
    </row>
    <row r="1327" spans="22:28" x14ac:dyDescent="0.15">
      <c r="V1327" s="6"/>
      <c r="W1327" s="28"/>
      <c r="X1327" s="28"/>
      <c r="Y1327" s="28"/>
      <c r="Z1327" s="28"/>
      <c r="AA1327" s="28"/>
      <c r="AB1327" s="28"/>
    </row>
    <row r="1328" spans="22:28" x14ac:dyDescent="0.15">
      <c r="V1328" s="6"/>
      <c r="W1328" s="28"/>
      <c r="X1328" s="28"/>
      <c r="Y1328" s="28"/>
      <c r="Z1328" s="28"/>
      <c r="AA1328" s="28"/>
      <c r="AB1328" s="28"/>
    </row>
    <row r="1329" spans="22:28" x14ac:dyDescent="0.15">
      <c r="V1329" s="6"/>
      <c r="W1329" s="28"/>
      <c r="X1329" s="28"/>
      <c r="Y1329" s="28"/>
      <c r="Z1329" s="28"/>
      <c r="AA1329" s="28"/>
      <c r="AB1329" s="28"/>
    </row>
    <row r="1330" spans="22:28" x14ac:dyDescent="0.15">
      <c r="V1330" s="6"/>
      <c r="W1330" s="28"/>
      <c r="X1330" s="28"/>
      <c r="Y1330" s="28"/>
      <c r="Z1330" s="28"/>
      <c r="AA1330" s="28"/>
      <c r="AB1330" s="28"/>
    </row>
    <row r="1331" spans="22:28" x14ac:dyDescent="0.15">
      <c r="V1331" s="6"/>
      <c r="W1331" s="28"/>
      <c r="X1331" s="28"/>
      <c r="Y1331" s="28"/>
      <c r="Z1331" s="28"/>
      <c r="AA1331" s="28"/>
      <c r="AB1331" s="28"/>
    </row>
    <row r="1332" spans="22:28" x14ac:dyDescent="0.15">
      <c r="V1332" s="6"/>
      <c r="W1332" s="28"/>
      <c r="X1332" s="28"/>
      <c r="Y1332" s="28"/>
      <c r="Z1332" s="28"/>
      <c r="AA1332" s="28"/>
      <c r="AB1332" s="28"/>
    </row>
    <row r="1333" spans="22:28" x14ac:dyDescent="0.15">
      <c r="V1333" s="6"/>
      <c r="W1333" s="28"/>
      <c r="X1333" s="28"/>
      <c r="Y1333" s="28"/>
      <c r="Z1333" s="28"/>
      <c r="AA1333" s="28"/>
      <c r="AB1333" s="28"/>
    </row>
    <row r="1334" spans="22:28" x14ac:dyDescent="0.15">
      <c r="V1334" s="6"/>
      <c r="W1334" s="28"/>
      <c r="X1334" s="28"/>
      <c r="Y1334" s="28"/>
      <c r="Z1334" s="28"/>
      <c r="AA1334" s="28"/>
      <c r="AB1334" s="28"/>
    </row>
    <row r="1335" spans="22:28" x14ac:dyDescent="0.15">
      <c r="V1335" s="6"/>
      <c r="W1335" s="28"/>
      <c r="X1335" s="28"/>
      <c r="Y1335" s="28"/>
      <c r="Z1335" s="28"/>
      <c r="AA1335" s="28"/>
      <c r="AB1335" s="28"/>
    </row>
    <row r="1336" spans="22:28" x14ac:dyDescent="0.15">
      <c r="V1336" s="29"/>
      <c r="W1336" s="28"/>
      <c r="X1336" s="28"/>
      <c r="Y1336" s="28"/>
      <c r="Z1336" s="28"/>
      <c r="AA1336" s="28"/>
      <c r="AB1336" s="28"/>
    </row>
    <row r="1337" spans="22:28" x14ac:dyDescent="0.15">
      <c r="V1337" s="6"/>
      <c r="W1337" s="28"/>
      <c r="X1337" s="28"/>
      <c r="Y1337" s="28"/>
      <c r="Z1337" s="28"/>
      <c r="AA1337" s="28"/>
      <c r="AB1337" s="28"/>
    </row>
    <row r="1338" spans="22:28" x14ac:dyDescent="0.15">
      <c r="V1338" s="6"/>
      <c r="W1338" s="28"/>
      <c r="X1338" s="28"/>
      <c r="Y1338" s="28"/>
      <c r="Z1338" s="28"/>
      <c r="AA1338" s="28"/>
      <c r="AB1338" s="28"/>
    </row>
    <row r="1339" spans="22:28" x14ac:dyDescent="0.15">
      <c r="V1339" s="6"/>
      <c r="W1339" s="28"/>
      <c r="X1339" s="28"/>
      <c r="Y1339" s="28"/>
      <c r="Z1339" s="28"/>
      <c r="AA1339" s="28"/>
      <c r="AB1339" s="28"/>
    </row>
    <row r="1340" spans="22:28" x14ac:dyDescent="0.15">
      <c r="V1340" s="6"/>
      <c r="W1340" s="28"/>
      <c r="X1340" s="28"/>
      <c r="Y1340" s="28"/>
      <c r="Z1340" s="28"/>
      <c r="AA1340" s="28"/>
      <c r="AB1340" s="28"/>
    </row>
    <row r="1341" spans="22:28" x14ac:dyDescent="0.15">
      <c r="V1341" s="6"/>
      <c r="W1341" s="28"/>
      <c r="X1341" s="28"/>
      <c r="Y1341" s="28"/>
      <c r="Z1341" s="28"/>
      <c r="AA1341" s="28"/>
      <c r="AB1341" s="28"/>
    </row>
    <row r="1342" spans="22:28" x14ac:dyDescent="0.15">
      <c r="V1342" s="6"/>
      <c r="W1342" s="28"/>
      <c r="X1342" s="28"/>
      <c r="Y1342" s="28"/>
      <c r="Z1342" s="28"/>
      <c r="AA1342" s="28"/>
      <c r="AB1342" s="28"/>
    </row>
    <row r="1343" spans="22:28" x14ac:dyDescent="0.15">
      <c r="V1343" s="6"/>
      <c r="W1343" s="28"/>
      <c r="X1343" s="28"/>
      <c r="Y1343" s="28"/>
      <c r="Z1343" s="28"/>
      <c r="AA1343" s="28"/>
      <c r="AB1343" s="28"/>
    </row>
    <row r="1344" spans="22:28" x14ac:dyDescent="0.15">
      <c r="V1344" s="6"/>
      <c r="W1344" s="28"/>
      <c r="X1344" s="28"/>
      <c r="Y1344" s="28"/>
      <c r="Z1344" s="28"/>
      <c r="AA1344" s="28"/>
      <c r="AB1344" s="28"/>
    </row>
    <row r="1345" spans="22:28" x14ac:dyDescent="0.15">
      <c r="V1345" s="6"/>
      <c r="W1345" s="28"/>
      <c r="X1345" s="28"/>
      <c r="Y1345" s="28"/>
      <c r="Z1345" s="28"/>
      <c r="AA1345" s="28"/>
      <c r="AB1345" s="28"/>
    </row>
    <row r="1346" spans="22:28" x14ac:dyDescent="0.15">
      <c r="V1346" s="6"/>
      <c r="W1346" s="28"/>
      <c r="X1346" s="28"/>
      <c r="Y1346" s="28"/>
      <c r="Z1346" s="28"/>
      <c r="AA1346" s="28"/>
      <c r="AB1346" s="28"/>
    </row>
  </sheetData>
  <sortState xmlns:xlrd2="http://schemas.microsoft.com/office/spreadsheetml/2017/richdata2" ref="A2:I860">
    <sortCondition sortBy="cellColor" ref="B2:B860" dxfId="1"/>
  </sortState>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491ED-1230-3246-9853-CF250F7493DA}">
  <dimension ref="A1:AP226"/>
  <sheetViews>
    <sheetView tabSelected="1" zoomScale="69" workbookViewId="0">
      <pane ySplit="1" topLeftCell="A2" activePane="bottomLeft" state="frozen"/>
      <selection pane="bottomLeft" activeCell="E253" sqref="E253"/>
    </sheetView>
  </sheetViews>
  <sheetFormatPr baseColWidth="10" defaultRowHeight="13" x14ac:dyDescent="0.15"/>
  <cols>
    <col min="1" max="1" width="19.33203125" style="1" customWidth="1"/>
    <col min="2" max="2" width="24.83203125" customWidth="1"/>
    <col min="3" max="3" width="39.1640625" customWidth="1"/>
    <col min="4" max="4" width="24" customWidth="1"/>
    <col min="5" max="5" width="82.5" customWidth="1"/>
    <col min="6" max="6" width="14.5" customWidth="1"/>
    <col min="7" max="7" width="15.1640625" customWidth="1"/>
    <col min="10" max="10" width="32.1640625" customWidth="1"/>
    <col min="16" max="16" width="15.1640625" customWidth="1"/>
    <col min="23" max="23" width="29.33203125" customWidth="1"/>
  </cols>
  <sheetData>
    <row r="1" spans="1:42" ht="14" x14ac:dyDescent="0.15">
      <c r="A1" s="10" t="s">
        <v>4010</v>
      </c>
      <c r="B1" s="11" t="s">
        <v>1</v>
      </c>
      <c r="C1" s="11" t="s">
        <v>2</v>
      </c>
      <c r="D1" s="11" t="s">
        <v>3</v>
      </c>
      <c r="E1" s="11" t="s">
        <v>4</v>
      </c>
      <c r="F1" s="11" t="s">
        <v>5</v>
      </c>
      <c r="G1" s="11" t="s">
        <v>6</v>
      </c>
      <c r="H1" s="11" t="s">
        <v>7</v>
      </c>
      <c r="I1" s="11" t="s">
        <v>8</v>
      </c>
    </row>
    <row r="2" spans="1:42" ht="280" x14ac:dyDescent="0.15">
      <c r="A2" s="19" t="s">
        <v>4012</v>
      </c>
      <c r="B2" s="16" t="s">
        <v>2925</v>
      </c>
      <c r="C2" s="14" t="s">
        <v>2926</v>
      </c>
      <c r="D2" s="14" t="s">
        <v>2927</v>
      </c>
      <c r="E2" s="14" t="s">
        <v>2928</v>
      </c>
      <c r="F2" s="14" t="s">
        <v>256</v>
      </c>
      <c r="G2" s="14">
        <v>2003</v>
      </c>
      <c r="H2" s="14" t="s">
        <v>2929</v>
      </c>
      <c r="I2" s="14" t="str">
        <f>HYPERLINK("http://dx.doi.org/10.1016/S1383-5718(03)00050-0","http://dx.doi.org/10.1016/S1383-5718(03)00050-0")</f>
        <v>http://dx.doi.org/10.1016/S1383-5718(03)00050-0</v>
      </c>
      <c r="P2" s="27"/>
      <c r="W2" s="8"/>
      <c r="Y2">
        <f>COUNTA(W2:W33)</f>
        <v>0</v>
      </c>
    </row>
    <row r="3" spans="1:42" ht="210" x14ac:dyDescent="0.15">
      <c r="A3" s="19" t="s">
        <v>4013</v>
      </c>
      <c r="B3" s="16" t="s">
        <v>632</v>
      </c>
      <c r="C3" s="14" t="s">
        <v>633</v>
      </c>
      <c r="D3" s="14" t="s">
        <v>634</v>
      </c>
      <c r="E3" s="14" t="s">
        <v>635</v>
      </c>
      <c r="F3" s="14" t="s">
        <v>122</v>
      </c>
      <c r="G3" s="14">
        <v>2020</v>
      </c>
      <c r="H3" s="14" t="s">
        <v>636</v>
      </c>
      <c r="I3" s="14" t="str">
        <f>HYPERLINK("http://dx.doi.org/10.1093/icb/icaa023","http://dx.doi.org/10.1093/icb/icaa023")</f>
        <v>http://dx.doi.org/10.1093/icb/icaa023</v>
      </c>
      <c r="P3" s="27"/>
      <c r="W3" s="8"/>
    </row>
    <row r="4" spans="1:42" ht="306" x14ac:dyDescent="0.15">
      <c r="A4" s="19" t="s">
        <v>4012</v>
      </c>
      <c r="B4" s="16" t="s">
        <v>2421</v>
      </c>
      <c r="C4" s="14" t="s">
        <v>2422</v>
      </c>
      <c r="D4" s="14" t="s">
        <v>2423</v>
      </c>
      <c r="E4" s="14" t="s">
        <v>2424</v>
      </c>
      <c r="F4" s="14" t="s">
        <v>11</v>
      </c>
      <c r="G4" s="14">
        <v>2015</v>
      </c>
      <c r="H4" s="14" t="s">
        <v>2425</v>
      </c>
      <c r="I4" s="14" t="str">
        <f>HYPERLINK("http://dx.doi.org/10.1016/j.micres.2014.08.011","http://dx.doi.org/10.1016/j.micres.2014.08.011")</f>
        <v>http://dx.doi.org/10.1016/j.micres.2014.08.011</v>
      </c>
      <c r="P4" s="27"/>
      <c r="W4" s="8"/>
    </row>
    <row r="5" spans="1:42" ht="196" x14ac:dyDescent="0.15">
      <c r="A5" s="19" t="s">
        <v>4015</v>
      </c>
      <c r="B5" s="16" t="s">
        <v>496</v>
      </c>
      <c r="C5" s="14" t="s">
        <v>497</v>
      </c>
      <c r="D5" s="14" t="s">
        <v>498</v>
      </c>
      <c r="E5" s="14" t="s">
        <v>499</v>
      </c>
      <c r="F5" s="14" t="s">
        <v>96</v>
      </c>
      <c r="G5" s="14">
        <v>2024</v>
      </c>
      <c r="H5" s="14" t="s">
        <v>500</v>
      </c>
      <c r="I5" s="14" t="str">
        <f>HYPERLINK("http://dx.doi.org/10.1016/j.aqrep.2024.102339","http://dx.doi.org/10.1016/j.aqrep.2024.102339")</f>
        <v>http://dx.doi.org/10.1016/j.aqrep.2024.102339</v>
      </c>
      <c r="P5" s="27"/>
      <c r="W5" s="8"/>
    </row>
    <row r="6" spans="1:42" ht="224" x14ac:dyDescent="0.15">
      <c r="A6" s="19" t="s">
        <v>4015</v>
      </c>
      <c r="B6" s="16" t="s">
        <v>1889</v>
      </c>
      <c r="C6" s="14" t="s">
        <v>1890</v>
      </c>
      <c r="D6" s="14" t="s">
        <v>951</v>
      </c>
      <c r="E6" s="14" t="s">
        <v>1891</v>
      </c>
      <c r="F6" s="14" t="s">
        <v>112</v>
      </c>
      <c r="G6" s="14">
        <v>2023</v>
      </c>
      <c r="H6" s="14" t="s">
        <v>1892</v>
      </c>
      <c r="I6" s="14" t="str">
        <f>HYPERLINK("http://dx.doi.org/10.3390/ijms24065928","http://dx.doi.org/10.3390/ijms24065928")</f>
        <v>http://dx.doi.org/10.3390/ijms24065928</v>
      </c>
      <c r="P6" s="27"/>
      <c r="W6" s="8"/>
    </row>
    <row r="7" spans="1:42" ht="319" x14ac:dyDescent="0.15">
      <c r="A7" s="19" t="s">
        <v>4012</v>
      </c>
      <c r="B7" s="16" t="s">
        <v>3800</v>
      </c>
      <c r="C7" s="14" t="s">
        <v>3801</v>
      </c>
      <c r="D7" s="14" t="s">
        <v>2611</v>
      </c>
      <c r="E7" s="14" t="s">
        <v>3802</v>
      </c>
      <c r="F7" s="14" t="s">
        <v>33</v>
      </c>
      <c r="G7" s="14">
        <v>2023</v>
      </c>
      <c r="H7" s="14" t="s">
        <v>3803</v>
      </c>
      <c r="I7" s="14" t="str">
        <f>HYPERLINK("http://dx.doi.org/10.1111/fwb.14084","http://dx.doi.org/10.1111/fwb.14084")</f>
        <v>http://dx.doi.org/10.1111/fwb.14084</v>
      </c>
      <c r="P7" s="27"/>
      <c r="W7" s="8"/>
      <c r="AP7">
        <f>COUNTA(AP8:AP13)</f>
        <v>6</v>
      </c>
    </row>
    <row r="8" spans="1:42" ht="210" x14ac:dyDescent="0.15">
      <c r="A8" s="19" t="s">
        <v>4012</v>
      </c>
      <c r="B8" s="16" t="s">
        <v>1514</v>
      </c>
      <c r="C8" s="14" t="s">
        <v>1515</v>
      </c>
      <c r="D8" s="14" t="s">
        <v>894</v>
      </c>
      <c r="E8" s="14" t="s">
        <v>1516</v>
      </c>
      <c r="F8" s="14" t="s">
        <v>33</v>
      </c>
      <c r="G8" s="14">
        <v>2010</v>
      </c>
      <c r="H8" s="14" t="s">
        <v>1517</v>
      </c>
      <c r="I8" s="14" t="str">
        <f>HYPERLINK("http://dx.doi.org/10.1016/j.margen.2010.05.002","http://dx.doi.org/10.1016/j.margen.2010.05.002")</f>
        <v>http://dx.doi.org/10.1016/j.margen.2010.05.002</v>
      </c>
      <c r="P8" s="27"/>
      <c r="W8" s="8"/>
      <c r="AP8" s="19" t="s">
        <v>4015</v>
      </c>
    </row>
    <row r="9" spans="1:42" ht="168" x14ac:dyDescent="0.15">
      <c r="A9" s="19" t="s">
        <v>4012</v>
      </c>
      <c r="B9" s="16" t="s">
        <v>1802</v>
      </c>
      <c r="C9" s="14" t="s">
        <v>1803</v>
      </c>
      <c r="D9" s="14" t="s">
        <v>1804</v>
      </c>
      <c r="E9" s="14" t="s">
        <v>1805</v>
      </c>
      <c r="F9" s="14" t="s">
        <v>1806</v>
      </c>
      <c r="G9" s="14">
        <v>2014</v>
      </c>
      <c r="H9" s="14" t="s">
        <v>1807</v>
      </c>
      <c r="I9" s="14" t="str">
        <f>HYPERLINK("http://dx.doi.org/10.1086/676138","http://dx.doi.org/10.1086/676138")</f>
        <v>http://dx.doi.org/10.1086/676138</v>
      </c>
      <c r="P9" s="27"/>
      <c r="W9" s="8"/>
      <c r="AP9" s="19" t="s">
        <v>4015</v>
      </c>
    </row>
    <row r="10" spans="1:42" ht="224" x14ac:dyDescent="0.15">
      <c r="A10" s="19" t="s">
        <v>4015</v>
      </c>
      <c r="B10" s="16" t="s">
        <v>617</v>
      </c>
      <c r="C10" s="14" t="s">
        <v>618</v>
      </c>
      <c r="D10" s="14" t="s">
        <v>619</v>
      </c>
      <c r="E10" s="14" t="s">
        <v>620</v>
      </c>
      <c r="F10" s="14" t="s">
        <v>112</v>
      </c>
      <c r="G10" s="14">
        <v>2023</v>
      </c>
      <c r="H10" s="14" t="s">
        <v>621</v>
      </c>
      <c r="I10" s="14" t="str">
        <f>HYPERLINK("http://dx.doi.org/10.3791/64817","http://dx.doi.org/10.3791/64817")</f>
        <v>http://dx.doi.org/10.3791/64817</v>
      </c>
      <c r="P10" s="27"/>
      <c r="W10" s="8"/>
      <c r="AP10" s="19" t="s">
        <v>4015</v>
      </c>
    </row>
    <row r="11" spans="1:42" ht="210" x14ac:dyDescent="0.15">
      <c r="A11" s="19" t="s">
        <v>4012</v>
      </c>
      <c r="B11" s="16" t="s">
        <v>1918</v>
      </c>
      <c r="C11" s="14" t="s">
        <v>1919</v>
      </c>
      <c r="D11" s="14" t="s">
        <v>142</v>
      </c>
      <c r="E11" s="14" t="s">
        <v>1920</v>
      </c>
      <c r="F11" s="14" t="s">
        <v>221</v>
      </c>
      <c r="G11" s="14">
        <v>2011</v>
      </c>
      <c r="H11" s="14" t="s">
        <v>1921</v>
      </c>
      <c r="I11" s="14" t="str">
        <f>HYPERLINK("http://dx.doi.org/10.1016/j.fsi.2010.09.006","http://dx.doi.org/10.1016/j.fsi.2010.09.006")</f>
        <v>http://dx.doi.org/10.1016/j.fsi.2010.09.006</v>
      </c>
      <c r="P11" s="27"/>
      <c r="W11" s="8"/>
      <c r="AP11" s="19" t="s">
        <v>4015</v>
      </c>
    </row>
    <row r="12" spans="1:42" ht="182" x14ac:dyDescent="0.15">
      <c r="A12" s="19" t="s">
        <v>4014</v>
      </c>
      <c r="B12" s="16" t="s">
        <v>1107</v>
      </c>
      <c r="C12" s="14" t="s">
        <v>1108</v>
      </c>
      <c r="D12" s="14" t="s">
        <v>1109</v>
      </c>
      <c r="E12" s="14" t="s">
        <v>1110</v>
      </c>
      <c r="F12" s="14" t="s">
        <v>11</v>
      </c>
      <c r="G12" s="14">
        <v>2011</v>
      </c>
      <c r="H12" s="14" t="s">
        <v>1111</v>
      </c>
      <c r="I12" s="14" t="str">
        <f>HYPERLINK("http://dx.doi.org/10.1007/978-3-7643-8989-5_4","http://dx.doi.org/10.1007/978-3-7643-8989-5_4")</f>
        <v>http://dx.doi.org/10.1007/978-3-7643-8989-5_4</v>
      </c>
      <c r="P12" s="27"/>
      <c r="W12" s="8"/>
      <c r="AP12" s="19" t="s">
        <v>4019</v>
      </c>
    </row>
    <row r="13" spans="1:42" ht="280" x14ac:dyDescent="0.15">
      <c r="A13" s="19" t="s">
        <v>4012</v>
      </c>
      <c r="B13" s="16" t="s">
        <v>860</v>
      </c>
      <c r="C13" s="14" t="s">
        <v>861</v>
      </c>
      <c r="D13" s="14" t="s">
        <v>862</v>
      </c>
      <c r="E13" s="14" t="s">
        <v>863</v>
      </c>
      <c r="F13" s="14" t="s">
        <v>864</v>
      </c>
      <c r="G13" s="14">
        <v>2020</v>
      </c>
      <c r="H13" s="14" t="s">
        <v>865</v>
      </c>
      <c r="I13" s="14" t="str">
        <f>HYPERLINK("http://dx.doi.org/10.1093/conphys/coaa024","http://dx.doi.org/10.1093/conphys/coaa024")</f>
        <v>http://dx.doi.org/10.1093/conphys/coaa024</v>
      </c>
      <c r="P13" s="27"/>
      <c r="W13" s="8"/>
      <c r="AP13" s="19" t="s">
        <v>4016</v>
      </c>
    </row>
    <row r="14" spans="1:42" ht="280" x14ac:dyDescent="0.15">
      <c r="A14" s="19" t="s">
        <v>4012</v>
      </c>
      <c r="B14" s="16" t="s">
        <v>1595</v>
      </c>
      <c r="C14" s="14" t="s">
        <v>1596</v>
      </c>
      <c r="D14" s="14" t="s">
        <v>648</v>
      </c>
      <c r="E14" s="14" t="s">
        <v>1597</v>
      </c>
      <c r="F14" s="14" t="s">
        <v>56</v>
      </c>
      <c r="G14" s="14">
        <v>2013</v>
      </c>
      <c r="H14" s="14" t="s">
        <v>1598</v>
      </c>
      <c r="I14" s="14" t="str">
        <f>HYPERLINK("http://dx.doi.org/10.1242/jeb.084269","http://dx.doi.org/10.1242/jeb.084269")</f>
        <v>http://dx.doi.org/10.1242/jeb.084269</v>
      </c>
      <c r="P14" s="27"/>
      <c r="R14">
        <f>COUNTA(R15:R23)</f>
        <v>9</v>
      </c>
      <c r="W14" s="8"/>
    </row>
    <row r="15" spans="1:42" ht="293" x14ac:dyDescent="0.15">
      <c r="A15" s="19" t="s">
        <v>4012</v>
      </c>
      <c r="B15" s="16" t="s">
        <v>2449</v>
      </c>
      <c r="C15" s="14" t="s">
        <v>2450</v>
      </c>
      <c r="D15" s="14" t="s">
        <v>37</v>
      </c>
      <c r="E15" s="14" t="s">
        <v>2451</v>
      </c>
      <c r="F15" s="14" t="s">
        <v>68</v>
      </c>
      <c r="G15" s="14">
        <v>2017</v>
      </c>
      <c r="H15" s="19" t="s">
        <v>2452</v>
      </c>
      <c r="I15" s="14" t="str">
        <f>HYPERLINK("http://dx.doi.org/10.1016/j.ecoenv.2017.03.029","http://dx.doi.org/10.1016/j.ecoenv.2017.03.029")</f>
        <v>http://dx.doi.org/10.1016/j.ecoenv.2017.03.029</v>
      </c>
      <c r="P15" s="27"/>
      <c r="R15" s="19" t="s">
        <v>4014</v>
      </c>
      <c r="W15" s="8"/>
    </row>
    <row r="16" spans="1:42" ht="266" x14ac:dyDescent="0.15">
      <c r="A16" s="19" t="s">
        <v>4012</v>
      </c>
      <c r="B16" s="16" t="s">
        <v>2604</v>
      </c>
      <c r="C16" s="14" t="s">
        <v>2605</v>
      </c>
      <c r="D16" s="14" t="s">
        <v>1932</v>
      </c>
      <c r="E16" s="14" t="s">
        <v>2606</v>
      </c>
      <c r="F16" s="14" t="s">
        <v>2607</v>
      </c>
      <c r="G16" s="14">
        <v>2025</v>
      </c>
      <c r="H16" s="14" t="s">
        <v>2608</v>
      </c>
      <c r="I16" s="14" t="str">
        <f>HYPERLINK("http://dx.doi.org/10.3389/fcimb.2025.1533154","http://dx.doi.org/10.3389/fcimb.2025.1533154")</f>
        <v>http://dx.doi.org/10.3389/fcimb.2025.1533154</v>
      </c>
      <c r="P16" s="27"/>
      <c r="R16" s="19" t="s">
        <v>4014</v>
      </c>
      <c r="W16" s="8"/>
    </row>
    <row r="17" spans="1:23" ht="238" x14ac:dyDescent="0.15">
      <c r="A17" s="19" t="s">
        <v>4015</v>
      </c>
      <c r="B17" s="16" t="s">
        <v>3347</v>
      </c>
      <c r="C17" s="14" t="s">
        <v>3348</v>
      </c>
      <c r="D17" s="14" t="s">
        <v>234</v>
      </c>
      <c r="E17" s="14" t="s">
        <v>3349</v>
      </c>
      <c r="F17" s="14" t="s">
        <v>221</v>
      </c>
      <c r="G17" s="14">
        <v>2025</v>
      </c>
      <c r="H17" s="14" t="s">
        <v>3350</v>
      </c>
      <c r="I17" s="14" t="str">
        <f>HYPERLINK("http://dx.doi.org/10.1016/j.cbpb.2024.111018","http://dx.doi.org/10.1016/j.cbpb.2024.111018")</f>
        <v>http://dx.doi.org/10.1016/j.cbpb.2024.111018</v>
      </c>
      <c r="P17" s="27"/>
      <c r="R17" s="19" t="s">
        <v>4014</v>
      </c>
      <c r="W17" s="8"/>
    </row>
    <row r="18" spans="1:23" ht="224" x14ac:dyDescent="0.15">
      <c r="A18" s="19" t="s">
        <v>4012</v>
      </c>
      <c r="B18" s="16" t="s">
        <v>1621</v>
      </c>
      <c r="C18" s="14" t="s">
        <v>1622</v>
      </c>
      <c r="D18" s="14" t="s">
        <v>321</v>
      </c>
      <c r="E18" s="14" t="s">
        <v>1623</v>
      </c>
      <c r="F18" s="14" t="s">
        <v>1624</v>
      </c>
      <c r="G18" s="14">
        <v>2020</v>
      </c>
      <c r="H18" s="14" t="s">
        <v>1625</v>
      </c>
      <c r="I18" s="14" t="str">
        <f>HYPERLINK("http://dx.doi.org/10.1371/journal.pone.0228893","http://dx.doi.org/10.1371/journal.pone.0228893")</f>
        <v>http://dx.doi.org/10.1371/journal.pone.0228893</v>
      </c>
      <c r="P18" s="27"/>
      <c r="R18" s="19" t="s">
        <v>4014</v>
      </c>
      <c r="W18" s="8"/>
    </row>
    <row r="19" spans="1:23" ht="210" x14ac:dyDescent="0.15">
      <c r="A19" s="19" t="s">
        <v>4014</v>
      </c>
      <c r="B19" s="16" t="s">
        <v>2801</v>
      </c>
      <c r="C19" s="14" t="s">
        <v>2802</v>
      </c>
      <c r="D19" s="14" t="s">
        <v>2803</v>
      </c>
      <c r="E19" s="14" t="s">
        <v>2804</v>
      </c>
      <c r="F19" s="14" t="s">
        <v>112</v>
      </c>
      <c r="G19" s="14">
        <v>2015</v>
      </c>
      <c r="H19" s="14" t="s">
        <v>2805</v>
      </c>
      <c r="I19" s="14" t="str">
        <f>HYPERLINK("http://dx.doi.org/10.1099/jgv.0.000008","http://dx.doi.org/10.1099/jgv.0.000008")</f>
        <v>http://dx.doi.org/10.1099/jgv.0.000008</v>
      </c>
      <c r="P19" s="8"/>
      <c r="R19" s="19" t="s">
        <v>4014</v>
      </c>
      <c r="W19" s="8"/>
    </row>
    <row r="20" spans="1:23" ht="154" x14ac:dyDescent="0.15">
      <c r="A20" s="19" t="s">
        <v>4012</v>
      </c>
      <c r="B20" s="16" t="s">
        <v>578</v>
      </c>
      <c r="C20" s="14" t="s">
        <v>579</v>
      </c>
      <c r="D20" s="14" t="s">
        <v>580</v>
      </c>
      <c r="E20" s="14" t="s">
        <v>581</v>
      </c>
      <c r="F20" s="14" t="s">
        <v>96</v>
      </c>
      <c r="G20" s="14">
        <v>2025</v>
      </c>
      <c r="H20" s="14" t="s">
        <v>582</v>
      </c>
      <c r="I20" s="14" t="str">
        <f>HYPERLINK("http://dx.doi.org/10.1016/j.marpolbul.2025.118255","http://dx.doi.org/10.1016/j.marpolbul.2025.118255")</f>
        <v>http://dx.doi.org/10.1016/j.marpolbul.2025.118255</v>
      </c>
      <c r="P20" s="27"/>
      <c r="R20" s="19" t="s">
        <v>4014</v>
      </c>
      <c r="W20" s="8"/>
    </row>
    <row r="21" spans="1:23" ht="266" x14ac:dyDescent="0.15">
      <c r="A21" s="19" t="s">
        <v>4012</v>
      </c>
      <c r="B21" s="16" t="s">
        <v>2638</v>
      </c>
      <c r="C21" s="14" t="s">
        <v>2639</v>
      </c>
      <c r="D21" s="14" t="s">
        <v>54</v>
      </c>
      <c r="E21" s="14" t="s">
        <v>2640</v>
      </c>
      <c r="F21" s="14" t="s">
        <v>2641</v>
      </c>
      <c r="G21" s="14">
        <v>2025</v>
      </c>
      <c r="H21" s="14" t="s">
        <v>2642</v>
      </c>
      <c r="I21" s="14" t="str">
        <f>HYPERLINK("http://dx.doi.org/10.1111/mec.17684","http://dx.doi.org/10.1111/mec.17684")</f>
        <v>http://dx.doi.org/10.1111/mec.17684</v>
      </c>
      <c r="P21" s="27"/>
      <c r="R21" s="19" t="s">
        <v>4017</v>
      </c>
      <c r="W21" s="8"/>
    </row>
    <row r="22" spans="1:23" ht="238" x14ac:dyDescent="0.15">
      <c r="A22" s="19" t="s">
        <v>4020</v>
      </c>
      <c r="B22" s="16" t="s">
        <v>538</v>
      </c>
      <c r="C22" s="14" t="s">
        <v>539</v>
      </c>
      <c r="D22" s="14" t="s">
        <v>90</v>
      </c>
      <c r="E22" s="14" t="s">
        <v>540</v>
      </c>
      <c r="F22" s="14" t="s">
        <v>21</v>
      </c>
      <c r="G22" s="14">
        <v>2020</v>
      </c>
      <c r="H22" s="14" t="s">
        <v>541</v>
      </c>
      <c r="I22" s="14" t="str">
        <f>HYPERLINK("http://dx.doi.org/10.1016/j.cbd.2020.100748","http://dx.doi.org/10.1016/j.cbd.2020.100748")</f>
        <v>http://dx.doi.org/10.1016/j.cbd.2020.100748</v>
      </c>
      <c r="P22" s="27"/>
      <c r="R22" s="19" t="s">
        <v>4018</v>
      </c>
      <c r="W22" s="8"/>
    </row>
    <row r="23" spans="1:23" ht="238" x14ac:dyDescent="0.15">
      <c r="A23" s="26" t="s">
        <v>4013</v>
      </c>
      <c r="B23" s="16" t="s">
        <v>1142</v>
      </c>
      <c r="C23" s="14" t="s">
        <v>1143</v>
      </c>
      <c r="D23" s="14" t="s">
        <v>1144</v>
      </c>
      <c r="E23" s="14" t="s">
        <v>1145</v>
      </c>
      <c r="F23" s="14" t="s">
        <v>11</v>
      </c>
      <c r="G23" s="14">
        <v>2022</v>
      </c>
      <c r="H23" s="14" t="s">
        <v>1146</v>
      </c>
      <c r="I23" s="14" t="str">
        <f>HYPERLINK("http://dx.doi.org/10.1201/9781003288602-13","http://dx.doi.org/10.1201/9781003288602-13")</f>
        <v>http://dx.doi.org/10.1201/9781003288602-13</v>
      </c>
      <c r="M23">
        <f>COUNTA(M24:M53)</f>
        <v>30</v>
      </c>
      <c r="P23" s="27"/>
      <c r="R23" s="19" t="s">
        <v>4018</v>
      </c>
      <c r="W23" s="8"/>
    </row>
    <row r="24" spans="1:23" ht="224" x14ac:dyDescent="0.15">
      <c r="A24" s="26" t="s">
        <v>4013</v>
      </c>
      <c r="B24" s="16" t="s">
        <v>1603</v>
      </c>
      <c r="C24" s="14" t="s">
        <v>1604</v>
      </c>
      <c r="D24" s="14" t="s">
        <v>1090</v>
      </c>
      <c r="E24" s="14" t="s">
        <v>1605</v>
      </c>
      <c r="F24" s="14" t="s">
        <v>106</v>
      </c>
      <c r="G24" s="14">
        <v>2025</v>
      </c>
      <c r="H24" s="14" t="s">
        <v>1606</v>
      </c>
      <c r="I24" s="14" t="str">
        <f>HYPERLINK("http://dx.doi.org/10.1016/j.ijbiomac.2025.140425","http://dx.doi.org/10.1016/j.ijbiomac.2025.140425")</f>
        <v>http://dx.doi.org/10.1016/j.ijbiomac.2025.140425</v>
      </c>
      <c r="M24" s="19" t="s">
        <v>4012</v>
      </c>
      <c r="P24" s="27"/>
      <c r="W24" s="8"/>
    </row>
    <row r="25" spans="1:23" ht="319" x14ac:dyDescent="0.15">
      <c r="A25" s="19" t="s">
        <v>4012</v>
      </c>
      <c r="B25" s="16" t="s">
        <v>1093</v>
      </c>
      <c r="C25" s="14" t="s">
        <v>1094</v>
      </c>
      <c r="D25" s="14" t="s">
        <v>78</v>
      </c>
      <c r="E25" s="14" t="s">
        <v>1095</v>
      </c>
      <c r="F25" s="14" t="s">
        <v>1096</v>
      </c>
      <c r="G25" s="14">
        <v>2022</v>
      </c>
      <c r="H25" s="14" t="s">
        <v>1097</v>
      </c>
      <c r="I25" s="14" t="str">
        <f>HYPERLINK("http://dx.doi.org/10.3389/fmars.2022.921877","http://dx.doi.org/10.3389/fmars.2022.921877")</f>
        <v>http://dx.doi.org/10.3389/fmars.2022.921877</v>
      </c>
      <c r="M25" s="19" t="s">
        <v>4012</v>
      </c>
      <c r="P25" s="27"/>
      <c r="W25" s="8"/>
    </row>
    <row r="26" spans="1:23" ht="266" x14ac:dyDescent="0.15">
      <c r="A26" s="19" t="s">
        <v>4012</v>
      </c>
      <c r="B26" s="16" t="s">
        <v>1854</v>
      </c>
      <c r="C26" s="14" t="s">
        <v>1855</v>
      </c>
      <c r="D26" s="14" t="s">
        <v>110</v>
      </c>
      <c r="E26" s="14" t="s">
        <v>1856</v>
      </c>
      <c r="F26" s="14" t="s">
        <v>56</v>
      </c>
      <c r="G26" s="14">
        <v>2015</v>
      </c>
      <c r="H26" s="14" t="s">
        <v>1857</v>
      </c>
      <c r="I26" s="14" t="str">
        <f>HYPERLINK("http://dx.doi.org/10.1016/j.aquatox.2015.06.015","http://dx.doi.org/10.1016/j.aquatox.2015.06.015")</f>
        <v>http://dx.doi.org/10.1016/j.aquatox.2015.06.015</v>
      </c>
      <c r="M26" s="19" t="s">
        <v>4012</v>
      </c>
      <c r="P26" s="27"/>
      <c r="W26" s="8"/>
    </row>
    <row r="27" spans="1:23" ht="238" x14ac:dyDescent="0.15">
      <c r="A27" s="19" t="s">
        <v>4014</v>
      </c>
      <c r="B27" s="16" t="s">
        <v>2558</v>
      </c>
      <c r="C27" s="14" t="s">
        <v>2559</v>
      </c>
      <c r="D27" s="14" t="s">
        <v>48</v>
      </c>
      <c r="E27" s="14" t="s">
        <v>2560</v>
      </c>
      <c r="F27" s="14" t="s">
        <v>942</v>
      </c>
      <c r="G27" s="14">
        <v>2019</v>
      </c>
      <c r="H27" s="14" t="s">
        <v>2561</v>
      </c>
      <c r="I27" s="14" t="str">
        <f>HYPERLINK("http://dx.doi.org/10.1186/s12864-019-6156-5","http://dx.doi.org/10.1186/s12864-019-6156-5")</f>
        <v>http://dx.doi.org/10.1186/s12864-019-6156-5</v>
      </c>
      <c r="M27" s="19" t="s">
        <v>4012</v>
      </c>
      <c r="P27" s="27"/>
      <c r="W27" s="8"/>
    </row>
    <row r="28" spans="1:23" ht="371" x14ac:dyDescent="0.15">
      <c r="A28" s="19" t="s">
        <v>4012</v>
      </c>
      <c r="B28" s="16" t="s">
        <v>2329</v>
      </c>
      <c r="C28" s="14" t="s">
        <v>2330</v>
      </c>
      <c r="D28" s="14" t="s">
        <v>946</v>
      </c>
      <c r="E28" s="14" t="s">
        <v>2331</v>
      </c>
      <c r="F28" s="14" t="s">
        <v>138</v>
      </c>
      <c r="G28" s="14">
        <v>2021</v>
      </c>
      <c r="H28" s="14" t="s">
        <v>2332</v>
      </c>
      <c r="I28" s="14" t="str">
        <f>HYPERLINK("http://dx.doi.org/10.3390/biology10020103","http://dx.doi.org/10.3390/biology10020103")</f>
        <v>http://dx.doi.org/10.3390/biology10020103</v>
      </c>
      <c r="M28" s="19" t="s">
        <v>4012</v>
      </c>
      <c r="P28" s="27"/>
      <c r="W28" s="8"/>
    </row>
    <row r="29" spans="1:23" ht="224" x14ac:dyDescent="0.15">
      <c r="A29" s="19" t="s">
        <v>4013</v>
      </c>
      <c r="B29" s="16" t="s">
        <v>1375</v>
      </c>
      <c r="C29" s="14" t="s">
        <v>1376</v>
      </c>
      <c r="D29" s="14" t="s">
        <v>31</v>
      </c>
      <c r="E29" s="14" t="s">
        <v>1377</v>
      </c>
      <c r="F29" s="14" t="s">
        <v>122</v>
      </c>
      <c r="G29" s="14">
        <v>2016</v>
      </c>
      <c r="H29" s="14" t="s">
        <v>1378</v>
      </c>
      <c r="I29" s="14" t="str">
        <f>HYPERLINK("http://dx.doi.org/10.1007/s10126-016-9711-y","http://dx.doi.org/10.1007/s10126-016-9711-y")</f>
        <v>http://dx.doi.org/10.1007/s10126-016-9711-y</v>
      </c>
      <c r="M29" s="19" t="s">
        <v>4012</v>
      </c>
      <c r="P29" s="27"/>
      <c r="W29" s="8"/>
    </row>
    <row r="30" spans="1:23" ht="293" x14ac:dyDescent="0.15">
      <c r="A30" s="19" t="s">
        <v>4012</v>
      </c>
      <c r="B30" s="16" t="s">
        <v>2652</v>
      </c>
      <c r="C30" s="14" t="s">
        <v>2653</v>
      </c>
      <c r="D30" s="14" t="s">
        <v>151</v>
      </c>
      <c r="E30" s="14" t="s">
        <v>2654</v>
      </c>
      <c r="F30" s="14" t="s">
        <v>209</v>
      </c>
      <c r="G30" s="14">
        <v>2022</v>
      </c>
      <c r="H30" s="14" t="s">
        <v>2655</v>
      </c>
      <c r="I30" s="14" t="str">
        <f>HYPERLINK("http://dx.doi.org/10.1002/ece3.9524","http://dx.doi.org/10.1002/ece3.9524")</f>
        <v>http://dx.doi.org/10.1002/ece3.9524</v>
      </c>
      <c r="M30" s="19" t="s">
        <v>4012</v>
      </c>
      <c r="P30" s="27"/>
      <c r="W30" s="8"/>
    </row>
    <row r="31" spans="1:23" ht="266" x14ac:dyDescent="0.15">
      <c r="A31" s="19" t="s">
        <v>4012</v>
      </c>
      <c r="B31" s="16" t="s">
        <v>556</v>
      </c>
      <c r="C31" s="14" t="s">
        <v>557</v>
      </c>
      <c r="D31" s="14" t="s">
        <v>156</v>
      </c>
      <c r="E31" s="14" t="s">
        <v>558</v>
      </c>
      <c r="F31" s="14" t="s">
        <v>559</v>
      </c>
      <c r="G31" s="14">
        <v>2021</v>
      </c>
      <c r="H31" s="14" t="s">
        <v>560</v>
      </c>
      <c r="I31" s="14" t="str">
        <f>HYPERLINK("http://dx.doi.org/10.1038/s41598-021-86578-4","http://dx.doi.org/10.1038/s41598-021-86578-4")</f>
        <v>http://dx.doi.org/10.1038/s41598-021-86578-4</v>
      </c>
      <c r="M31" s="19" t="s">
        <v>4012</v>
      </c>
      <c r="W31" s="8"/>
    </row>
    <row r="32" spans="1:23" ht="280" x14ac:dyDescent="0.15">
      <c r="A32" s="19" t="s">
        <v>4016</v>
      </c>
      <c r="B32" s="16" t="s">
        <v>2810</v>
      </c>
      <c r="C32" s="14" t="s">
        <v>2811</v>
      </c>
      <c r="D32" s="14" t="s">
        <v>2309</v>
      </c>
      <c r="E32" s="14" t="s">
        <v>2812</v>
      </c>
      <c r="F32" s="14" t="s">
        <v>21</v>
      </c>
      <c r="G32" s="14">
        <v>2021</v>
      </c>
      <c r="H32" s="14" t="s">
        <v>2813</v>
      </c>
      <c r="I32" s="14" t="str">
        <f>HYPERLINK("http://dx.doi.org/10.3390/ncrna7040076","http://dx.doi.org/10.3390/ncrna7040076")</f>
        <v>http://dx.doi.org/10.3390/ncrna7040076</v>
      </c>
      <c r="M32" s="19" t="s">
        <v>4012</v>
      </c>
      <c r="W32" s="8"/>
    </row>
    <row r="33" spans="1:23" ht="196" x14ac:dyDescent="0.15">
      <c r="A33" s="19" t="s">
        <v>4012</v>
      </c>
      <c r="B33" s="16" t="s">
        <v>1171</v>
      </c>
      <c r="C33" s="14" t="s">
        <v>1172</v>
      </c>
      <c r="D33" s="14" t="s">
        <v>1173</v>
      </c>
      <c r="E33" s="14" t="s">
        <v>1174</v>
      </c>
      <c r="F33" s="14" t="s">
        <v>1175</v>
      </c>
      <c r="G33" s="14">
        <v>2013</v>
      </c>
      <c r="H33" s="14" t="s">
        <v>1176</v>
      </c>
      <c r="I33" s="14" t="str">
        <f>HYPERLINK("http://dx.doi.org/10.1098/rspb.2013.0155","http://dx.doi.org/10.1098/rspb.2013.0155")</f>
        <v>http://dx.doi.org/10.1098/rspb.2013.0155</v>
      </c>
      <c r="M33" s="19" t="s">
        <v>4012</v>
      </c>
      <c r="W33" s="8"/>
    </row>
    <row r="34" spans="1:23" ht="280" x14ac:dyDescent="0.15">
      <c r="A34" s="19" t="s">
        <v>4012</v>
      </c>
      <c r="B34" s="16" t="s">
        <v>1283</v>
      </c>
      <c r="C34" s="19" t="s">
        <v>1284</v>
      </c>
      <c r="D34" s="14" t="s">
        <v>321</v>
      </c>
      <c r="E34" s="14" t="s">
        <v>1285</v>
      </c>
      <c r="F34" s="14" t="s">
        <v>1286</v>
      </c>
      <c r="G34" s="14">
        <v>2015</v>
      </c>
      <c r="H34" s="14" t="s">
        <v>1287</v>
      </c>
      <c r="I34" s="14" t="str">
        <f>HYPERLINK("http://dx.doi.org/10.1371/journal.pone.0132276","http://dx.doi.org/10.1371/journal.pone.0132276")</f>
        <v>http://dx.doi.org/10.1371/journal.pone.0132276</v>
      </c>
      <c r="M34" s="19" t="s">
        <v>4012</v>
      </c>
    </row>
    <row r="35" spans="1:23" ht="266" x14ac:dyDescent="0.15">
      <c r="A35" s="19" t="s">
        <v>4014</v>
      </c>
      <c r="B35" s="16" t="s">
        <v>1955</v>
      </c>
      <c r="C35" s="14" t="s">
        <v>1956</v>
      </c>
      <c r="D35" s="14" t="s">
        <v>1957</v>
      </c>
      <c r="E35" s="14" t="s">
        <v>1958</v>
      </c>
      <c r="F35" s="14" t="s">
        <v>56</v>
      </c>
      <c r="G35" s="14">
        <v>2017</v>
      </c>
      <c r="H35" s="19" t="s">
        <v>1959</v>
      </c>
      <c r="I35" s="14" t="str">
        <f>HYPERLINK("http://dx.doi.org/10.1016/j.ijpara.2017.04.002","http://dx.doi.org/10.1016/j.ijpara.2017.04.002")</f>
        <v>http://dx.doi.org/10.1016/j.ijpara.2017.04.002</v>
      </c>
      <c r="M35" s="19" t="s">
        <v>4012</v>
      </c>
    </row>
    <row r="36" spans="1:23" ht="266" x14ac:dyDescent="0.15">
      <c r="A36" s="19" t="s">
        <v>4012</v>
      </c>
      <c r="B36" s="16" t="s">
        <v>1264</v>
      </c>
      <c r="C36" s="14" t="s">
        <v>1265</v>
      </c>
      <c r="D36" s="14" t="s">
        <v>648</v>
      </c>
      <c r="E36" s="14" t="s">
        <v>1266</v>
      </c>
      <c r="F36" s="14" t="s">
        <v>122</v>
      </c>
      <c r="G36" s="14">
        <v>2015</v>
      </c>
      <c r="H36" s="14" t="s">
        <v>1267</v>
      </c>
      <c r="I36" s="14" t="str">
        <f>HYPERLINK("http://dx.doi.org/10.1242/jeb.123018","http://dx.doi.org/10.1242/jeb.123018")</f>
        <v>http://dx.doi.org/10.1242/jeb.123018</v>
      </c>
      <c r="M36" s="19" t="s">
        <v>4012</v>
      </c>
    </row>
    <row r="37" spans="1:23" ht="238" x14ac:dyDescent="0.15">
      <c r="A37" s="19" t="s">
        <v>4014</v>
      </c>
      <c r="B37" s="16" t="s">
        <v>1987</v>
      </c>
      <c r="C37" s="14" t="s">
        <v>1988</v>
      </c>
      <c r="D37" s="14" t="s">
        <v>142</v>
      </c>
      <c r="E37" s="19" t="s">
        <v>1989</v>
      </c>
      <c r="F37" s="14" t="s">
        <v>21</v>
      </c>
      <c r="G37" s="14">
        <v>2016</v>
      </c>
      <c r="H37" s="14" t="s">
        <v>1990</v>
      </c>
      <c r="I37" s="14" t="str">
        <f>HYPERLINK("http://dx.doi.org/10.1016/j.fsi.2016.10.027","http://dx.doi.org/10.1016/j.fsi.2016.10.027")</f>
        <v>http://dx.doi.org/10.1016/j.fsi.2016.10.027</v>
      </c>
      <c r="M37" s="19" t="s">
        <v>4012</v>
      </c>
    </row>
    <row r="38" spans="1:23" ht="266" x14ac:dyDescent="0.15">
      <c r="A38" s="19" t="s">
        <v>4012</v>
      </c>
      <c r="B38" s="16" t="s">
        <v>1395</v>
      </c>
      <c r="C38" s="14" t="s">
        <v>1396</v>
      </c>
      <c r="D38" s="14" t="s">
        <v>1397</v>
      </c>
      <c r="E38" s="14" t="s">
        <v>1398</v>
      </c>
      <c r="F38" s="14" t="s">
        <v>21</v>
      </c>
      <c r="G38" s="14">
        <v>2023</v>
      </c>
      <c r="H38" s="14" t="s">
        <v>1399</v>
      </c>
      <c r="I38" s="14" t="str">
        <f>HYPERLINK("http://dx.doi.org/10.1016/j.fsirep.2022.100079","http://dx.doi.org/10.1016/j.fsirep.2022.100079")</f>
        <v>http://dx.doi.org/10.1016/j.fsirep.2022.100079</v>
      </c>
      <c r="M38" s="19" t="s">
        <v>4012</v>
      </c>
    </row>
    <row r="39" spans="1:23" ht="306" x14ac:dyDescent="0.15">
      <c r="A39" s="19" t="s">
        <v>4012</v>
      </c>
      <c r="B39" s="16" t="s">
        <v>1302</v>
      </c>
      <c r="C39" s="14" t="s">
        <v>1303</v>
      </c>
      <c r="D39" s="14" t="s">
        <v>405</v>
      </c>
      <c r="E39" s="14" t="s">
        <v>1304</v>
      </c>
      <c r="F39" s="14" t="s">
        <v>112</v>
      </c>
      <c r="G39" s="14">
        <v>2020</v>
      </c>
      <c r="H39" s="14" t="s">
        <v>1305</v>
      </c>
      <c r="I39" s="14" t="str">
        <f>HYPERLINK("http://dx.doi.org/10.1016/j.marenvres.2020.104883","http://dx.doi.org/10.1016/j.marenvres.2020.104883")</f>
        <v>http://dx.doi.org/10.1016/j.marenvres.2020.104883</v>
      </c>
      <c r="M39" s="19" t="s">
        <v>4012</v>
      </c>
    </row>
    <row r="40" spans="1:23" ht="293" x14ac:dyDescent="0.15">
      <c r="A40" s="19" t="s">
        <v>4017</v>
      </c>
      <c r="B40" s="16" t="s">
        <v>471</v>
      </c>
      <c r="C40" s="14" t="s">
        <v>472</v>
      </c>
      <c r="D40" s="14" t="s">
        <v>300</v>
      </c>
      <c r="E40" s="14" t="s">
        <v>473</v>
      </c>
      <c r="F40" s="14" t="s">
        <v>474</v>
      </c>
      <c r="G40" s="14">
        <v>2024</v>
      </c>
      <c r="H40" s="14" t="s">
        <v>475</v>
      </c>
      <c r="I40" s="14" t="str">
        <f>HYPERLINK("http://dx.doi.org/10.1016/j.scitotenv.2024.173916","http://dx.doi.org/10.1016/j.scitotenv.2024.173916")</f>
        <v>http://dx.doi.org/10.1016/j.scitotenv.2024.173916</v>
      </c>
      <c r="M40" s="19" t="s">
        <v>4012</v>
      </c>
    </row>
    <row r="41" spans="1:23" ht="210" x14ac:dyDescent="0.15">
      <c r="A41" s="19" t="s">
        <v>4018</v>
      </c>
      <c r="B41" s="16" t="s">
        <v>637</v>
      </c>
      <c r="C41" s="14" t="s">
        <v>638</v>
      </c>
      <c r="D41" s="14" t="s">
        <v>415</v>
      </c>
      <c r="E41" s="14" t="s">
        <v>639</v>
      </c>
      <c r="F41" s="14" t="s">
        <v>33</v>
      </c>
      <c r="G41" s="14">
        <v>2018</v>
      </c>
      <c r="H41" s="14" t="s">
        <v>640</v>
      </c>
      <c r="I41" s="14" t="str">
        <f>HYPERLINK("http://dx.doi.org/10.1038/s41558-018-0159-0","http://dx.doi.org/10.1038/s41558-018-0159-0")</f>
        <v>http://dx.doi.org/10.1038/s41558-018-0159-0</v>
      </c>
      <c r="M41" s="19" t="s">
        <v>4012</v>
      </c>
    </row>
    <row r="42" spans="1:23" ht="210" x14ac:dyDescent="0.15">
      <c r="A42" s="19" t="s">
        <v>4012</v>
      </c>
      <c r="B42" s="16" t="s">
        <v>2788</v>
      </c>
      <c r="C42" s="14" t="s">
        <v>2789</v>
      </c>
      <c r="D42" s="14" t="s">
        <v>260</v>
      </c>
      <c r="E42" s="14" t="s">
        <v>2790</v>
      </c>
      <c r="F42" s="14" t="s">
        <v>489</v>
      </c>
      <c r="G42" s="14">
        <v>2025</v>
      </c>
      <c r="H42" s="14" t="s">
        <v>2791</v>
      </c>
      <c r="I42" s="14" t="str">
        <f>HYPERLINK("http://dx.doi.org/10.1016/j.aquaculture.2024.741767","http://dx.doi.org/10.1016/j.aquaculture.2024.741767")</f>
        <v>http://dx.doi.org/10.1016/j.aquaculture.2024.741767</v>
      </c>
      <c r="M42" s="19" t="s">
        <v>4012</v>
      </c>
    </row>
    <row r="43" spans="1:23" ht="238" x14ac:dyDescent="0.15">
      <c r="A43" s="19" t="s">
        <v>4012</v>
      </c>
      <c r="B43" s="16" t="s">
        <v>3168</v>
      </c>
      <c r="C43" s="14" t="s">
        <v>3169</v>
      </c>
      <c r="D43" s="14" t="s">
        <v>3170</v>
      </c>
      <c r="E43" s="14" t="s">
        <v>3171</v>
      </c>
      <c r="F43" s="14" t="s">
        <v>11</v>
      </c>
      <c r="G43" s="14">
        <v>2010</v>
      </c>
      <c r="H43" s="14" t="s">
        <v>11</v>
      </c>
      <c r="I43" s="14" t="s">
        <v>11</v>
      </c>
      <c r="M43" s="19" t="s">
        <v>4012</v>
      </c>
    </row>
    <row r="44" spans="1:23" ht="196" x14ac:dyDescent="0.15">
      <c r="A44" s="19" t="s">
        <v>4019</v>
      </c>
      <c r="B44" s="16" t="s">
        <v>674</v>
      </c>
      <c r="C44" s="14" t="s">
        <v>675</v>
      </c>
      <c r="D44" s="14" t="s">
        <v>676</v>
      </c>
      <c r="E44" s="14" t="s">
        <v>677</v>
      </c>
      <c r="F44" s="14" t="s">
        <v>678</v>
      </c>
      <c r="G44" s="14">
        <v>2025</v>
      </c>
      <c r="H44" s="14" t="s">
        <v>679</v>
      </c>
      <c r="I44" s="14" t="str">
        <f>HYPERLINK("http://dx.doi.org/10.1098/rsob.250009","http://dx.doi.org/10.1098/rsob.250009")</f>
        <v>http://dx.doi.org/10.1098/rsob.250009</v>
      </c>
      <c r="M44" s="19" t="s">
        <v>4012</v>
      </c>
    </row>
    <row r="45" spans="1:23" ht="210" x14ac:dyDescent="0.15">
      <c r="A45" s="19" t="s">
        <v>4013</v>
      </c>
      <c r="B45" s="16" t="s">
        <v>1599</v>
      </c>
      <c r="C45" s="14" t="s">
        <v>1600</v>
      </c>
      <c r="D45" s="14" t="s">
        <v>31</v>
      </c>
      <c r="E45" s="14" t="s">
        <v>1601</v>
      </c>
      <c r="F45" s="14" t="s">
        <v>122</v>
      </c>
      <c r="G45" s="14">
        <v>2022</v>
      </c>
      <c r="H45" s="14" t="s">
        <v>1602</v>
      </c>
      <c r="I45" s="14" t="str">
        <f>HYPERLINK("http://dx.doi.org/10.1007/s10126-022-10140-0","http://dx.doi.org/10.1007/s10126-022-10140-0")</f>
        <v>http://dx.doi.org/10.1007/s10126-022-10140-0</v>
      </c>
      <c r="M45" s="19" t="s">
        <v>4012</v>
      </c>
    </row>
    <row r="46" spans="1:23" ht="358" x14ac:dyDescent="0.15">
      <c r="A46" s="19" t="s">
        <v>4012</v>
      </c>
      <c r="B46" s="16" t="s">
        <v>583</v>
      </c>
      <c r="C46" s="14" t="s">
        <v>584</v>
      </c>
      <c r="D46" s="14" t="s">
        <v>585</v>
      </c>
      <c r="E46" s="14" t="s">
        <v>586</v>
      </c>
      <c r="F46" s="14" t="s">
        <v>587</v>
      </c>
      <c r="G46" s="14">
        <v>2025</v>
      </c>
      <c r="H46" s="14" t="s">
        <v>588</v>
      </c>
      <c r="I46" s="14" t="str">
        <f>HYPERLINK("http://dx.doi.org/10.3389/fimmu.2025.1536562","http://dx.doi.org/10.3389/fimmu.2025.1536562")</f>
        <v>http://dx.doi.org/10.3389/fimmu.2025.1536562</v>
      </c>
      <c r="M46" s="19" t="s">
        <v>4012</v>
      </c>
    </row>
    <row r="47" spans="1:23" ht="319" x14ac:dyDescent="0.15">
      <c r="A47" s="19" t="s">
        <v>4012</v>
      </c>
      <c r="B47" s="16" t="s">
        <v>1616</v>
      </c>
      <c r="C47" s="14" t="s">
        <v>1617</v>
      </c>
      <c r="D47" s="14" t="s">
        <v>300</v>
      </c>
      <c r="E47" s="14" t="s">
        <v>1618</v>
      </c>
      <c r="F47" s="14" t="s">
        <v>1619</v>
      </c>
      <c r="G47" s="14">
        <v>2020</v>
      </c>
      <c r="H47" s="14" t="s">
        <v>1620</v>
      </c>
      <c r="I47" s="14" t="str">
        <f>HYPERLINK("http://dx.doi.org/10.1016/j.scitotenv.2019.135912","http://dx.doi.org/10.1016/j.scitotenv.2019.135912")</f>
        <v>http://dx.doi.org/10.1016/j.scitotenv.2019.135912</v>
      </c>
      <c r="M47" s="19" t="s">
        <v>4012</v>
      </c>
    </row>
    <row r="48" spans="1:23" ht="332" x14ac:dyDescent="0.15">
      <c r="A48" s="19" t="s">
        <v>4018</v>
      </c>
      <c r="B48" s="16" t="s">
        <v>1446</v>
      </c>
      <c r="C48" s="19" t="s">
        <v>1447</v>
      </c>
      <c r="D48" s="14" t="s">
        <v>946</v>
      </c>
      <c r="E48" s="14" t="s">
        <v>1448</v>
      </c>
      <c r="F48" s="14" t="s">
        <v>96</v>
      </c>
      <c r="G48" s="14">
        <v>2024</v>
      </c>
      <c r="H48" s="14" t="s">
        <v>1449</v>
      </c>
      <c r="I48" s="14" t="str">
        <f>HYPERLINK("http://dx.doi.org/10.3390/biology13100788","http://dx.doi.org/10.3390/biology13100788")</f>
        <v>http://dx.doi.org/10.3390/biology13100788</v>
      </c>
      <c r="M48" s="19" t="s">
        <v>4012</v>
      </c>
    </row>
    <row r="49" spans="1:13" ht="266" x14ac:dyDescent="0.15">
      <c r="A49" s="19" t="s">
        <v>4012</v>
      </c>
      <c r="B49" s="16" t="s">
        <v>1383</v>
      </c>
      <c r="C49" s="14" t="s">
        <v>1384</v>
      </c>
      <c r="D49" s="14" t="s">
        <v>405</v>
      </c>
      <c r="E49" s="14" t="s">
        <v>1385</v>
      </c>
      <c r="F49" s="14" t="s">
        <v>96</v>
      </c>
      <c r="G49" s="14">
        <v>2023</v>
      </c>
      <c r="H49" s="14" t="s">
        <v>1386</v>
      </c>
      <c r="I49" s="14" t="str">
        <f>HYPERLINK("http://dx.doi.org/10.1016/j.marenvres.2023.106133","http://dx.doi.org/10.1016/j.marenvres.2023.106133")</f>
        <v>http://dx.doi.org/10.1016/j.marenvres.2023.106133</v>
      </c>
      <c r="M49" s="19" t="s">
        <v>4012</v>
      </c>
    </row>
    <row r="50" spans="1:13" ht="196" x14ac:dyDescent="0.15">
      <c r="A50" s="19" t="s">
        <v>4013</v>
      </c>
      <c r="B50" s="16" t="s">
        <v>145</v>
      </c>
      <c r="C50" s="14" t="s">
        <v>146</v>
      </c>
      <c r="D50" s="14" t="s">
        <v>25</v>
      </c>
      <c r="E50" s="14" t="s">
        <v>147</v>
      </c>
      <c r="F50" s="14" t="s">
        <v>86</v>
      </c>
      <c r="G50" s="14">
        <v>2022</v>
      </c>
      <c r="H50" s="14" t="s">
        <v>148</v>
      </c>
      <c r="I50" s="20" t="str">
        <f>HYPERLINK("http://dx.doi.org/10.1093/molbev/msac018","http://dx.doi.org/10.1093/molbev/msac018")</f>
        <v>http://dx.doi.org/10.1093/molbev/msac018</v>
      </c>
      <c r="M50" s="19" t="s">
        <v>4012</v>
      </c>
    </row>
    <row r="51" spans="1:13" ht="210" x14ac:dyDescent="0.15">
      <c r="A51" s="26" t="s">
        <v>4013</v>
      </c>
      <c r="B51" s="16" t="s">
        <v>3054</v>
      </c>
      <c r="C51" s="14" t="s">
        <v>3055</v>
      </c>
      <c r="D51" s="14" t="s">
        <v>585</v>
      </c>
      <c r="E51" s="19" t="s">
        <v>3056</v>
      </c>
      <c r="F51" s="14" t="s">
        <v>818</v>
      </c>
      <c r="G51" s="14">
        <v>2025</v>
      </c>
      <c r="H51" s="14" t="s">
        <v>3057</v>
      </c>
      <c r="I51" s="14" t="str">
        <f>HYPERLINK("http://dx.doi.org/10.3389/fimmu.2025.1556591","http://dx.doi.org/10.3389/fimmu.2025.1556591")</f>
        <v>http://dx.doi.org/10.3389/fimmu.2025.1556591</v>
      </c>
      <c r="M51" s="19" t="s">
        <v>4012</v>
      </c>
    </row>
    <row r="52" spans="1:13" ht="252" x14ac:dyDescent="0.15">
      <c r="A52" s="19" t="s">
        <v>4014</v>
      </c>
      <c r="B52" s="16" t="s">
        <v>2027</v>
      </c>
      <c r="C52" s="14" t="s">
        <v>2028</v>
      </c>
      <c r="D52" s="14" t="s">
        <v>260</v>
      </c>
      <c r="E52" s="14" t="s">
        <v>2029</v>
      </c>
      <c r="F52" s="14" t="s">
        <v>287</v>
      </c>
      <c r="G52" s="14">
        <v>2025</v>
      </c>
      <c r="H52" s="19" t="s">
        <v>2030</v>
      </c>
      <c r="I52" s="14" t="str">
        <f>HYPERLINK("http://dx.doi.org/10.1016/j.aquaculture.2025.742827","http://dx.doi.org/10.1016/j.aquaculture.2025.742827")</f>
        <v>http://dx.doi.org/10.1016/j.aquaculture.2025.742827</v>
      </c>
      <c r="M52" s="19" t="s">
        <v>4020</v>
      </c>
    </row>
    <row r="53" spans="1:13" ht="182" x14ac:dyDescent="0.15">
      <c r="A53" s="19" t="s">
        <v>4020</v>
      </c>
      <c r="B53" s="16" t="s">
        <v>1741</v>
      </c>
      <c r="C53" s="14" t="s">
        <v>1742</v>
      </c>
      <c r="D53" s="14" t="s">
        <v>585</v>
      </c>
      <c r="E53" s="14" t="s">
        <v>1743</v>
      </c>
      <c r="F53" s="14" t="s">
        <v>1744</v>
      </c>
      <c r="G53" s="14">
        <v>2022</v>
      </c>
      <c r="H53" s="14" t="s">
        <v>1745</v>
      </c>
      <c r="I53" s="14" t="str">
        <f>HYPERLINK("http://dx.doi.org/10.3389/fimmu.2022.927796","http://dx.doi.org/10.3389/fimmu.2022.927796")</f>
        <v>http://dx.doi.org/10.3389/fimmu.2022.927796</v>
      </c>
      <c r="M53" s="19" t="s">
        <v>4020</v>
      </c>
    </row>
    <row r="54" spans="1:13" ht="266" x14ac:dyDescent="0.15">
      <c r="A54" s="12"/>
      <c r="B54" s="13" t="s">
        <v>242</v>
      </c>
      <c r="C54" s="14" t="s">
        <v>243</v>
      </c>
      <c r="D54" s="14" t="s">
        <v>244</v>
      </c>
      <c r="E54" s="14" t="s">
        <v>245</v>
      </c>
      <c r="F54" s="14" t="s">
        <v>138</v>
      </c>
      <c r="G54" s="14">
        <v>2021</v>
      </c>
      <c r="H54" s="14" t="s">
        <v>246</v>
      </c>
      <c r="I54" s="14" t="str">
        <f>HYPERLINK("http://dx.doi.org/10.1007/s11356-020-11021-6","http://dx.doi.org/10.1007/s11356-020-11021-6")</f>
        <v>http://dx.doi.org/10.1007/s11356-020-11021-6</v>
      </c>
    </row>
    <row r="55" spans="1:13" ht="224" x14ac:dyDescent="0.15">
      <c r="A55" s="12"/>
      <c r="B55" s="13" t="s">
        <v>149</v>
      </c>
      <c r="C55" s="14" t="s">
        <v>150</v>
      </c>
      <c r="D55" s="14" t="s">
        <v>151</v>
      </c>
      <c r="E55" s="14" t="s">
        <v>152</v>
      </c>
      <c r="F55" s="14" t="s">
        <v>21</v>
      </c>
      <c r="G55" s="14">
        <v>2021</v>
      </c>
      <c r="H55" s="14" t="s">
        <v>153</v>
      </c>
      <c r="I55" s="14" t="str">
        <f>HYPERLINK("http://dx.doi.org/10.1002/ece3.8309","http://dx.doi.org/10.1002/ece3.8309")</f>
        <v>http://dx.doi.org/10.1002/ece3.8309</v>
      </c>
    </row>
    <row r="56" spans="1:13" ht="238" x14ac:dyDescent="0.15">
      <c r="A56" s="12"/>
      <c r="B56" s="13" t="s">
        <v>430</v>
      </c>
      <c r="C56" s="14" t="s">
        <v>431</v>
      </c>
      <c r="D56" s="14" t="s">
        <v>37</v>
      </c>
      <c r="E56" s="14" t="s">
        <v>432</v>
      </c>
      <c r="F56" s="14" t="s">
        <v>138</v>
      </c>
      <c r="G56" s="14">
        <v>2021</v>
      </c>
      <c r="H56" s="14" t="s">
        <v>433</v>
      </c>
      <c r="I56" s="14" t="str">
        <f>HYPERLINK("http://dx.doi.org/10.1016/j.ecoenv.2020.111849","http://dx.doi.org/10.1016/j.ecoenv.2020.111849")</f>
        <v>http://dx.doi.org/10.1016/j.ecoenv.2020.111849</v>
      </c>
    </row>
    <row r="57" spans="1:13" ht="266" x14ac:dyDescent="0.15">
      <c r="A57" s="12"/>
      <c r="B57" s="15" t="s">
        <v>542</v>
      </c>
      <c r="C57" s="14" t="s">
        <v>543</v>
      </c>
      <c r="D57" s="14" t="s">
        <v>120</v>
      </c>
      <c r="E57" s="14" t="s">
        <v>544</v>
      </c>
      <c r="F57" s="19" t="s">
        <v>68</v>
      </c>
      <c r="G57" s="14">
        <v>2019</v>
      </c>
      <c r="H57" s="14" t="s">
        <v>545</v>
      </c>
      <c r="I57" s="14" t="s">
        <v>4011</v>
      </c>
    </row>
    <row r="58" spans="1:13" ht="280" x14ac:dyDescent="0.15">
      <c r="A58" s="12"/>
      <c r="B58" s="13" t="s">
        <v>795</v>
      </c>
      <c r="C58" s="14" t="s">
        <v>796</v>
      </c>
      <c r="D58" s="14" t="s">
        <v>441</v>
      </c>
      <c r="E58" s="14" t="s">
        <v>797</v>
      </c>
      <c r="F58" s="14" t="s">
        <v>56</v>
      </c>
      <c r="G58" s="14">
        <v>2025</v>
      </c>
      <c r="H58" s="14" t="s">
        <v>798</v>
      </c>
      <c r="I58" s="14" t="str">
        <f>HYPERLINK("http://dx.doi.org/10.1016/j.ygeno.2025.111080","http://dx.doi.org/10.1016/j.ygeno.2025.111080")</f>
        <v>http://dx.doi.org/10.1016/j.ygeno.2025.111080</v>
      </c>
    </row>
    <row r="59" spans="1:13" ht="252" x14ac:dyDescent="0.15">
      <c r="A59" s="12"/>
      <c r="B59" s="13" t="s">
        <v>829</v>
      </c>
      <c r="C59" s="14" t="s">
        <v>830</v>
      </c>
      <c r="D59" s="14" t="s">
        <v>37</v>
      </c>
      <c r="E59" s="14" t="s">
        <v>831</v>
      </c>
      <c r="F59" s="14" t="s">
        <v>387</v>
      </c>
      <c r="G59" s="14">
        <v>2025</v>
      </c>
      <c r="H59" s="14" t="s">
        <v>832</v>
      </c>
      <c r="I59" s="14" t="str">
        <f>HYPERLINK("http://dx.doi.org/10.1016/j.ecoenv.2025.119081","http://dx.doi.org/10.1016/j.ecoenv.2025.119081")</f>
        <v>http://dx.doi.org/10.1016/j.ecoenv.2025.119081</v>
      </c>
    </row>
    <row r="60" spans="1:13" ht="224" x14ac:dyDescent="0.15">
      <c r="A60" s="12"/>
      <c r="B60" s="13" t="s">
        <v>476</v>
      </c>
      <c r="C60" s="14" t="s">
        <v>477</v>
      </c>
      <c r="D60" s="14" t="s">
        <v>156</v>
      </c>
      <c r="E60" s="14" t="s">
        <v>478</v>
      </c>
      <c r="F60" s="14" t="s">
        <v>479</v>
      </c>
      <c r="G60" s="14">
        <v>2017</v>
      </c>
      <c r="H60" s="14" t="s">
        <v>480</v>
      </c>
      <c r="I60" s="14" t="str">
        <f>HYPERLINK("http://dx.doi.org/10.1038/srep42193","http://dx.doi.org/10.1038/srep42193")</f>
        <v>http://dx.doi.org/10.1038/srep42193</v>
      </c>
    </row>
    <row r="61" spans="1:13" ht="210" x14ac:dyDescent="0.15">
      <c r="A61" s="12"/>
      <c r="B61" s="13" t="s">
        <v>467</v>
      </c>
      <c r="C61" s="14" t="s">
        <v>468</v>
      </c>
      <c r="D61" s="14" t="s">
        <v>37</v>
      </c>
      <c r="E61" s="14" t="s">
        <v>469</v>
      </c>
      <c r="F61" s="14" t="s">
        <v>122</v>
      </c>
      <c r="G61" s="14">
        <v>2017</v>
      </c>
      <c r="H61" s="14" t="s">
        <v>470</v>
      </c>
      <c r="I61" s="14" t="str">
        <f>HYPERLINK("http://dx.doi.org/10.1016/j.ecoenv.2017.03.030","http://dx.doi.org/10.1016/j.ecoenv.2017.03.030")</f>
        <v>http://dx.doi.org/10.1016/j.ecoenv.2017.03.030</v>
      </c>
    </row>
    <row r="62" spans="1:13" ht="210" x14ac:dyDescent="0.15">
      <c r="A62" s="12"/>
      <c r="B62" s="13" t="s">
        <v>510</v>
      </c>
      <c r="C62" s="14" t="s">
        <v>511</v>
      </c>
      <c r="D62" s="14" t="s">
        <v>367</v>
      </c>
      <c r="E62" s="14" t="s">
        <v>512</v>
      </c>
      <c r="F62" s="14" t="s">
        <v>513</v>
      </c>
      <c r="G62" s="14">
        <v>2017</v>
      </c>
      <c r="H62" s="14" t="s">
        <v>514</v>
      </c>
      <c r="I62" s="14" t="str">
        <f>HYPERLINK("http://dx.doi.org/10.1016/j.jhazmat.2017.06.024","http://dx.doi.org/10.1016/j.jhazmat.2017.06.024")</f>
        <v>http://dx.doi.org/10.1016/j.jhazmat.2017.06.024</v>
      </c>
    </row>
    <row r="63" spans="1:13" ht="266" x14ac:dyDescent="0.15">
      <c r="A63" s="12"/>
      <c r="B63" s="13" t="s">
        <v>154</v>
      </c>
      <c r="C63" s="14" t="s">
        <v>155</v>
      </c>
      <c r="D63" s="14" t="s">
        <v>156</v>
      </c>
      <c r="E63" s="14" t="s">
        <v>157</v>
      </c>
      <c r="F63" s="14" t="s">
        <v>158</v>
      </c>
      <c r="G63" s="14">
        <v>2022</v>
      </c>
      <c r="H63" s="14" t="s">
        <v>159</v>
      </c>
      <c r="I63" s="14" t="str">
        <f>HYPERLINK("http://dx.doi.org/10.1038/s41598-022-23165-1","http://dx.doi.org/10.1038/s41598-022-23165-1")</f>
        <v>http://dx.doi.org/10.1038/s41598-022-23165-1</v>
      </c>
    </row>
    <row r="64" spans="1:13" ht="210" x14ac:dyDescent="0.15">
      <c r="A64" s="12"/>
      <c r="B64" s="13" t="s">
        <v>2044</v>
      </c>
      <c r="C64" s="14" t="s">
        <v>2045</v>
      </c>
      <c r="D64" s="14" t="s">
        <v>918</v>
      </c>
      <c r="E64" s="14" t="s">
        <v>2046</v>
      </c>
      <c r="F64" s="14" t="s">
        <v>33</v>
      </c>
      <c r="G64" s="14">
        <v>2020</v>
      </c>
      <c r="H64" s="14" t="s">
        <v>2047</v>
      </c>
      <c r="I64" s="14" t="str">
        <f>HYPERLINK("http://dx.doi.org/10.1016/j.dci.2020.103642","http://dx.doi.org/10.1016/j.dci.2020.103642")</f>
        <v>http://dx.doi.org/10.1016/j.dci.2020.103642</v>
      </c>
    </row>
    <row r="65" spans="1:9" ht="224" x14ac:dyDescent="0.15">
      <c r="A65" s="12"/>
      <c r="B65" s="13" t="s">
        <v>3062</v>
      </c>
      <c r="C65" s="14" t="s">
        <v>3063</v>
      </c>
      <c r="D65" s="14" t="s">
        <v>54</v>
      </c>
      <c r="E65" s="14" t="s">
        <v>3064</v>
      </c>
      <c r="F65" s="14" t="s">
        <v>221</v>
      </c>
      <c r="G65" s="14">
        <v>2018</v>
      </c>
      <c r="H65" s="14" t="s">
        <v>3065</v>
      </c>
      <c r="I65" s="14" t="str">
        <f>HYPERLINK("http://dx.doi.org/10.1111/mec.14452","http://dx.doi.org/10.1111/mec.14452")</f>
        <v>http://dx.doi.org/10.1111/mec.14452</v>
      </c>
    </row>
    <row r="66" spans="1:9" ht="154" x14ac:dyDescent="0.15">
      <c r="A66" s="12"/>
      <c r="B66" s="13" t="s">
        <v>253</v>
      </c>
      <c r="C66" s="14" t="s">
        <v>254</v>
      </c>
      <c r="D66" s="14" t="s">
        <v>78</v>
      </c>
      <c r="E66" s="14" t="s">
        <v>255</v>
      </c>
      <c r="F66" s="14" t="s">
        <v>256</v>
      </c>
      <c r="G66" s="14">
        <v>2025</v>
      </c>
      <c r="H66" s="14" t="s">
        <v>257</v>
      </c>
      <c r="I66" s="14" t="str">
        <f>HYPERLINK("http://dx.doi.org/10.3389/fmars.2025.1579913","http://dx.doi.org/10.3389/fmars.2025.1579913")</f>
        <v>http://dx.doi.org/10.3389/fmars.2025.1579913</v>
      </c>
    </row>
    <row r="67" spans="1:9" ht="306" x14ac:dyDescent="0.15">
      <c r="A67" s="12"/>
      <c r="B67" s="13" t="s">
        <v>124</v>
      </c>
      <c r="C67" s="14" t="s">
        <v>125</v>
      </c>
      <c r="D67" s="14" t="s">
        <v>78</v>
      </c>
      <c r="E67" s="14" t="s">
        <v>126</v>
      </c>
      <c r="F67" s="14" t="s">
        <v>127</v>
      </c>
      <c r="G67" s="14">
        <v>2020</v>
      </c>
      <c r="H67" s="14" t="s">
        <v>128</v>
      </c>
      <c r="I67" s="14" t="str">
        <f>HYPERLINK("http://dx.doi.org/10.3389/fmars.2019.00788","http://dx.doi.org/10.3389/fmars.2019.00788")</f>
        <v>http://dx.doi.org/10.3389/fmars.2019.00788</v>
      </c>
    </row>
    <row r="68" spans="1:9" ht="266" x14ac:dyDescent="0.15">
      <c r="A68" s="12"/>
      <c r="B68" s="13" t="s">
        <v>389</v>
      </c>
      <c r="C68" s="14" t="s">
        <v>390</v>
      </c>
      <c r="D68" s="14" t="s">
        <v>171</v>
      </c>
      <c r="E68" s="14" t="s">
        <v>391</v>
      </c>
      <c r="F68" s="14" t="s">
        <v>392</v>
      </c>
      <c r="G68" s="14">
        <v>2023</v>
      </c>
      <c r="H68" s="14" t="s">
        <v>393</v>
      </c>
      <c r="I68" s="14" t="str">
        <f>HYPERLINK("http://dx.doi.org/10.1186/s12915-023-01645-8","http://dx.doi.org/10.1186/s12915-023-01645-8")</f>
        <v>http://dx.doi.org/10.1186/s12915-023-01645-8</v>
      </c>
    </row>
    <row r="69" spans="1:9" ht="210" x14ac:dyDescent="0.15">
      <c r="A69" s="21"/>
      <c r="B69" s="22" t="s">
        <v>1456</v>
      </c>
      <c r="C69" s="24" t="s">
        <v>1457</v>
      </c>
      <c r="D69" s="24" t="s">
        <v>1458</v>
      </c>
      <c r="E69" s="24" t="s">
        <v>1459</v>
      </c>
      <c r="F69" s="24" t="s">
        <v>1460</v>
      </c>
      <c r="G69" s="24">
        <v>2025</v>
      </c>
      <c r="H69" s="24" t="s">
        <v>1461</v>
      </c>
      <c r="I69" s="24" t="str">
        <f>HYPERLINK("http://dx.doi.org/10.1073/pnas.2422782122","http://dx.doi.org/10.1073/pnas.2422782122")</f>
        <v>http://dx.doi.org/10.1073/pnas.2422782122</v>
      </c>
    </row>
    <row r="70" spans="1:9" ht="210" x14ac:dyDescent="0.15">
      <c r="A70" s="12"/>
      <c r="B70" s="15" t="s">
        <v>4009</v>
      </c>
      <c r="C70" s="14" t="s">
        <v>1028</v>
      </c>
      <c r="D70" s="14" t="s">
        <v>78</v>
      </c>
      <c r="E70" s="14" t="s">
        <v>1029</v>
      </c>
      <c r="F70" s="14" t="s">
        <v>1030</v>
      </c>
      <c r="G70" s="14">
        <v>2022</v>
      </c>
      <c r="H70" s="14" t="s">
        <v>1031</v>
      </c>
      <c r="I70" s="14" t="str">
        <f>HYPERLINK("http://dx.doi.org/10.3389/fmars.2022.1014810","http://dx.doi.org/10.3389/fmars.2022.1014810")</f>
        <v>http://dx.doi.org/10.3389/fmars.2022.1014810</v>
      </c>
    </row>
    <row r="71" spans="1:9" ht="409.6" x14ac:dyDescent="0.15">
      <c r="A71" s="12"/>
      <c r="B71" s="13" t="s">
        <v>1191</v>
      </c>
      <c r="C71" s="14" t="s">
        <v>1192</v>
      </c>
      <c r="D71" s="14" t="s">
        <v>946</v>
      </c>
      <c r="E71" s="14" t="s">
        <v>1193</v>
      </c>
      <c r="F71" s="14" t="s">
        <v>221</v>
      </c>
      <c r="G71" s="14">
        <v>2023</v>
      </c>
      <c r="H71" s="14" t="s">
        <v>1194</v>
      </c>
      <c r="I71" s="14" t="str">
        <f>HYPERLINK("http://dx.doi.org/10.3390/biology12010106","http://dx.doi.org/10.3390/biology12010106")</f>
        <v>http://dx.doi.org/10.3390/biology12010106</v>
      </c>
    </row>
    <row r="72" spans="1:9" ht="252" x14ac:dyDescent="0.15">
      <c r="A72" s="19"/>
      <c r="B72" s="13" t="s">
        <v>1333</v>
      </c>
      <c r="C72" s="14" t="s">
        <v>1334</v>
      </c>
      <c r="D72" s="14" t="s">
        <v>142</v>
      </c>
      <c r="E72" s="14" t="s">
        <v>1335</v>
      </c>
      <c r="F72" s="14" t="s">
        <v>62</v>
      </c>
      <c r="G72" s="14">
        <v>2017</v>
      </c>
      <c r="H72" s="14" t="s">
        <v>1336</v>
      </c>
      <c r="I72" s="14" t="str">
        <f>HYPERLINK("http://dx.doi.org/10.1016/j.fsi.2017.03.020","http://dx.doi.org/10.1016/j.fsi.2017.03.020")</f>
        <v>http://dx.doi.org/10.1016/j.fsi.2017.03.020</v>
      </c>
    </row>
    <row r="73" spans="1:9" ht="196" x14ac:dyDescent="0.15">
      <c r="A73" s="18"/>
      <c r="B73" s="17" t="s">
        <v>491</v>
      </c>
      <c r="C73" s="18" t="s">
        <v>492</v>
      </c>
      <c r="D73" s="18" t="s">
        <v>493</v>
      </c>
      <c r="E73" s="18" t="s">
        <v>494</v>
      </c>
      <c r="F73" s="18" t="s">
        <v>209</v>
      </c>
      <c r="G73" s="18">
        <v>2021</v>
      </c>
      <c r="H73" s="18" t="s">
        <v>495</v>
      </c>
      <c r="I73" s="18" t="str">
        <f>HYPERLINK("http://dx.doi.org/10.1016/j.etap.2021.103753","http://dx.doi.org/10.1016/j.etap.2021.103753")</f>
        <v>http://dx.doi.org/10.1016/j.etap.2021.103753</v>
      </c>
    </row>
    <row r="74" spans="1:9" ht="210" x14ac:dyDescent="0.15">
      <c r="A74" s="14"/>
      <c r="B74" s="13" t="s">
        <v>1400</v>
      </c>
      <c r="C74" s="14" t="s">
        <v>1401</v>
      </c>
      <c r="D74" s="14" t="s">
        <v>78</v>
      </c>
      <c r="E74" s="14" t="s">
        <v>1402</v>
      </c>
      <c r="F74" s="14" t="s">
        <v>1015</v>
      </c>
      <c r="G74" s="14">
        <v>2025</v>
      </c>
      <c r="H74" s="14" t="s">
        <v>1403</v>
      </c>
      <c r="I74" s="14" t="str">
        <f>HYPERLINK("http://dx.doi.org/10.3389/fmars.2025.1528020","http://dx.doi.org/10.3389/fmars.2025.1528020")</f>
        <v>http://dx.doi.org/10.3389/fmars.2025.1528020</v>
      </c>
    </row>
    <row r="75" spans="1:9" ht="238" x14ac:dyDescent="0.15">
      <c r="A75" s="12"/>
      <c r="B75" s="13" t="s">
        <v>534</v>
      </c>
      <c r="C75" s="14" t="s">
        <v>535</v>
      </c>
      <c r="D75" s="14" t="s">
        <v>110</v>
      </c>
      <c r="E75" s="14" t="s">
        <v>536</v>
      </c>
      <c r="F75" s="14" t="s">
        <v>21</v>
      </c>
      <c r="G75" s="14">
        <v>2018</v>
      </c>
      <c r="H75" s="14" t="s">
        <v>537</v>
      </c>
      <c r="I75" s="14" t="str">
        <f>HYPERLINK("http://dx.doi.org/10.1016/j.aquatox.2018.09.015","http://dx.doi.org/10.1016/j.aquatox.2018.09.015")</f>
        <v>http://dx.doi.org/10.1016/j.aquatox.2018.09.015</v>
      </c>
    </row>
    <row r="76" spans="1:9" ht="266" x14ac:dyDescent="0.15">
      <c r="A76" s="12"/>
      <c r="B76" s="13" t="s">
        <v>357</v>
      </c>
      <c r="C76" s="14" t="s">
        <v>358</v>
      </c>
      <c r="D76" s="14" t="s">
        <v>54</v>
      </c>
      <c r="E76" s="14" t="s">
        <v>359</v>
      </c>
      <c r="F76" s="14" t="s">
        <v>221</v>
      </c>
      <c r="G76" s="14">
        <v>2023</v>
      </c>
      <c r="H76" s="14" t="s">
        <v>360</v>
      </c>
      <c r="I76" s="14" t="str">
        <f>HYPERLINK("http://dx.doi.org/10.1111/mec.16751","http://dx.doi.org/10.1111/mec.16751")</f>
        <v>http://dx.doi.org/10.1111/mec.16751</v>
      </c>
    </row>
    <row r="77" spans="1:9" ht="252" x14ac:dyDescent="0.15">
      <c r="A77" s="14"/>
      <c r="B77" s="13" t="s">
        <v>1522</v>
      </c>
      <c r="C77" s="14" t="s">
        <v>1523</v>
      </c>
      <c r="D77" s="14" t="s">
        <v>894</v>
      </c>
      <c r="E77" s="14" t="s">
        <v>1524</v>
      </c>
      <c r="F77" s="14" t="s">
        <v>33</v>
      </c>
      <c r="G77" s="14">
        <v>2017</v>
      </c>
      <c r="H77" s="14" t="s">
        <v>1525</v>
      </c>
      <c r="I77" s="14" t="str">
        <f>HYPERLINK("http://dx.doi.org/10.1016/j.margen.2017.01.002","http://dx.doi.org/10.1016/j.margen.2017.01.002")</f>
        <v>http://dx.doi.org/10.1016/j.margen.2017.01.002</v>
      </c>
    </row>
    <row r="78" spans="1:9" ht="238" x14ac:dyDescent="0.15">
      <c r="A78" s="12"/>
      <c r="B78" s="13" t="s">
        <v>279</v>
      </c>
      <c r="C78" s="14" t="s">
        <v>280</v>
      </c>
      <c r="D78" s="14" t="s">
        <v>281</v>
      </c>
      <c r="E78" s="14" t="s">
        <v>282</v>
      </c>
      <c r="F78" s="14" t="s">
        <v>33</v>
      </c>
      <c r="G78" s="14">
        <v>2015</v>
      </c>
      <c r="H78" s="14" t="s">
        <v>283</v>
      </c>
      <c r="I78" s="14" t="str">
        <f>HYPERLINK("http://dx.doi.org/10.1016/j.chemosphere.2015.01.045","http://dx.doi.org/10.1016/j.chemosphere.2015.01.045")</f>
        <v>http://dx.doi.org/10.1016/j.chemosphere.2015.01.045</v>
      </c>
    </row>
    <row r="79" spans="1:9" ht="252" x14ac:dyDescent="0.15">
      <c r="A79" s="19" t="s">
        <v>4021</v>
      </c>
      <c r="B79" s="13" t="s">
        <v>342</v>
      </c>
      <c r="C79" s="14" t="s">
        <v>343</v>
      </c>
      <c r="D79" s="14" t="s">
        <v>344</v>
      </c>
      <c r="E79" s="14" t="s">
        <v>345</v>
      </c>
      <c r="F79" s="14" t="s">
        <v>346</v>
      </c>
      <c r="G79" s="14">
        <v>2024</v>
      </c>
      <c r="H79" s="14" t="s">
        <v>347</v>
      </c>
      <c r="I79" s="14" t="str">
        <f>HYPERLINK("http://dx.doi.org/10.1021/acs.est.3c08201","http://dx.doi.org/10.1021/acs.est.3c08201")</f>
        <v>http://dx.doi.org/10.1021/acs.est.3c08201</v>
      </c>
    </row>
    <row r="80" spans="1:9" ht="293" x14ac:dyDescent="0.15">
      <c r="A80" s="14"/>
      <c r="B80" s="13" t="s">
        <v>408</v>
      </c>
      <c r="C80" s="14" t="s">
        <v>409</v>
      </c>
      <c r="D80" s="14" t="s">
        <v>186</v>
      </c>
      <c r="E80" s="14" t="s">
        <v>410</v>
      </c>
      <c r="F80" s="14" t="s">
        <v>411</v>
      </c>
      <c r="G80" s="14">
        <v>2023</v>
      </c>
      <c r="H80" s="14" t="s">
        <v>412</v>
      </c>
      <c r="I80" s="14" t="str">
        <f>HYPERLINK("http://dx.doi.org/10.1016/j.envpol.2023.121472","http://dx.doi.org/10.1016/j.envpol.2023.121472")</f>
        <v>http://dx.doi.org/10.1016/j.envpol.2023.121472</v>
      </c>
    </row>
    <row r="81" spans="1:9" ht="319" x14ac:dyDescent="0.15">
      <c r="A81" s="19" t="s">
        <v>4021</v>
      </c>
      <c r="B81" s="13" t="s">
        <v>211</v>
      </c>
      <c r="C81" s="14" t="s">
        <v>212</v>
      </c>
      <c r="D81" s="14" t="s">
        <v>78</v>
      </c>
      <c r="E81" s="14" t="s">
        <v>216</v>
      </c>
      <c r="F81" s="14" t="s">
        <v>214</v>
      </c>
      <c r="G81" s="14">
        <v>2020</v>
      </c>
      <c r="H81" s="14" t="s">
        <v>217</v>
      </c>
      <c r="I81" s="14" t="str">
        <f>HYPERLINK("http://dx.doi.org/10.3389/fmars.7070.566419","http://dx.doi.org/10.3389/fmars.7070.566419")</f>
        <v>http://dx.doi.org/10.3389/fmars.7070.566419</v>
      </c>
    </row>
    <row r="82" spans="1:9" ht="319" x14ac:dyDescent="0.15">
      <c r="A82" s="12"/>
      <c r="B82" s="13" t="s">
        <v>211</v>
      </c>
      <c r="C82" s="14" t="s">
        <v>212</v>
      </c>
      <c r="D82" s="14" t="s">
        <v>78</v>
      </c>
      <c r="E82" s="14" t="s">
        <v>213</v>
      </c>
      <c r="F82" s="14" t="s">
        <v>214</v>
      </c>
      <c r="G82" s="14">
        <v>2020</v>
      </c>
      <c r="H82" s="14" t="s">
        <v>215</v>
      </c>
      <c r="I82" s="14" t="str">
        <f>HYPERLINK("http://dx.doi.org/10.3389/fmars.2020.566419","http://dx.doi.org/10.3389/fmars.2020.566419")</f>
        <v>http://dx.doi.org/10.3389/fmars.2020.566419</v>
      </c>
    </row>
    <row r="83" spans="1:9" ht="266" x14ac:dyDescent="0.15">
      <c r="A83" s="12"/>
      <c r="B83" s="13" t="s">
        <v>768</v>
      </c>
      <c r="C83" s="14" t="s">
        <v>769</v>
      </c>
      <c r="D83" s="14" t="s">
        <v>54</v>
      </c>
      <c r="E83" s="14" t="s">
        <v>770</v>
      </c>
      <c r="F83" s="14" t="s">
        <v>68</v>
      </c>
      <c r="G83" s="14">
        <v>2019</v>
      </c>
      <c r="H83" s="14" t="s">
        <v>771</v>
      </c>
      <c r="I83" s="14" t="str">
        <f>HYPERLINK("http://dx.doi.org/10.1111/mec.15140","http://dx.doi.org/10.1111/mec.15140")</f>
        <v>http://dx.doi.org/10.1111/mec.15140</v>
      </c>
    </row>
    <row r="84" spans="1:9" ht="293" x14ac:dyDescent="0.15">
      <c r="A84" s="25"/>
      <c r="B84" s="22" t="s">
        <v>314</v>
      </c>
      <c r="C84" s="24" t="s">
        <v>315</v>
      </c>
      <c r="D84" s="24" t="s">
        <v>316</v>
      </c>
      <c r="E84" s="24" t="s">
        <v>317</v>
      </c>
      <c r="F84" s="24" t="s">
        <v>96</v>
      </c>
      <c r="G84" s="24">
        <v>2017</v>
      </c>
      <c r="H84" s="24" t="s">
        <v>318</v>
      </c>
      <c r="I84" s="24" t="str">
        <f>HYPERLINK("http://dx.doi.org/10.1016/j.jip.2017.08.007","http://dx.doi.org/10.1016/j.jip.2017.08.007")</f>
        <v>http://dx.doi.org/10.1016/j.jip.2017.08.007</v>
      </c>
    </row>
    <row r="85" spans="1:9" ht="306" x14ac:dyDescent="0.15">
      <c r="A85" s="12"/>
      <c r="B85" s="13" t="s">
        <v>892</v>
      </c>
      <c r="C85" s="14" t="s">
        <v>893</v>
      </c>
      <c r="D85" s="14" t="s">
        <v>894</v>
      </c>
      <c r="E85" s="14" t="s">
        <v>895</v>
      </c>
      <c r="F85" s="14" t="s">
        <v>138</v>
      </c>
      <c r="G85" s="14">
        <v>2015</v>
      </c>
      <c r="H85" s="14" t="s">
        <v>896</v>
      </c>
      <c r="I85" s="14" t="str">
        <f>HYPERLINK("http://dx.doi.org/10.1016/j.margen.2014.09.002","http://dx.doi.org/10.1016/j.margen.2014.09.002")</f>
        <v>http://dx.doi.org/10.1016/j.margen.2014.09.002</v>
      </c>
    </row>
    <row r="86" spans="1:9" ht="252" x14ac:dyDescent="0.15">
      <c r="A86" s="14"/>
      <c r="B86" s="13" t="s">
        <v>462</v>
      </c>
      <c r="C86" s="14" t="s">
        <v>463</v>
      </c>
      <c r="D86" s="14" t="s">
        <v>186</v>
      </c>
      <c r="E86" s="14" t="s">
        <v>464</v>
      </c>
      <c r="F86" s="14" t="s">
        <v>465</v>
      </c>
      <c r="G86" s="14">
        <v>2025</v>
      </c>
      <c r="H86" s="14" t="s">
        <v>466</v>
      </c>
      <c r="I86" s="14" t="str">
        <f>HYPERLINK("http://dx.doi.org/10.1016/j.envpol.2025.127002","http://dx.doi.org/10.1016/j.envpol.2025.127002")</f>
        <v>http://dx.doi.org/10.1016/j.envpol.2025.127002</v>
      </c>
    </row>
    <row r="87" spans="1:9" ht="319" x14ac:dyDescent="0.15">
      <c r="A87" s="14"/>
      <c r="B87" s="13" t="s">
        <v>1450</v>
      </c>
      <c r="C87" s="14" t="s">
        <v>1451</v>
      </c>
      <c r="D87" s="14" t="s">
        <v>1452</v>
      </c>
      <c r="E87" s="14" t="s">
        <v>1453</v>
      </c>
      <c r="F87" s="14" t="s">
        <v>1454</v>
      </c>
      <c r="G87" s="14">
        <v>2023</v>
      </c>
      <c r="H87" s="14" t="s">
        <v>1455</v>
      </c>
      <c r="I87" s="14" t="str">
        <f>HYPERLINK("http://dx.doi.org/10.1038/s42003-023-04516-8","http://dx.doi.org/10.1038/s42003-023-04516-8")</f>
        <v>http://dx.doi.org/10.1038/s42003-023-04516-8</v>
      </c>
    </row>
    <row r="88" spans="1:9" ht="224" x14ac:dyDescent="0.15">
      <c r="A88" s="14"/>
      <c r="B88" s="13" t="s">
        <v>1436</v>
      </c>
      <c r="C88" s="14" t="s">
        <v>1437</v>
      </c>
      <c r="D88" s="14" t="s">
        <v>54</v>
      </c>
      <c r="E88" s="14" t="s">
        <v>1438</v>
      </c>
      <c r="F88" s="14" t="s">
        <v>68</v>
      </c>
      <c r="G88" s="14">
        <v>2017</v>
      </c>
      <c r="H88" s="14" t="s">
        <v>1439</v>
      </c>
      <c r="I88" s="14" t="str">
        <f>HYPERLINK("http://dx.doi.org/10.1111/mec.14130","http://dx.doi.org/10.1111/mec.14130")</f>
        <v>http://dx.doi.org/10.1111/mec.14130</v>
      </c>
    </row>
    <row r="89" spans="1:9" ht="238" x14ac:dyDescent="0.15">
      <c r="A89" s="14"/>
      <c r="B89" s="13" t="s">
        <v>1088</v>
      </c>
      <c r="C89" s="14" t="s">
        <v>1089</v>
      </c>
      <c r="D89" s="14" t="s">
        <v>1090</v>
      </c>
      <c r="E89" s="14" t="s">
        <v>1091</v>
      </c>
      <c r="F89" s="14" t="s">
        <v>62</v>
      </c>
      <c r="G89" s="14">
        <v>2025</v>
      </c>
      <c r="H89" s="14" t="s">
        <v>1092</v>
      </c>
      <c r="I89" s="14" t="str">
        <f>HYPERLINK("http://dx.doi.org/10.1016/j.ijbiomac.2025.142069","http://dx.doi.org/10.1016/j.ijbiomac.2025.142069")</f>
        <v>http://dx.doi.org/10.1016/j.ijbiomac.2025.142069</v>
      </c>
    </row>
    <row r="90" spans="1:9" ht="168" x14ac:dyDescent="0.15">
      <c r="A90" s="14"/>
      <c r="B90" s="13" t="s">
        <v>1774</v>
      </c>
      <c r="C90" s="14" t="s">
        <v>1775</v>
      </c>
      <c r="D90" s="14" t="s">
        <v>918</v>
      </c>
      <c r="E90" s="14" t="s">
        <v>1776</v>
      </c>
      <c r="F90" s="14" t="s">
        <v>21</v>
      </c>
      <c r="G90" s="14">
        <v>2021</v>
      </c>
      <c r="H90" s="14" t="s">
        <v>1777</v>
      </c>
      <c r="I90" s="14" t="str">
        <f>HYPERLINK("http://dx.doi.org/10.1016/j.dci.2021.104217","http://dx.doi.org/10.1016/j.dci.2021.104217")</f>
        <v>http://dx.doi.org/10.1016/j.dci.2021.104217</v>
      </c>
    </row>
    <row r="91" spans="1:9" ht="140" x14ac:dyDescent="0.15">
      <c r="A91" s="14"/>
      <c r="B91" s="13" t="s">
        <v>2778</v>
      </c>
      <c r="C91" s="14" t="s">
        <v>2779</v>
      </c>
      <c r="D91" s="14" t="s">
        <v>2780</v>
      </c>
      <c r="E91" s="14" t="s">
        <v>2781</v>
      </c>
      <c r="F91" s="14" t="s">
        <v>39</v>
      </c>
      <c r="G91" s="14">
        <v>2020</v>
      </c>
      <c r="H91" s="14" t="s">
        <v>2782</v>
      </c>
      <c r="I91" s="14" t="str">
        <f>HYPERLINK("http://dx.doi.org/10.1080/21505594.2020.1787078","http://dx.doi.org/10.1080/21505594.2020.1787078")</f>
        <v>http://dx.doi.org/10.1080/21505594.2020.1787078</v>
      </c>
    </row>
    <row r="92" spans="1:9" ht="293" x14ac:dyDescent="0.15">
      <c r="A92" s="12"/>
      <c r="B92" s="13" t="s">
        <v>361</v>
      </c>
      <c r="C92" s="14" t="s">
        <v>362</v>
      </c>
      <c r="D92" s="14" t="s">
        <v>110</v>
      </c>
      <c r="E92" s="14" t="s">
        <v>363</v>
      </c>
      <c r="F92" s="14" t="s">
        <v>62</v>
      </c>
      <c r="G92" s="14">
        <v>2017</v>
      </c>
      <c r="H92" s="14" t="s">
        <v>364</v>
      </c>
      <c r="I92" s="14" t="str">
        <f>HYPERLINK("http://dx.doi.org/10.1016/j.aquatox.2017.03.006","http://dx.doi.org/10.1016/j.aquatox.2017.03.006")</f>
        <v>http://dx.doi.org/10.1016/j.aquatox.2017.03.006</v>
      </c>
    </row>
    <row r="93" spans="1:9" ht="252" x14ac:dyDescent="0.15">
      <c r="A93" s="14"/>
      <c r="B93" s="13" t="s">
        <v>1391</v>
      </c>
      <c r="C93" s="14" t="s">
        <v>1392</v>
      </c>
      <c r="D93" s="14" t="s">
        <v>54</v>
      </c>
      <c r="E93" s="14" t="s">
        <v>1393</v>
      </c>
      <c r="F93" s="14" t="s">
        <v>138</v>
      </c>
      <c r="G93" s="14">
        <v>2019</v>
      </c>
      <c r="H93" s="14" t="s">
        <v>1394</v>
      </c>
      <c r="I93" s="14" t="str">
        <f>HYPERLINK("http://dx.doi.org/10.1111/mec.14973","http://dx.doi.org/10.1111/mec.14973")</f>
        <v>http://dx.doi.org/10.1111/mec.14973</v>
      </c>
    </row>
    <row r="94" spans="1:9" ht="252" x14ac:dyDescent="0.15">
      <c r="A94" s="14"/>
      <c r="B94" s="13" t="s">
        <v>140</v>
      </c>
      <c r="C94" s="14" t="s">
        <v>141</v>
      </c>
      <c r="D94" s="14" t="s">
        <v>142</v>
      </c>
      <c r="E94" s="14" t="s">
        <v>143</v>
      </c>
      <c r="F94" s="14" t="s">
        <v>122</v>
      </c>
      <c r="G94" s="14">
        <v>2014</v>
      </c>
      <c r="H94" s="19" t="s">
        <v>144</v>
      </c>
      <c r="I94" s="14" t="str">
        <f>HYPERLINK("http://dx.doi.org/10.1016/j.fsi.2014.06.010","http://dx.doi.org/10.1016/j.fsi.2014.06.010")</f>
        <v>http://dx.doi.org/10.1016/j.fsi.2014.06.010</v>
      </c>
    </row>
    <row r="95" spans="1:9" ht="280" x14ac:dyDescent="0.15">
      <c r="A95" s="14"/>
      <c r="B95" s="13" t="s">
        <v>384</v>
      </c>
      <c r="C95" s="14" t="s">
        <v>385</v>
      </c>
      <c r="D95" s="14" t="s">
        <v>37</v>
      </c>
      <c r="E95" s="14" t="s">
        <v>386</v>
      </c>
      <c r="F95" s="14" t="s">
        <v>387</v>
      </c>
      <c r="G95" s="14">
        <v>2025</v>
      </c>
      <c r="H95" s="14" t="s">
        <v>388</v>
      </c>
      <c r="I95" s="14" t="str">
        <f>HYPERLINK("http://dx.doi.org/10.1016/j.ecoenv.2025.119112","http://dx.doi.org/10.1016/j.ecoenv.2025.119112")</f>
        <v>http://dx.doi.org/10.1016/j.ecoenv.2025.119112</v>
      </c>
    </row>
    <row r="96" spans="1:9" ht="306" x14ac:dyDescent="0.15">
      <c r="A96" s="12"/>
      <c r="B96" s="13" t="s">
        <v>237</v>
      </c>
      <c r="C96" s="14" t="s">
        <v>238</v>
      </c>
      <c r="D96" s="14" t="s">
        <v>156</v>
      </c>
      <c r="E96" s="14" t="s">
        <v>239</v>
      </c>
      <c r="F96" s="14" t="s">
        <v>240</v>
      </c>
      <c r="G96" s="14">
        <v>2021</v>
      </c>
      <c r="H96" s="14" t="s">
        <v>241</v>
      </c>
      <c r="I96" s="14" t="str">
        <f>HYPERLINK("http://dx.doi.org/10.1038/s41598-021-98354-5","http://dx.doi.org/10.1038/s41598-021-98354-5")</f>
        <v>http://dx.doi.org/10.1038/s41598-021-98354-5</v>
      </c>
    </row>
    <row r="97" spans="1:9" ht="238" x14ac:dyDescent="0.15">
      <c r="A97" s="19"/>
      <c r="B97" s="13" t="s">
        <v>2138</v>
      </c>
      <c r="C97" s="14" t="s">
        <v>2139</v>
      </c>
      <c r="D97" s="14" t="s">
        <v>260</v>
      </c>
      <c r="E97" s="14" t="s">
        <v>2140</v>
      </c>
      <c r="F97" s="14" t="s">
        <v>262</v>
      </c>
      <c r="G97" s="14">
        <v>2023</v>
      </c>
      <c r="H97" s="19" t="s">
        <v>2141</v>
      </c>
      <c r="I97" s="14" t="str">
        <f>HYPERLINK("http://dx.doi.org/10.1016/j.aquaculture.2022.738812","http://dx.doi.org/10.1016/j.aquaculture.2022.738812")</f>
        <v>http://dx.doi.org/10.1016/j.aquaculture.2022.738812</v>
      </c>
    </row>
    <row r="98" spans="1:9" ht="266" x14ac:dyDescent="0.15">
      <c r="A98" s="12"/>
      <c r="B98" s="13" t="s">
        <v>52</v>
      </c>
      <c r="C98" s="14" t="s">
        <v>53</v>
      </c>
      <c r="D98" s="14" t="s">
        <v>54</v>
      </c>
      <c r="E98" s="14" t="s">
        <v>55</v>
      </c>
      <c r="F98" s="14" t="s">
        <v>56</v>
      </c>
      <c r="G98" s="14">
        <v>2023</v>
      </c>
      <c r="H98" s="14" t="s">
        <v>57</v>
      </c>
      <c r="I98" s="14" t="str">
        <f>HYPERLINK("http://dx.doi.org/10.1111/mec.17072","http://dx.doi.org/10.1111/mec.17072")</f>
        <v>http://dx.doi.org/10.1111/mec.17072</v>
      </c>
    </row>
    <row r="99" spans="1:9" ht="210" x14ac:dyDescent="0.15">
      <c r="A99" s="21"/>
      <c r="B99" s="22" t="s">
        <v>1431</v>
      </c>
      <c r="C99" s="23" t="s">
        <v>1432</v>
      </c>
      <c r="D99" s="24" t="s">
        <v>1433</v>
      </c>
      <c r="E99" s="24" t="s">
        <v>1434</v>
      </c>
      <c r="F99" s="24" t="s">
        <v>33</v>
      </c>
      <c r="G99" s="24">
        <v>2018</v>
      </c>
      <c r="H99" s="24" t="s">
        <v>1435</v>
      </c>
      <c r="I99" s="24" t="str">
        <f>HYPERLINK("http://dx.doi.org/10.1016/j.bbagrm.2018.04.007","http://dx.doi.org/10.1016/j.bbagrm.2018.04.007")</f>
        <v>http://dx.doi.org/10.1016/j.bbagrm.2018.04.007</v>
      </c>
    </row>
    <row r="100" spans="1:9" ht="210" x14ac:dyDescent="0.15">
      <c r="A100" s="12"/>
      <c r="B100" s="13" t="s">
        <v>1070</v>
      </c>
      <c r="C100" s="14" t="s">
        <v>1071</v>
      </c>
      <c r="D100" s="14" t="s">
        <v>300</v>
      </c>
      <c r="E100" s="14" t="s">
        <v>1072</v>
      </c>
      <c r="F100" s="14" t="s">
        <v>1073</v>
      </c>
      <c r="G100" s="14">
        <v>2023</v>
      </c>
      <c r="H100" s="14" t="s">
        <v>1074</v>
      </c>
      <c r="I100" s="14" t="str">
        <f>HYPERLINK("http://dx.doi.org/10.1016/j.scitotenv.2023.165846","http://dx.doi.org/10.1016/j.scitotenv.2023.165846")</f>
        <v>http://dx.doi.org/10.1016/j.scitotenv.2023.165846</v>
      </c>
    </row>
    <row r="101" spans="1:9" ht="266" x14ac:dyDescent="0.15">
      <c r="A101" s="14"/>
      <c r="B101" s="13" t="s">
        <v>1268</v>
      </c>
      <c r="C101" s="14" t="s">
        <v>1269</v>
      </c>
      <c r="D101" s="14" t="s">
        <v>1270</v>
      </c>
      <c r="E101" s="14" t="s">
        <v>1271</v>
      </c>
      <c r="F101" s="14" t="s">
        <v>1272</v>
      </c>
      <c r="G101" s="14">
        <v>2022</v>
      </c>
      <c r="H101" s="14" t="s">
        <v>1273</v>
      </c>
      <c r="I101" s="14" t="str">
        <f>HYPERLINK("http://dx.doi.org/10.3389/fgene.2022.876308","http://dx.doi.org/10.3389/fgene.2022.876308")</f>
        <v>http://dx.doi.org/10.3389/fgene.2022.876308</v>
      </c>
    </row>
    <row r="102" spans="1:9" ht="224" x14ac:dyDescent="0.15">
      <c r="A102" s="14"/>
      <c r="B102" s="13" t="s">
        <v>1055</v>
      </c>
      <c r="C102" s="14" t="s">
        <v>1056</v>
      </c>
      <c r="D102" s="14" t="s">
        <v>78</v>
      </c>
      <c r="E102" s="14" t="s">
        <v>1057</v>
      </c>
      <c r="F102" s="14" t="s">
        <v>1058</v>
      </c>
      <c r="G102" s="14">
        <v>2022</v>
      </c>
      <c r="H102" s="14" t="s">
        <v>1059</v>
      </c>
      <c r="I102" s="14" t="str">
        <f>HYPERLINK("http://dx.doi.org/10.3389/fmars.2022.930156","http://dx.doi.org/10.3389/fmars.2022.930156")</f>
        <v>http://dx.doi.org/10.3389/fmars.2022.930156</v>
      </c>
    </row>
    <row r="103" spans="1:9" ht="182" x14ac:dyDescent="0.15">
      <c r="A103" s="14"/>
      <c r="B103" s="13" t="s">
        <v>1408</v>
      </c>
      <c r="C103" s="14" t="s">
        <v>1409</v>
      </c>
      <c r="D103" s="14" t="s">
        <v>142</v>
      </c>
      <c r="E103" s="14" t="s">
        <v>1410</v>
      </c>
      <c r="F103" s="14" t="s">
        <v>112</v>
      </c>
      <c r="G103" s="14">
        <v>2023</v>
      </c>
      <c r="H103" s="14" t="s">
        <v>1411</v>
      </c>
      <c r="I103" s="14" t="str">
        <f>HYPERLINK("http://dx.doi.org/10.1016/j.fsi.2023.108577","http://dx.doi.org/10.1016/j.fsi.2023.108577")</f>
        <v>http://dx.doi.org/10.1016/j.fsi.2023.108577</v>
      </c>
    </row>
    <row r="104" spans="1:9" ht="306" x14ac:dyDescent="0.15">
      <c r="A104" s="14"/>
      <c r="B104" s="13" t="s">
        <v>875</v>
      </c>
      <c r="C104" s="19" t="s">
        <v>876</v>
      </c>
      <c r="D104" s="14" t="s">
        <v>877</v>
      </c>
      <c r="E104" s="14" t="s">
        <v>878</v>
      </c>
      <c r="F104" s="14" t="s">
        <v>879</v>
      </c>
      <c r="G104" s="14">
        <v>2022</v>
      </c>
      <c r="H104" s="14" t="s">
        <v>880</v>
      </c>
      <c r="I104" s="14" t="str">
        <f>HYPERLINK("http://dx.doi.org/10.1002/ev13.273","http://dx.doi.org/10.1002/ev13.273")</f>
        <v>http://dx.doi.org/10.1002/ev13.273</v>
      </c>
    </row>
    <row r="105" spans="1:9" ht="210" x14ac:dyDescent="0.15">
      <c r="A105" s="12"/>
      <c r="B105" s="13" t="s">
        <v>70</v>
      </c>
      <c r="C105" s="14" t="s">
        <v>71</v>
      </c>
      <c r="D105" s="14" t="s">
        <v>72</v>
      </c>
      <c r="E105" s="14" t="s">
        <v>73</v>
      </c>
      <c r="F105" s="14" t="s">
        <v>74</v>
      </c>
      <c r="G105" s="14">
        <v>2018</v>
      </c>
      <c r="H105" s="14" t="s">
        <v>75</v>
      </c>
      <c r="I105" s="14" t="str">
        <f>HYPERLINK("http://dx.doi.org/10.7717/peerj.5003","http://dx.doi.org/10.7717/peerj.5003")</f>
        <v>http://dx.doi.org/10.7717/peerj.5003</v>
      </c>
    </row>
    <row r="106" spans="1:9" ht="293" x14ac:dyDescent="0.15">
      <c r="A106" s="19"/>
      <c r="B106" s="13" t="s">
        <v>1234</v>
      </c>
      <c r="C106" s="14" t="s">
        <v>1235</v>
      </c>
      <c r="D106" s="14" t="s">
        <v>90</v>
      </c>
      <c r="E106" s="14" t="s">
        <v>1236</v>
      </c>
      <c r="F106" s="14" t="s">
        <v>21</v>
      </c>
      <c r="G106" s="14">
        <v>2024</v>
      </c>
      <c r="H106" s="19" t="s">
        <v>1237</v>
      </c>
      <c r="I106" s="14" t="str">
        <f>HYPERLINK("http://dx.doi.org/10.1016/j.cbd.2024.101311","http://dx.doi.org/10.1016/j.cbd.2024.101311")</f>
        <v>http://dx.doi.org/10.1016/j.cbd.2024.101311</v>
      </c>
    </row>
    <row r="107" spans="1:9" ht="319" x14ac:dyDescent="0.15">
      <c r="A107" s="19"/>
      <c r="B107" s="13" t="s">
        <v>1246</v>
      </c>
      <c r="C107" s="14" t="s">
        <v>1247</v>
      </c>
      <c r="D107" s="14" t="s">
        <v>142</v>
      </c>
      <c r="E107" s="14" t="s">
        <v>1248</v>
      </c>
      <c r="F107" s="14" t="s">
        <v>138</v>
      </c>
      <c r="G107" s="14">
        <v>2024</v>
      </c>
      <c r="H107" s="19" t="s">
        <v>1249</v>
      </c>
      <c r="I107" s="14" t="str">
        <f>HYPERLINK("http://dx.doi.org/10.1016/j.fsi.2023.109354","http://dx.doi.org/10.1016/j.fsi.2023.109354")</f>
        <v>http://dx.doi.org/10.1016/j.fsi.2023.109354</v>
      </c>
    </row>
    <row r="108" spans="1:9" ht="332" x14ac:dyDescent="0.15">
      <c r="A108" s="14"/>
      <c r="B108" s="13" t="s">
        <v>3713</v>
      </c>
      <c r="C108" s="14" t="s">
        <v>3714</v>
      </c>
      <c r="D108" s="14" t="s">
        <v>48</v>
      </c>
      <c r="E108" s="14" t="s">
        <v>3715</v>
      </c>
      <c r="F108" s="14" t="s">
        <v>3716</v>
      </c>
      <c r="G108" s="14">
        <v>2019</v>
      </c>
      <c r="H108" s="14" t="s">
        <v>3717</v>
      </c>
      <c r="I108" s="14" t="str">
        <f>HYPERLINK("http://dx.doi.org/10.1186/s12864-019-5429-3","http://dx.doi.org/10.1186/s12864-019-5429-3")</f>
        <v>http://dx.doi.org/10.1186/s12864-019-5429-3</v>
      </c>
    </row>
    <row r="109" spans="1:9" ht="238" x14ac:dyDescent="0.15">
      <c r="A109" s="24"/>
      <c r="B109" s="22" t="s">
        <v>1675</v>
      </c>
      <c r="C109" s="24" t="s">
        <v>1676</v>
      </c>
      <c r="D109" s="24" t="s">
        <v>37</v>
      </c>
      <c r="E109" s="24" t="s">
        <v>1677</v>
      </c>
      <c r="F109" s="24" t="s">
        <v>39</v>
      </c>
      <c r="G109" s="24">
        <v>2023</v>
      </c>
      <c r="H109" s="24" t="s">
        <v>1678</v>
      </c>
      <c r="I109" s="24" t="str">
        <f>HYPERLINK("http://dx.doi.org/10.1016/j.ecoenv.2022.114419","http://dx.doi.org/10.1016/j.ecoenv.2022.114419")</f>
        <v>http://dx.doi.org/10.1016/j.ecoenv.2022.114419</v>
      </c>
    </row>
    <row r="110" spans="1:9" ht="210" x14ac:dyDescent="0.15">
      <c r="A110" s="14"/>
      <c r="B110" s="13" t="s">
        <v>977</v>
      </c>
      <c r="C110" s="14" t="s">
        <v>978</v>
      </c>
      <c r="D110" s="14" t="s">
        <v>186</v>
      </c>
      <c r="E110" s="14" t="s">
        <v>979</v>
      </c>
      <c r="F110" s="14" t="s">
        <v>39</v>
      </c>
      <c r="G110" s="14">
        <v>2021</v>
      </c>
      <c r="H110" s="14" t="s">
        <v>980</v>
      </c>
      <c r="I110" s="14" t="str">
        <f>HYPERLINK("http://dx.doi.org/10.1016/j.envpol.2020.115509","http://dx.doi.org/10.1016/j.envpol.2020.115509")</f>
        <v>http://dx.doi.org/10.1016/j.envpol.2020.115509</v>
      </c>
    </row>
    <row r="111" spans="1:9" ht="332" x14ac:dyDescent="0.15">
      <c r="A111" s="12"/>
      <c r="B111" s="13" t="s">
        <v>1337</v>
      </c>
      <c r="C111" s="14" t="s">
        <v>1338</v>
      </c>
      <c r="D111" s="14" t="s">
        <v>300</v>
      </c>
      <c r="E111" s="14" t="s">
        <v>1339</v>
      </c>
      <c r="F111" s="14" t="s">
        <v>1340</v>
      </c>
      <c r="G111" s="14">
        <v>2020</v>
      </c>
      <c r="H111" s="14" t="s">
        <v>1341</v>
      </c>
      <c r="I111" s="14" t="str">
        <f>HYPERLINK("http://dx.doi.org/10.1016/j.scitotenv.2019.136045","http://dx.doi.org/10.1016/j.scitotenv.2019.136045")</f>
        <v>http://dx.doi.org/10.1016/j.scitotenv.2019.136045</v>
      </c>
    </row>
    <row r="112" spans="1:9" ht="293" x14ac:dyDescent="0.15">
      <c r="A112" s="12"/>
      <c r="B112" s="13" t="s">
        <v>1328</v>
      </c>
      <c r="C112" s="14" t="s">
        <v>1329</v>
      </c>
      <c r="D112" s="14" t="s">
        <v>37</v>
      </c>
      <c r="E112" s="14" t="s">
        <v>1330</v>
      </c>
      <c r="F112" s="14" t="s">
        <v>1331</v>
      </c>
      <c r="G112" s="14">
        <v>2021</v>
      </c>
      <c r="H112" s="14" t="s">
        <v>1332</v>
      </c>
      <c r="I112" s="14" t="str">
        <f>HYPERLINK("http://dx.doi.org/10.1016/j.ecoenv.2021.112994","http://dx.doi.org/10.1016/j.ecoenv.2021.112994")</f>
        <v>http://dx.doi.org/10.1016/j.ecoenv.2021.112994</v>
      </c>
    </row>
    <row r="113" spans="1:9" ht="293" x14ac:dyDescent="0.15">
      <c r="A113" s="12"/>
      <c r="B113" s="13" t="s">
        <v>1505</v>
      </c>
      <c r="C113" s="14" t="s">
        <v>1506</v>
      </c>
      <c r="D113" s="14" t="s">
        <v>31</v>
      </c>
      <c r="E113" s="14" t="s">
        <v>1507</v>
      </c>
      <c r="F113" s="14" t="s">
        <v>122</v>
      </c>
      <c r="G113" s="14">
        <v>2023</v>
      </c>
      <c r="H113" s="14" t="s">
        <v>1508</v>
      </c>
      <c r="I113" s="14" t="str">
        <f>HYPERLINK("http://dx.doi.org/10.1007/s10126-023-10234-3","http://dx.doi.org/10.1007/s10126-023-10234-3")</f>
        <v>http://dx.doi.org/10.1007/s10126-023-10234-3</v>
      </c>
    </row>
    <row r="114" spans="1:9" ht="224" x14ac:dyDescent="0.15">
      <c r="A114" s="12"/>
      <c r="B114" s="13" t="s">
        <v>719</v>
      </c>
      <c r="C114" s="14" t="s">
        <v>720</v>
      </c>
      <c r="D114" s="14" t="s">
        <v>580</v>
      </c>
      <c r="E114" s="14" t="s">
        <v>721</v>
      </c>
      <c r="F114" s="14" t="s">
        <v>106</v>
      </c>
      <c r="G114" s="14">
        <v>2024</v>
      </c>
      <c r="H114" s="14" t="s">
        <v>722</v>
      </c>
      <c r="I114" s="14" t="str">
        <f>HYPERLINK("http://dx.doi.org/10.1016/j.marpolbul.2024.116265","http://dx.doi.org/10.1016/j.marpolbul.2024.116265")</f>
        <v>http://dx.doi.org/10.1016/j.marpolbul.2024.116265</v>
      </c>
    </row>
    <row r="115" spans="1:9" ht="238" x14ac:dyDescent="0.15">
      <c r="A115" s="12"/>
      <c r="B115" s="13" t="s">
        <v>1065</v>
      </c>
      <c r="C115" s="14" t="s">
        <v>1066</v>
      </c>
      <c r="D115" s="14" t="s">
        <v>344</v>
      </c>
      <c r="E115" s="14" t="s">
        <v>1067</v>
      </c>
      <c r="F115" s="14" t="s">
        <v>1068</v>
      </c>
      <c r="G115" s="14">
        <v>2018</v>
      </c>
      <c r="H115" s="14" t="s">
        <v>1069</v>
      </c>
      <c r="I115" s="14" t="str">
        <f>HYPERLINK("http://dx.doi.org/10.1021/acs.est.8b03225","http://dx.doi.org/10.1021/acs.est.8b03225")</f>
        <v>http://dx.doi.org/10.1021/acs.est.8b03225</v>
      </c>
    </row>
    <row r="116" spans="1:9" ht="224" x14ac:dyDescent="0.15">
      <c r="A116" s="14"/>
      <c r="B116" s="13" t="s">
        <v>394</v>
      </c>
      <c r="C116" s="14" t="s">
        <v>395</v>
      </c>
      <c r="D116" s="14" t="s">
        <v>281</v>
      </c>
      <c r="E116" s="14" t="s">
        <v>396</v>
      </c>
      <c r="F116" s="14" t="s">
        <v>21</v>
      </c>
      <c r="G116" s="14">
        <v>2022</v>
      </c>
      <c r="H116" s="14" t="s">
        <v>397</v>
      </c>
      <c r="I116" s="14" t="str">
        <f>HYPERLINK("http://dx.doi.org/10.1016/j.chemosphere.2022.136231","http://dx.doi.org/10.1016/j.chemosphere.2022.136231")</f>
        <v>http://dx.doi.org/10.1016/j.chemosphere.2022.136231</v>
      </c>
    </row>
    <row r="117" spans="1:9" ht="196" x14ac:dyDescent="0.15">
      <c r="A117" s="14"/>
      <c r="B117" s="13" t="s">
        <v>2014</v>
      </c>
      <c r="C117" s="14" t="s">
        <v>2015</v>
      </c>
      <c r="D117" s="14" t="s">
        <v>31</v>
      </c>
      <c r="E117" s="14" t="s">
        <v>2016</v>
      </c>
      <c r="F117" s="14" t="s">
        <v>33</v>
      </c>
      <c r="G117" s="14">
        <v>2025</v>
      </c>
      <c r="H117" s="14" t="s">
        <v>2017</v>
      </c>
      <c r="I117" s="14" t="str">
        <f>HYPERLINK("http://dx.doi.org/10.1007/s10126-025-10454-9","http://dx.doi.org/10.1007/s10126-025-10454-9")</f>
        <v>http://dx.doi.org/10.1007/s10126-025-10454-9</v>
      </c>
    </row>
    <row r="118" spans="1:9" ht="280" x14ac:dyDescent="0.15">
      <c r="A118" s="14"/>
      <c r="B118" s="13" t="s">
        <v>1982</v>
      </c>
      <c r="C118" s="14" t="s">
        <v>1983</v>
      </c>
      <c r="D118" s="14" t="s">
        <v>498</v>
      </c>
      <c r="E118" s="14" t="s">
        <v>1984</v>
      </c>
      <c r="F118" s="14" t="s">
        <v>1985</v>
      </c>
      <c r="G118" s="14">
        <v>2025</v>
      </c>
      <c r="H118" s="14" t="s">
        <v>1986</v>
      </c>
      <c r="I118" s="14" t="str">
        <f>HYPERLINK("http://dx.doi.org/10.1016/j.aqrep.2025.102801","http://dx.doi.org/10.1016/j.aqrep.2025.102801")</f>
        <v>http://dx.doi.org/10.1016/j.aqrep.2025.102801</v>
      </c>
    </row>
    <row r="119" spans="1:9" ht="293" x14ac:dyDescent="0.15">
      <c r="A119" s="12"/>
      <c r="B119" s="13" t="s">
        <v>58</v>
      </c>
      <c r="C119" s="14" t="s">
        <v>59</v>
      </c>
      <c r="D119" s="14" t="s">
        <v>60</v>
      </c>
      <c r="E119" s="14" t="s">
        <v>61</v>
      </c>
      <c r="F119" s="14" t="s">
        <v>62</v>
      </c>
      <c r="G119" s="14">
        <v>2020</v>
      </c>
      <c r="H119" s="14" t="s">
        <v>63</v>
      </c>
      <c r="I119" s="14" t="str">
        <f>HYPERLINK("http://dx.doi.org/10.1111/eva.12912","http://dx.doi.org/10.1111/eva.12912")</f>
        <v>http://dx.doi.org/10.1111/eva.12912</v>
      </c>
    </row>
    <row r="120" spans="1:9" ht="280" x14ac:dyDescent="0.15">
      <c r="A120" s="12"/>
      <c r="B120" s="13" t="s">
        <v>781</v>
      </c>
      <c r="C120" s="14" t="s">
        <v>782</v>
      </c>
      <c r="D120" s="14" t="s">
        <v>783</v>
      </c>
      <c r="E120" s="14" t="s">
        <v>784</v>
      </c>
      <c r="F120" s="14" t="s">
        <v>33</v>
      </c>
      <c r="G120" s="14">
        <v>2022</v>
      </c>
      <c r="H120" s="14" t="s">
        <v>785</v>
      </c>
      <c r="I120" s="14" t="str">
        <f>HYPERLINK("http://dx.doi.org/10.1111/1365-2656.13645","http://dx.doi.org/10.1111/1365-2656.13645")</f>
        <v>http://dx.doi.org/10.1111/1365-2656.13645</v>
      </c>
    </row>
    <row r="121" spans="1:9" ht="168" x14ac:dyDescent="0.15">
      <c r="A121" s="12"/>
      <c r="B121" s="13" t="s">
        <v>1220</v>
      </c>
      <c r="C121" s="14" t="s">
        <v>1221</v>
      </c>
      <c r="D121" s="14" t="s">
        <v>367</v>
      </c>
      <c r="E121" s="14" t="s">
        <v>1222</v>
      </c>
      <c r="F121" s="14" t="s">
        <v>1223</v>
      </c>
      <c r="G121" s="14">
        <v>2024</v>
      </c>
      <c r="H121" s="14" t="s">
        <v>1224</v>
      </c>
      <c r="I121" s="14" t="str">
        <f>HYPERLINK("http://dx.doi.org/10.1016/j.jhazmat.2023.132593","http://dx.doi.org/10.1016/j.jhazmat.2023.132593")</f>
        <v>http://dx.doi.org/10.1016/j.jhazmat.2023.132593</v>
      </c>
    </row>
    <row r="122" spans="1:9" ht="238" x14ac:dyDescent="0.15">
      <c r="A122" s="12"/>
      <c r="B122" s="13" t="s">
        <v>274</v>
      </c>
      <c r="C122" s="14" t="s">
        <v>275</v>
      </c>
      <c r="D122" s="14" t="s">
        <v>276</v>
      </c>
      <c r="E122" s="14" t="s">
        <v>277</v>
      </c>
      <c r="F122" s="14" t="s">
        <v>56</v>
      </c>
      <c r="G122" s="14">
        <v>2017</v>
      </c>
      <c r="H122" s="14" t="s">
        <v>278</v>
      </c>
      <c r="I122" s="14" t="str">
        <f>HYPERLINK("http://dx.doi.org/10.1007/s00343-016-5185-z","http://dx.doi.org/10.1007/s00343-016-5185-z")</f>
        <v>http://dx.doi.org/10.1007/s00343-016-5185-z</v>
      </c>
    </row>
    <row r="123" spans="1:9" ht="196" x14ac:dyDescent="0.15">
      <c r="A123" s="12"/>
      <c r="B123" s="13" t="s">
        <v>1102</v>
      </c>
      <c r="C123" s="14" t="s">
        <v>1103</v>
      </c>
      <c r="D123" s="14" t="s">
        <v>344</v>
      </c>
      <c r="E123" s="14" t="s">
        <v>1104</v>
      </c>
      <c r="F123" s="14" t="s">
        <v>1105</v>
      </c>
      <c r="G123" s="14">
        <v>2020</v>
      </c>
      <c r="H123" s="14" t="s">
        <v>1106</v>
      </c>
      <c r="I123" s="14" t="str">
        <f>HYPERLINK("http://dx.doi.org/10.1021/acs.est.0c01438","http://dx.doi.org/10.1021/acs.est.0c01438")</f>
        <v>http://dx.doi.org/10.1021/acs.est.0c01438</v>
      </c>
    </row>
    <row r="124" spans="1:9" ht="196" x14ac:dyDescent="0.15">
      <c r="A124" s="14"/>
      <c r="B124" s="13" t="s">
        <v>613</v>
      </c>
      <c r="C124" s="14" t="s">
        <v>614</v>
      </c>
      <c r="D124" s="14" t="s">
        <v>367</v>
      </c>
      <c r="E124" s="14" t="s">
        <v>615</v>
      </c>
      <c r="F124" s="14" t="s">
        <v>335</v>
      </c>
      <c r="G124" s="14">
        <v>2023</v>
      </c>
      <c r="H124" s="14" t="s">
        <v>616</v>
      </c>
      <c r="I124" s="14" t="str">
        <f>HYPERLINK("http://dx.doi.org/10.1016/j.jhazmat.2023.131037","http://dx.doi.org/10.1016/j.jhazmat.2023.131037")</f>
        <v>http://dx.doi.org/10.1016/j.jhazmat.2023.131037</v>
      </c>
    </row>
    <row r="125" spans="1:9" ht="154" x14ac:dyDescent="0.15">
      <c r="A125" s="12"/>
      <c r="B125" s="13" t="s">
        <v>413</v>
      </c>
      <c r="C125" s="14" t="s">
        <v>414</v>
      </c>
      <c r="D125" s="14" t="s">
        <v>415</v>
      </c>
      <c r="E125" s="14" t="s">
        <v>416</v>
      </c>
      <c r="F125" s="14" t="s">
        <v>96</v>
      </c>
      <c r="G125" s="14">
        <v>2022</v>
      </c>
      <c r="H125" s="14" t="s">
        <v>417</v>
      </c>
      <c r="I125" s="14" t="str">
        <f>HYPERLINK("http://dx.doi.org/10.1038/s41558-022-01477-4","http://dx.doi.org/10.1038/s41558-022-01477-4")</f>
        <v>http://dx.doi.org/10.1038/s41558-022-01477-4</v>
      </c>
    </row>
    <row r="126" spans="1:9" ht="280" x14ac:dyDescent="0.15">
      <c r="A126" s="19"/>
      <c r="B126" s="13" t="s">
        <v>88</v>
      </c>
      <c r="C126" s="14" t="s">
        <v>89</v>
      </c>
      <c r="D126" s="14" t="s">
        <v>90</v>
      </c>
      <c r="E126" s="14" t="s">
        <v>91</v>
      </c>
      <c r="F126" s="14" t="s">
        <v>56</v>
      </c>
      <c r="G126" s="14">
        <v>2025</v>
      </c>
      <c r="H126" s="19" t="s">
        <v>92</v>
      </c>
      <c r="I126" s="14" t="str">
        <f>HYPERLINK("http://dx.doi.org/10.1016/j.cbd.2025.101510","http://dx.doi.org/10.1016/j.cbd.2025.101510")</f>
        <v>http://dx.doi.org/10.1016/j.cbd.2025.101510</v>
      </c>
    </row>
    <row r="127" spans="1:9" ht="224" x14ac:dyDescent="0.15">
      <c r="A127" s="14"/>
      <c r="B127" s="13" t="s">
        <v>2312</v>
      </c>
      <c r="C127" s="14" t="s">
        <v>2313</v>
      </c>
      <c r="D127" s="14" t="s">
        <v>918</v>
      </c>
      <c r="E127" s="14" t="s">
        <v>2314</v>
      </c>
      <c r="F127" s="14" t="s">
        <v>21</v>
      </c>
      <c r="G127" s="14">
        <v>2016</v>
      </c>
      <c r="H127" s="14" t="s">
        <v>2315</v>
      </c>
      <c r="I127" s="14" t="str">
        <f>HYPERLINK("http://dx.doi.org/10.1016/j.dci.2016.08.008","http://dx.doi.org/10.1016/j.dci.2016.08.008")</f>
        <v>http://dx.doi.org/10.1016/j.dci.2016.08.008</v>
      </c>
    </row>
    <row r="128" spans="1:9" ht="182" x14ac:dyDescent="0.15">
      <c r="A128" s="14"/>
      <c r="B128" s="13" t="s">
        <v>1898</v>
      </c>
      <c r="C128" s="14" t="s">
        <v>1899</v>
      </c>
      <c r="D128" s="14" t="s">
        <v>1900</v>
      </c>
      <c r="E128" s="14" t="s">
        <v>1901</v>
      </c>
      <c r="F128" s="14" t="s">
        <v>1902</v>
      </c>
      <c r="G128" s="14">
        <v>2025</v>
      </c>
      <c r="H128" s="14" t="s">
        <v>1903</v>
      </c>
      <c r="I128" s="14" t="str">
        <f>HYPERLINK("http://dx.doi.org/10.1186/s12917-024-04467-0","http://dx.doi.org/10.1186/s12917-024-04467-0")</f>
        <v>http://dx.doi.org/10.1186/s12917-024-04467-0</v>
      </c>
    </row>
    <row r="129" spans="1:9" ht="306" x14ac:dyDescent="0.15">
      <c r="A129" s="12"/>
      <c r="B129" s="13" t="s">
        <v>994</v>
      </c>
      <c r="C129" s="14" t="s">
        <v>995</v>
      </c>
      <c r="D129" s="14" t="s">
        <v>90</v>
      </c>
      <c r="E129" s="14" t="s">
        <v>996</v>
      </c>
      <c r="F129" s="14" t="s">
        <v>33</v>
      </c>
      <c r="G129" s="14">
        <v>2021</v>
      </c>
      <c r="H129" s="14" t="s">
        <v>997</v>
      </c>
      <c r="I129" s="14" t="str">
        <f>HYPERLINK("http://dx.doi.org/10.1016/j.cbd.2021.100820","http://dx.doi.org/10.1016/j.cbd.2021.100820")</f>
        <v>http://dx.doi.org/10.1016/j.cbd.2021.100820</v>
      </c>
    </row>
    <row r="130" spans="1:9" ht="168" x14ac:dyDescent="0.15">
      <c r="A130" s="12"/>
      <c r="B130" s="13" t="s">
        <v>1422</v>
      </c>
      <c r="C130" s="14" t="s">
        <v>1423</v>
      </c>
      <c r="D130" s="14" t="s">
        <v>260</v>
      </c>
      <c r="E130" s="14" t="s">
        <v>1424</v>
      </c>
      <c r="F130" s="14" t="s">
        <v>302</v>
      </c>
      <c r="G130" s="14">
        <v>2025</v>
      </c>
      <c r="H130" s="14" t="s">
        <v>1425</v>
      </c>
      <c r="I130" s="14" t="str">
        <f>HYPERLINK("http://dx.doi.org/10.1016/j.aquaculture.2024.742040","http://dx.doi.org/10.1016/j.aquaculture.2024.742040")</f>
        <v>http://dx.doi.org/10.1016/j.aquaculture.2024.742040</v>
      </c>
    </row>
    <row r="131" spans="1:9" ht="238" x14ac:dyDescent="0.15">
      <c r="A131" s="19"/>
      <c r="B131" s="13" t="s">
        <v>1820</v>
      </c>
      <c r="C131" s="14" t="s">
        <v>1821</v>
      </c>
      <c r="D131" s="14" t="s">
        <v>142</v>
      </c>
      <c r="E131" s="14" t="s">
        <v>1822</v>
      </c>
      <c r="F131" s="14" t="s">
        <v>21</v>
      </c>
      <c r="G131" s="14">
        <v>2018</v>
      </c>
      <c r="H131" s="19" t="s">
        <v>1823</v>
      </c>
      <c r="I131" s="14" t="str">
        <f>HYPERLINK("http://dx.doi.org/10.1016/j.fsi.2018.09.011","http://dx.doi.org/10.1016/j.fsi.2018.09.011")</f>
        <v>http://dx.doi.org/10.1016/j.fsi.2018.09.011</v>
      </c>
    </row>
    <row r="132" spans="1:9" ht="266" x14ac:dyDescent="0.15">
      <c r="A132" s="19"/>
      <c r="B132" s="13" t="s">
        <v>1760</v>
      </c>
      <c r="C132" s="14" t="s">
        <v>1761</v>
      </c>
      <c r="D132" s="14" t="s">
        <v>142</v>
      </c>
      <c r="E132" s="19" t="s">
        <v>1762</v>
      </c>
      <c r="F132" s="14" t="s">
        <v>96</v>
      </c>
      <c r="G132" s="14">
        <v>2024</v>
      </c>
      <c r="H132" s="19" t="s">
        <v>1763</v>
      </c>
      <c r="I132" s="14" t="str">
        <f>HYPERLINK("http://dx.doi.org/10.1016/j.fsi.2024.109827","http://dx.doi.org/10.1016/j.fsi.2024.109827")</f>
        <v>http://dx.doi.org/10.1016/j.fsi.2024.109827</v>
      </c>
    </row>
    <row r="133" spans="1:9" ht="182" x14ac:dyDescent="0.15">
      <c r="A133" s="12"/>
      <c r="B133" s="13" t="s">
        <v>41</v>
      </c>
      <c r="C133" s="14" t="s">
        <v>42</v>
      </c>
      <c r="D133" s="14" t="s">
        <v>43</v>
      </c>
      <c r="E133" s="14" t="s">
        <v>44</v>
      </c>
      <c r="F133" s="14" t="s">
        <v>33</v>
      </c>
      <c r="G133" s="14">
        <v>2018</v>
      </c>
      <c r="H133" s="14" t="s">
        <v>45</v>
      </c>
      <c r="I133" s="14" t="str">
        <f>HYPERLINK("http://dx.doi.org/10.1126/sciadv.aar8028","http://dx.doi.org/10.1126/sciadv.aar8028")</f>
        <v>http://dx.doi.org/10.1126/sciadv.aar8028</v>
      </c>
    </row>
    <row r="134" spans="1:9" ht="293" x14ac:dyDescent="0.15">
      <c r="A134" s="14"/>
      <c r="B134" s="13" t="s">
        <v>403</v>
      </c>
      <c r="C134" s="14" t="s">
        <v>404</v>
      </c>
      <c r="D134" s="14" t="s">
        <v>405</v>
      </c>
      <c r="E134" s="14" t="s">
        <v>406</v>
      </c>
      <c r="F134" s="14" t="s">
        <v>221</v>
      </c>
      <c r="G134" s="14">
        <v>2021</v>
      </c>
      <c r="H134" s="14" t="s">
        <v>418</v>
      </c>
      <c r="I134" s="14" t="str">
        <f>HYPERLINK("http://dx.doi.org/10.1016/j.marenvres.2020.105217","http://dx.doi.org/10.1016/j.marenvres.2020.105217")</f>
        <v>http://dx.doi.org/10.1016/j.marenvres.2020.105217</v>
      </c>
    </row>
    <row r="135" spans="1:9" ht="224" x14ac:dyDescent="0.15">
      <c r="A135" s="12"/>
      <c r="B135" s="13" t="s">
        <v>486</v>
      </c>
      <c r="C135" s="14" t="s">
        <v>487</v>
      </c>
      <c r="D135" s="14" t="s">
        <v>260</v>
      </c>
      <c r="E135" s="14" t="s">
        <v>488</v>
      </c>
      <c r="F135" s="14" t="s">
        <v>489</v>
      </c>
      <c r="G135" s="14">
        <v>2025</v>
      </c>
      <c r="H135" s="14" t="s">
        <v>490</v>
      </c>
      <c r="I135" s="14" t="str">
        <f>HYPERLINK("http://dx.doi.org/10.1016/j.aquaculture.2024.741751","http://dx.doi.org/10.1016/j.aquaculture.2024.741751")</f>
        <v>http://dx.doi.org/10.1016/j.aquaculture.2024.741751</v>
      </c>
    </row>
    <row r="136" spans="1:9" ht="306" x14ac:dyDescent="0.15">
      <c r="A136" s="12"/>
      <c r="B136" s="13" t="s">
        <v>129</v>
      </c>
      <c r="C136" s="14" t="s">
        <v>130</v>
      </c>
      <c r="D136" s="14" t="s">
        <v>48</v>
      </c>
      <c r="E136" s="14" t="s">
        <v>131</v>
      </c>
      <c r="F136" s="14" t="s">
        <v>132</v>
      </c>
      <c r="G136" s="14">
        <v>2023</v>
      </c>
      <c r="H136" s="14" t="s">
        <v>133</v>
      </c>
      <c r="I136" s="14" t="str">
        <f>HYPERLINK("http://dx.doi.org/10.1186/s12864-023-09616-7","http://dx.doi.org/10.1186/s12864-023-09616-7")</f>
        <v>http://dx.doi.org/10.1186/s12864-023-09616-7</v>
      </c>
    </row>
    <row r="137" spans="1:9" ht="210" x14ac:dyDescent="0.15">
      <c r="A137" s="14"/>
      <c r="B137" s="13" t="s">
        <v>1697</v>
      </c>
      <c r="C137" s="14" t="s">
        <v>1698</v>
      </c>
      <c r="D137" s="14" t="s">
        <v>1699</v>
      </c>
      <c r="E137" s="14" t="s">
        <v>1700</v>
      </c>
      <c r="F137" s="14" t="s">
        <v>401</v>
      </c>
      <c r="G137" s="14">
        <v>2024</v>
      </c>
      <c r="H137" s="14" t="s">
        <v>1701</v>
      </c>
      <c r="I137" s="14" t="str">
        <f>HYPERLINK("http://dx.doi.org/10.4049/jimmunol.2300761","http://dx.doi.org/10.4049/jimmunol.2300761")</f>
        <v>http://dx.doi.org/10.4049/jimmunol.2300761</v>
      </c>
    </row>
    <row r="138" spans="1:9" ht="252" x14ac:dyDescent="0.15">
      <c r="A138" s="14"/>
      <c r="B138" s="13" t="s">
        <v>1561</v>
      </c>
      <c r="C138" s="14" t="s">
        <v>1562</v>
      </c>
      <c r="D138" s="14" t="s">
        <v>585</v>
      </c>
      <c r="E138" s="14" t="s">
        <v>1563</v>
      </c>
      <c r="F138" s="14" t="s">
        <v>1564</v>
      </c>
      <c r="G138" s="14">
        <v>2021</v>
      </c>
      <c r="H138" s="14" t="s">
        <v>1565</v>
      </c>
      <c r="I138" s="14" t="str">
        <f>HYPERLINK("http://dx.doi.org/10.3389/fimmu.2021.770055","http://dx.doi.org/10.3389/fimmu.2021.770055")</f>
        <v>http://dx.doi.org/10.3389/fimmu.2021.770055</v>
      </c>
    </row>
    <row r="139" spans="1:9" ht="224" x14ac:dyDescent="0.15">
      <c r="A139" s="19"/>
      <c r="B139" s="13" t="s">
        <v>2191</v>
      </c>
      <c r="C139" s="14" t="s">
        <v>2192</v>
      </c>
      <c r="D139" s="14" t="s">
        <v>142</v>
      </c>
      <c r="E139" s="14" t="s">
        <v>2193</v>
      </c>
      <c r="F139" s="14" t="s">
        <v>96</v>
      </c>
      <c r="G139" s="14">
        <v>2024</v>
      </c>
      <c r="H139" s="19" t="s">
        <v>2194</v>
      </c>
      <c r="I139" s="14" t="str">
        <f>HYPERLINK("http://dx.doi.org/10.1016/j.fsi.2024.109848","http://dx.doi.org/10.1016/j.fsi.2024.109848")</f>
        <v>http://dx.doi.org/10.1016/j.fsi.2024.109848</v>
      </c>
    </row>
    <row r="140" spans="1:9" ht="224" x14ac:dyDescent="0.15">
      <c r="A140" s="14"/>
      <c r="B140" s="13" t="s">
        <v>3177</v>
      </c>
      <c r="C140" s="14" t="s">
        <v>3178</v>
      </c>
      <c r="D140" s="14" t="s">
        <v>1090</v>
      </c>
      <c r="E140" s="14" t="s">
        <v>3179</v>
      </c>
      <c r="F140" s="14" t="s">
        <v>559</v>
      </c>
      <c r="G140" s="14">
        <v>2022</v>
      </c>
      <c r="H140" s="14" t="s">
        <v>3180</v>
      </c>
      <c r="I140" s="14" t="str">
        <f>HYPERLINK("http://dx.doi.org/10.1016/j.ijbiomac.2022.01.176","http://dx.doi.org/10.1016/j.ijbiomac.2022.01.176")</f>
        <v>http://dx.doi.org/10.1016/j.ijbiomac.2022.01.176</v>
      </c>
    </row>
    <row r="141" spans="1:9" ht="210" x14ac:dyDescent="0.15">
      <c r="A141" s="14"/>
      <c r="B141" s="13" t="s">
        <v>3754</v>
      </c>
      <c r="C141" s="14" t="s">
        <v>3755</v>
      </c>
      <c r="D141" s="14" t="s">
        <v>156</v>
      </c>
      <c r="E141" s="14" t="s">
        <v>3756</v>
      </c>
      <c r="F141" s="14" t="s">
        <v>1295</v>
      </c>
      <c r="G141" s="14">
        <v>2015</v>
      </c>
      <c r="H141" s="14" t="s">
        <v>3757</v>
      </c>
      <c r="I141" s="14" t="str">
        <f>HYPERLINK("http://dx.doi.org/10.1038/srep12608","http://dx.doi.org/10.1038/srep12608")</f>
        <v>http://dx.doi.org/10.1038/srep12608</v>
      </c>
    </row>
    <row r="142" spans="1:9" ht="293" x14ac:dyDescent="0.15">
      <c r="A142" s="14"/>
      <c r="B142" s="13" t="s">
        <v>1756</v>
      </c>
      <c r="C142" s="14" t="s">
        <v>1757</v>
      </c>
      <c r="D142" s="14" t="s">
        <v>37</v>
      </c>
      <c r="E142" s="14" t="s">
        <v>1758</v>
      </c>
      <c r="F142" s="14" t="s">
        <v>39</v>
      </c>
      <c r="G142" s="14">
        <v>2023</v>
      </c>
      <c r="H142" s="14" t="s">
        <v>1759</v>
      </c>
      <c r="I142" s="14" t="str">
        <f>HYPERLINK("http://dx.doi.org/10.1016/j.ecoenv.2022.114412","http://dx.doi.org/10.1016/j.ecoenv.2022.114412")</f>
        <v>http://dx.doi.org/10.1016/j.ecoenv.2022.114412</v>
      </c>
    </row>
    <row r="143" spans="1:9" ht="224" x14ac:dyDescent="0.15">
      <c r="A143" s="14"/>
      <c r="B143" s="13" t="s">
        <v>1556</v>
      </c>
      <c r="C143" s="14" t="s">
        <v>1557</v>
      </c>
      <c r="D143" s="14" t="s">
        <v>344</v>
      </c>
      <c r="E143" s="14" t="s">
        <v>1558</v>
      </c>
      <c r="F143" s="14" t="s">
        <v>1559</v>
      </c>
      <c r="G143" s="14">
        <v>2024</v>
      </c>
      <c r="H143" s="14" t="s">
        <v>1560</v>
      </c>
      <c r="I143" s="14" t="str">
        <f>HYPERLINK("http://dx.doi.org/10.1021/acs.est.4c04190","http://dx.doi.org/10.1021/acs.est.4c04190")</f>
        <v>http://dx.doi.org/10.1021/acs.est.4c04190</v>
      </c>
    </row>
    <row r="144" spans="1:9" ht="238" x14ac:dyDescent="0.15">
      <c r="A144" s="12"/>
      <c r="B144" s="13" t="s">
        <v>331</v>
      </c>
      <c r="C144" s="14" t="s">
        <v>332</v>
      </c>
      <c r="D144" s="14" t="s">
        <v>333</v>
      </c>
      <c r="E144" s="14" t="s">
        <v>334</v>
      </c>
      <c r="F144" s="14" t="s">
        <v>335</v>
      </c>
      <c r="G144" s="14">
        <v>2014</v>
      </c>
      <c r="H144" s="14" t="s">
        <v>336</v>
      </c>
      <c r="I144" s="14" t="str">
        <f>HYPERLINK("http://dx.doi.org/10.3389/fphys.2014.00173","http://dx.doi.org/10.3389/fphys.2014.00173")</f>
        <v>http://dx.doi.org/10.3389/fphys.2014.00173</v>
      </c>
    </row>
    <row r="145" spans="1:9" ht="293" x14ac:dyDescent="0.15">
      <c r="A145" s="14"/>
      <c r="B145" s="13" t="s">
        <v>1764</v>
      </c>
      <c r="C145" s="14" t="s">
        <v>1765</v>
      </c>
      <c r="D145" s="14" t="s">
        <v>585</v>
      </c>
      <c r="E145" s="14" t="s">
        <v>1766</v>
      </c>
      <c r="F145" s="14" t="s">
        <v>1767</v>
      </c>
      <c r="G145" s="14">
        <v>2020</v>
      </c>
      <c r="H145" s="14" t="s">
        <v>1768</v>
      </c>
      <c r="I145" s="14" t="str">
        <f>HYPERLINK("http://dx.doi.org/10.3389/fimmu.2020.606102","http://dx.doi.org/10.3389/fimmu.2020.606102")</f>
        <v>http://dx.doi.org/10.3389/fimmu.2020.606102</v>
      </c>
    </row>
    <row r="146" spans="1:9" ht="238" x14ac:dyDescent="0.15">
      <c r="A146" s="14"/>
      <c r="B146" s="13" t="s">
        <v>223</v>
      </c>
      <c r="C146" s="14" t="s">
        <v>224</v>
      </c>
      <c r="D146" s="14" t="s">
        <v>225</v>
      </c>
      <c r="E146" s="14" t="s">
        <v>226</v>
      </c>
      <c r="F146" s="14" t="s">
        <v>62</v>
      </c>
      <c r="G146" s="14">
        <v>2016</v>
      </c>
      <c r="H146" s="14" t="s">
        <v>227</v>
      </c>
      <c r="I146" s="14" t="str">
        <f>HYPERLINK("http://dx.doi.org/10.1093/mollus/eyv069","http://dx.doi.org/10.1093/mollus/eyv069")</f>
        <v>http://dx.doi.org/10.1093/mollus/eyv069</v>
      </c>
    </row>
    <row r="147" spans="1:9" ht="252" x14ac:dyDescent="0.15">
      <c r="A147" s="12"/>
      <c r="B147" s="13" t="s">
        <v>1288</v>
      </c>
      <c r="C147" s="14" t="s">
        <v>1289</v>
      </c>
      <c r="D147" s="14" t="s">
        <v>110</v>
      </c>
      <c r="E147" s="14" t="s">
        <v>1290</v>
      </c>
      <c r="F147" s="14" t="s">
        <v>122</v>
      </c>
      <c r="G147" s="14">
        <v>2023</v>
      </c>
      <c r="H147" s="14" t="s">
        <v>1291</v>
      </c>
      <c r="I147" s="14" t="str">
        <f>HYPERLINK("http://dx.doi.org/10.1016/j.aquatox.2023.106619","http://dx.doi.org/10.1016/j.aquatox.2023.106619")</f>
        <v>http://dx.doi.org/10.1016/j.aquatox.2023.106619</v>
      </c>
    </row>
    <row r="148" spans="1:9" ht="266" x14ac:dyDescent="0.15">
      <c r="A148" s="14"/>
      <c r="B148" s="13" t="s">
        <v>3449</v>
      </c>
      <c r="C148" s="14" t="s">
        <v>3450</v>
      </c>
      <c r="D148" s="14" t="s">
        <v>350</v>
      </c>
      <c r="E148" s="14" t="s">
        <v>3451</v>
      </c>
      <c r="F148" s="14" t="s">
        <v>122</v>
      </c>
      <c r="G148" s="14">
        <v>2020</v>
      </c>
      <c r="H148" s="14" t="s">
        <v>3452</v>
      </c>
      <c r="I148" s="14" t="str">
        <f>HYPERLINK("http://dx.doi.org/10.3390/genes11080857","http://dx.doi.org/10.3390/genes11080857")</f>
        <v>http://dx.doi.org/10.3390/genes11080857</v>
      </c>
    </row>
    <row r="149" spans="1:9" ht="224" x14ac:dyDescent="0.15">
      <c r="A149" s="14"/>
      <c r="B149" s="13" t="s">
        <v>1131</v>
      </c>
      <c r="C149" s="14" t="s">
        <v>1132</v>
      </c>
      <c r="D149" s="14" t="s">
        <v>1133</v>
      </c>
      <c r="E149" s="14" t="s">
        <v>1134</v>
      </c>
      <c r="F149" s="14" t="s">
        <v>1135</v>
      </c>
      <c r="G149" s="14">
        <v>2013</v>
      </c>
      <c r="H149" s="14" t="s">
        <v>1136</v>
      </c>
      <c r="I149" s="14" t="str">
        <f>HYPERLINK("http://dx.doi.org/10.1016/j.brainres.2013.09.009","http://dx.doi.org/10.1016/j.brainres.2013.09.009")</f>
        <v>http://dx.doi.org/10.1016/j.brainres.2013.09.009</v>
      </c>
    </row>
    <row r="150" spans="1:9" ht="252" x14ac:dyDescent="0.15">
      <c r="A150" s="14"/>
      <c r="B150" s="13" t="s">
        <v>1650</v>
      </c>
      <c r="C150" s="14" t="s">
        <v>1651</v>
      </c>
      <c r="D150" s="14" t="s">
        <v>260</v>
      </c>
      <c r="E150" s="14" t="s">
        <v>1652</v>
      </c>
      <c r="F150" s="14" t="s">
        <v>1653</v>
      </c>
      <c r="G150" s="14">
        <v>2022</v>
      </c>
      <c r="H150" s="19" t="s">
        <v>1654</v>
      </c>
      <c r="I150" s="14" t="str">
        <f>HYPERLINK("http://dx.doi.org/10.1016/j.aquaculture.2022.738286","http://dx.doi.org/10.1016/j.aquaculture.2022.738286")</f>
        <v>http://dx.doi.org/10.1016/j.aquaculture.2022.738286</v>
      </c>
    </row>
    <row r="151" spans="1:9" ht="319" x14ac:dyDescent="0.15">
      <c r="A151" s="14"/>
      <c r="B151" s="13" t="s">
        <v>1914</v>
      </c>
      <c r="C151" s="14" t="s">
        <v>1915</v>
      </c>
      <c r="D151" s="14" t="s">
        <v>142</v>
      </c>
      <c r="E151" s="14" t="s">
        <v>1916</v>
      </c>
      <c r="F151" s="14" t="s">
        <v>138</v>
      </c>
      <c r="G151" s="14">
        <v>2012</v>
      </c>
      <c r="H151" s="19" t="s">
        <v>1917</v>
      </c>
      <c r="I151" s="14" t="str">
        <f>HYPERLINK("http://dx.doi.org/10.1016/j.fsi.2011.11.027","http://dx.doi.org/10.1016/j.fsi.2011.11.027")</f>
        <v>http://dx.doi.org/10.1016/j.fsi.2011.11.027</v>
      </c>
    </row>
    <row r="152" spans="1:9" ht="210" x14ac:dyDescent="0.15">
      <c r="A152" s="12"/>
      <c r="B152" s="15" t="s">
        <v>1186</v>
      </c>
      <c r="C152" s="14" t="s">
        <v>1187</v>
      </c>
      <c r="D152" s="14" t="s">
        <v>1188</v>
      </c>
      <c r="E152" s="14" t="s">
        <v>1189</v>
      </c>
      <c r="F152" s="14" t="s">
        <v>96</v>
      </c>
      <c r="G152" s="14">
        <v>2021</v>
      </c>
      <c r="H152" s="14" t="s">
        <v>1190</v>
      </c>
      <c r="I152" s="14" t="str">
        <f>HYPERLINK("http://dx.doi.org/10.1111/are.15307","http://dx.doi.org/10.1111/are.15307")</f>
        <v>http://dx.doi.org/10.1111/are.15307</v>
      </c>
    </row>
    <row r="153" spans="1:9" ht="210" x14ac:dyDescent="0.15">
      <c r="A153" s="19"/>
      <c r="B153" s="13" t="s">
        <v>365</v>
      </c>
      <c r="C153" s="14" t="s">
        <v>366</v>
      </c>
      <c r="D153" s="14" t="s">
        <v>367</v>
      </c>
      <c r="E153" s="14" t="s">
        <v>368</v>
      </c>
      <c r="F153" s="14" t="s">
        <v>262</v>
      </c>
      <c r="G153" s="14">
        <v>2024</v>
      </c>
      <c r="H153" s="14" t="s">
        <v>369</v>
      </c>
      <c r="I153" s="14" t="str">
        <f>HYPERLINK("http://dx.doi.org/10.1016/j.jhazmat.2023.132691","http://dx.doi.org/10.1016/j.jhazmat.2023.132691")</f>
        <v>http://dx.doi.org/10.1016/j.jhazmat.2023.132691</v>
      </c>
    </row>
    <row r="154" spans="1:9" ht="293" x14ac:dyDescent="0.15">
      <c r="A154" s="12"/>
      <c r="B154" s="13" t="s">
        <v>842</v>
      </c>
      <c r="C154" s="14" t="s">
        <v>843</v>
      </c>
      <c r="D154" s="14" t="s">
        <v>300</v>
      </c>
      <c r="E154" s="14" t="s">
        <v>844</v>
      </c>
      <c r="F154" s="14" t="s">
        <v>736</v>
      </c>
      <c r="G154" s="14">
        <v>2024</v>
      </c>
      <c r="H154" s="14" t="s">
        <v>845</v>
      </c>
      <c r="I154" s="14" t="str">
        <f>HYPERLINK("http://dx.doi.org/10.1016/j.scitotenv.2024.175431","http://dx.doi.org/10.1016/j.scitotenv.2024.175431")</f>
        <v>http://dx.doi.org/10.1016/j.scitotenv.2024.175431</v>
      </c>
    </row>
    <row r="155" spans="1:9" ht="224" x14ac:dyDescent="0.15">
      <c r="A155" s="12"/>
      <c r="B155" s="13" t="s">
        <v>93</v>
      </c>
      <c r="C155" s="14" t="s">
        <v>94</v>
      </c>
      <c r="D155" s="14" t="s">
        <v>60</v>
      </c>
      <c r="E155" s="14" t="s">
        <v>95</v>
      </c>
      <c r="F155" s="14" t="s">
        <v>96</v>
      </c>
      <c r="G155" s="14">
        <v>2016</v>
      </c>
      <c r="H155" s="14" t="s">
        <v>97</v>
      </c>
      <c r="I155" s="14" t="str">
        <f>HYPERLINK("http://dx.doi.org/10.1111/eva.12408","http://dx.doi.org/10.1111/eva.12408")</f>
        <v>http://dx.doi.org/10.1111/eva.12408</v>
      </c>
    </row>
    <row r="156" spans="1:9" ht="252" x14ac:dyDescent="0.15">
      <c r="A156" s="12"/>
      <c r="B156" s="13" t="s">
        <v>232</v>
      </c>
      <c r="C156" s="14" t="s">
        <v>233</v>
      </c>
      <c r="D156" s="14" t="s">
        <v>234</v>
      </c>
      <c r="E156" s="14" t="s">
        <v>235</v>
      </c>
      <c r="F156" s="14" t="s">
        <v>221</v>
      </c>
      <c r="G156" s="14">
        <v>2024</v>
      </c>
      <c r="H156" s="14" t="s">
        <v>236</v>
      </c>
      <c r="I156" s="14" t="str">
        <f>HYPERLINK("http://dx.doi.org/10.1016/j.cbpb.2023.110899","http://dx.doi.org/10.1016/j.cbpb.2023.110899")</f>
        <v>http://dx.doi.org/10.1016/j.cbpb.2023.110899</v>
      </c>
    </row>
    <row r="157" spans="1:9" ht="293" x14ac:dyDescent="0.15">
      <c r="A157" s="25"/>
      <c r="B157" s="22" t="s">
        <v>269</v>
      </c>
      <c r="C157" s="24" t="s">
        <v>270</v>
      </c>
      <c r="D157" s="24" t="s">
        <v>271</v>
      </c>
      <c r="E157" s="24" t="s">
        <v>272</v>
      </c>
      <c r="F157" s="24" t="s">
        <v>122</v>
      </c>
      <c r="G157" s="24">
        <v>2021</v>
      </c>
      <c r="H157" s="24" t="s">
        <v>273</v>
      </c>
      <c r="I157" s="24" t="str">
        <f>HYPERLINK("http://dx.doi.org/10.1111/gcb.15675","http://dx.doi.org/10.1111/gcb.15675")</f>
        <v>http://dx.doi.org/10.1111/gcb.15675</v>
      </c>
    </row>
    <row r="158" spans="1:9" ht="280" x14ac:dyDescent="0.15">
      <c r="A158" s="12"/>
      <c r="B158" s="13" t="s">
        <v>375</v>
      </c>
      <c r="C158" s="14" t="s">
        <v>376</v>
      </c>
      <c r="D158" s="14" t="s">
        <v>151</v>
      </c>
      <c r="E158" s="14" t="s">
        <v>377</v>
      </c>
      <c r="F158" s="14" t="s">
        <v>21</v>
      </c>
      <c r="G158" s="14">
        <v>2018</v>
      </c>
      <c r="H158" s="14" t="s">
        <v>378</v>
      </c>
      <c r="I158" s="14" t="str">
        <f>HYPERLINK("http://dx.doi.org/10.1002/ece3.4678","http://dx.doi.org/10.1002/ece3.4678")</f>
        <v>http://dx.doi.org/10.1002/ece3.4678</v>
      </c>
    </row>
    <row r="159" spans="1:9" ht="210" x14ac:dyDescent="0.15">
      <c r="A159" s="12"/>
      <c r="B159" s="13" t="s">
        <v>1032</v>
      </c>
      <c r="C159" s="14" t="s">
        <v>1033</v>
      </c>
      <c r="D159" s="14" t="s">
        <v>852</v>
      </c>
      <c r="E159" s="14" t="s">
        <v>1034</v>
      </c>
      <c r="F159" s="14" t="s">
        <v>138</v>
      </c>
      <c r="G159" s="14">
        <v>2024</v>
      </c>
      <c r="H159" s="14" t="s">
        <v>1035</v>
      </c>
      <c r="I159" s="14" t="str">
        <f>HYPERLINK("http://dx.doi.org/10.1007/s00338-023-02446-9","http://dx.doi.org/10.1007/s00338-023-02446-9")</f>
        <v>http://dx.doi.org/10.1007/s00338-023-02446-9</v>
      </c>
    </row>
    <row r="160" spans="1:9" ht="238" x14ac:dyDescent="0.15">
      <c r="A160" s="12"/>
      <c r="B160" s="13" t="s">
        <v>76</v>
      </c>
      <c r="C160" s="14" t="s">
        <v>77</v>
      </c>
      <c r="D160" s="14" t="s">
        <v>78</v>
      </c>
      <c r="E160" s="14" t="s">
        <v>79</v>
      </c>
      <c r="F160" s="14" t="s">
        <v>80</v>
      </c>
      <c r="G160" s="14">
        <v>2020</v>
      </c>
      <c r="H160" s="14" t="s">
        <v>81</v>
      </c>
      <c r="I160" s="14" t="str">
        <f>HYPERLINK("http://dx.doi.org/10.3389/fmars.2020.560424","http://dx.doi.org/10.3389/fmars.2020.560424")</f>
        <v>http://dx.doi.org/10.3389/fmars.2020.560424</v>
      </c>
    </row>
    <row r="161" spans="1:9" ht="252" x14ac:dyDescent="0.15">
      <c r="A161" s="14"/>
      <c r="B161" s="13" t="s">
        <v>1995</v>
      </c>
      <c r="C161" s="14" t="s">
        <v>1996</v>
      </c>
      <c r="D161" s="14" t="s">
        <v>48</v>
      </c>
      <c r="E161" s="14" t="s">
        <v>1997</v>
      </c>
      <c r="F161" s="14" t="s">
        <v>323</v>
      </c>
      <c r="G161" s="14">
        <v>2020</v>
      </c>
      <c r="H161" s="14" t="s">
        <v>1998</v>
      </c>
      <c r="I161" s="14" t="str">
        <f>HYPERLINK("http://dx.doi.org/10.1186/s12864-020-07026-7","http://dx.doi.org/10.1186/s12864-020-07026-7")</f>
        <v>http://dx.doi.org/10.1186/s12864-020-07026-7</v>
      </c>
    </row>
    <row r="162" spans="1:9" ht="182" x14ac:dyDescent="0.15">
      <c r="A162" s="14"/>
      <c r="B162" s="13" t="s">
        <v>1207</v>
      </c>
      <c r="C162" s="14" t="s">
        <v>1208</v>
      </c>
      <c r="D162" s="14" t="s">
        <v>498</v>
      </c>
      <c r="E162" s="14" t="s">
        <v>1209</v>
      </c>
      <c r="F162" s="14" t="s">
        <v>122</v>
      </c>
      <c r="G162" s="14">
        <v>2024</v>
      </c>
      <c r="H162" s="14" t="s">
        <v>1210</v>
      </c>
      <c r="I162" s="14" t="str">
        <f>HYPERLINK("http://dx.doi.org/10.1016/j.aqrep.2024.102272","http://dx.doi.org/10.1016/j.aqrep.2024.102272")</f>
        <v>http://dx.doi.org/10.1016/j.aqrep.2024.102272</v>
      </c>
    </row>
    <row r="163" spans="1:9" ht="371" x14ac:dyDescent="0.15">
      <c r="A163" s="19"/>
      <c r="B163" s="13" t="s">
        <v>916</v>
      </c>
      <c r="C163" s="14" t="s">
        <v>917</v>
      </c>
      <c r="D163" s="14" t="s">
        <v>918</v>
      </c>
      <c r="E163" s="14" t="s">
        <v>919</v>
      </c>
      <c r="F163" s="14" t="s">
        <v>122</v>
      </c>
      <c r="G163" s="14">
        <v>2022</v>
      </c>
      <c r="H163" s="19" t="s">
        <v>920</v>
      </c>
      <c r="I163" s="14" t="str">
        <f>HYPERLINK("http://dx.doi.org/10.1016/j.dci.2022.104434","http://dx.doi.org/10.1016/j.dci.2022.104434")</f>
        <v>http://dx.doi.org/10.1016/j.dci.2022.104434</v>
      </c>
    </row>
    <row r="164" spans="1:9" ht="345" x14ac:dyDescent="0.15">
      <c r="A164" s="14"/>
      <c r="B164" s="13" t="s">
        <v>2023</v>
      </c>
      <c r="C164" s="14" t="s">
        <v>2024</v>
      </c>
      <c r="D164" s="14" t="s">
        <v>142</v>
      </c>
      <c r="E164" s="14" t="s">
        <v>2025</v>
      </c>
      <c r="F164" s="14" t="s">
        <v>96</v>
      </c>
      <c r="G164" s="14">
        <v>2019</v>
      </c>
      <c r="H164" s="19" t="s">
        <v>2026</v>
      </c>
      <c r="I164" s="14" t="str">
        <f>HYPERLINK("http://dx.doi.org/10.1016/j.fsi.2019.07.057","http://dx.doi.org/10.1016/j.fsi.2019.07.057")</f>
        <v>http://dx.doi.org/10.1016/j.fsi.2019.07.057</v>
      </c>
    </row>
    <row r="165" spans="1:9" ht="224" x14ac:dyDescent="0.15">
      <c r="A165" s="19"/>
      <c r="B165" s="13" t="s">
        <v>1324</v>
      </c>
      <c r="C165" s="14" t="s">
        <v>1325</v>
      </c>
      <c r="D165" s="14" t="s">
        <v>142</v>
      </c>
      <c r="E165" s="14" t="s">
        <v>1326</v>
      </c>
      <c r="F165" s="14" t="s">
        <v>138</v>
      </c>
      <c r="G165" s="14">
        <v>2025</v>
      </c>
      <c r="H165" s="19" t="s">
        <v>1327</v>
      </c>
      <c r="I165" s="14" t="str">
        <f>HYPERLINK("http://dx.doi.org/10.1016/j.fsi.2024.110094","http://dx.doi.org/10.1016/j.fsi.2024.110094")</f>
        <v>http://dx.doi.org/10.1016/j.fsi.2024.110094</v>
      </c>
    </row>
    <row r="166" spans="1:9" ht="224" x14ac:dyDescent="0.15">
      <c r="A166" s="12"/>
      <c r="B166" s="13" t="s">
        <v>810</v>
      </c>
      <c r="C166" s="14" t="s">
        <v>811</v>
      </c>
      <c r="D166" s="14" t="s">
        <v>78</v>
      </c>
      <c r="E166" s="14" t="s">
        <v>812</v>
      </c>
      <c r="F166" s="14" t="s">
        <v>813</v>
      </c>
      <c r="G166" s="14">
        <v>2023</v>
      </c>
      <c r="H166" s="14" t="s">
        <v>814</v>
      </c>
      <c r="I166" s="14" t="str">
        <f>HYPERLINK("http://dx.doi.org/10.3389/fmars.2022.1067900","http://dx.doi.org/10.3389/fmars.2022.1067900")</f>
        <v>http://dx.doi.org/10.3389/fmars.2022.1067900</v>
      </c>
    </row>
    <row r="167" spans="1:9" ht="238" x14ac:dyDescent="0.15">
      <c r="A167" s="19"/>
      <c r="B167" s="13" t="s">
        <v>519</v>
      </c>
      <c r="C167" s="14" t="s">
        <v>520</v>
      </c>
      <c r="D167" s="14" t="s">
        <v>521</v>
      </c>
      <c r="E167" s="14" t="s">
        <v>522</v>
      </c>
      <c r="F167" s="14" t="s">
        <v>112</v>
      </c>
      <c r="G167" s="14">
        <v>2023</v>
      </c>
      <c r="H167" s="14" t="s">
        <v>523</v>
      </c>
      <c r="I167" s="14" t="str">
        <f>HYPERLINK("http://dx.doi.org/10.3390/toxics11030276","http://dx.doi.org/10.3390/toxics11030276")</f>
        <v>http://dx.doi.org/10.3390/toxics11030276</v>
      </c>
    </row>
    <row r="168" spans="1:9" ht="280" x14ac:dyDescent="0.15">
      <c r="A168" s="12"/>
      <c r="B168" s="13" t="s">
        <v>264</v>
      </c>
      <c r="C168" s="14" t="s">
        <v>265</v>
      </c>
      <c r="D168" s="14" t="s">
        <v>78</v>
      </c>
      <c r="E168" s="14" t="s">
        <v>266</v>
      </c>
      <c r="F168" s="14" t="s">
        <v>267</v>
      </c>
      <c r="G168" s="14">
        <v>2020</v>
      </c>
      <c r="H168" s="14" t="s">
        <v>268</v>
      </c>
      <c r="I168" s="14" t="str">
        <f>HYPERLINK("http://dx.doi.org/10.3389/fmars.2020.00205","http://dx.doi.org/10.3389/fmars.2020.00205")</f>
        <v>http://dx.doi.org/10.3389/fmars.2020.00205</v>
      </c>
    </row>
    <row r="169" spans="1:9" ht="252" x14ac:dyDescent="0.15">
      <c r="A169" s="12"/>
      <c r="B169" s="13" t="s">
        <v>118</v>
      </c>
      <c r="C169" s="14" t="s">
        <v>119</v>
      </c>
      <c r="D169" s="14" t="s">
        <v>120</v>
      </c>
      <c r="E169" s="14" t="s">
        <v>121</v>
      </c>
      <c r="F169" s="14" t="s">
        <v>122</v>
      </c>
      <c r="G169" s="14">
        <v>2019</v>
      </c>
      <c r="H169" s="14" t="s">
        <v>123</v>
      </c>
      <c r="I169" s="14" t="str">
        <f>HYPERLINK("http://dx.doi.org/10.1016/j.jembe.2019.03.002","http://dx.doi.org/10.1016/j.jembe.2019.03.002")</f>
        <v>http://dx.doi.org/10.1016/j.jembe.2019.03.002</v>
      </c>
    </row>
    <row r="170" spans="1:9" ht="210" x14ac:dyDescent="0.15">
      <c r="A170" s="12"/>
      <c r="B170" s="13" t="s">
        <v>309</v>
      </c>
      <c r="C170" s="14" t="s">
        <v>310</v>
      </c>
      <c r="D170" s="14" t="s">
        <v>311</v>
      </c>
      <c r="E170" s="14" t="s">
        <v>312</v>
      </c>
      <c r="F170" s="14" t="s">
        <v>106</v>
      </c>
      <c r="G170" s="14">
        <v>2019</v>
      </c>
      <c r="H170" s="14" t="s">
        <v>313</v>
      </c>
      <c r="I170" s="14" t="str">
        <f>HYPERLINK("http://dx.doi.org/10.2983/035.038.0108","http://dx.doi.org/10.2983/035.038.0108")</f>
        <v>http://dx.doi.org/10.2983/035.038.0108</v>
      </c>
    </row>
    <row r="171" spans="1:9" ht="266" x14ac:dyDescent="0.15">
      <c r="A171" s="12"/>
      <c r="B171" s="13" t="s">
        <v>1577</v>
      </c>
      <c r="C171" s="14" t="s">
        <v>1578</v>
      </c>
      <c r="D171" s="14" t="s">
        <v>90</v>
      </c>
      <c r="E171" s="14" t="s">
        <v>1579</v>
      </c>
      <c r="F171" s="14" t="s">
        <v>112</v>
      </c>
      <c r="G171" s="14">
        <v>2016</v>
      </c>
      <c r="H171" s="14" t="s">
        <v>1580</v>
      </c>
      <c r="I171" s="14" t="str">
        <f>HYPERLINK("http://dx.doi.org/10.1016/j.cbd.2016.01.003","http://dx.doi.org/10.1016/j.cbd.2016.01.003")</f>
        <v>http://dx.doi.org/10.1016/j.cbd.2016.01.003</v>
      </c>
    </row>
    <row r="172" spans="1:9" ht="252" x14ac:dyDescent="0.15">
      <c r="A172" s="14"/>
      <c r="B172" s="13" t="s">
        <v>2289</v>
      </c>
      <c r="C172" s="14" t="s">
        <v>2290</v>
      </c>
      <c r="D172" s="14" t="s">
        <v>142</v>
      </c>
      <c r="E172" s="14" t="s">
        <v>2291</v>
      </c>
      <c r="F172" s="14" t="s">
        <v>96</v>
      </c>
      <c r="G172" s="14">
        <v>2018</v>
      </c>
      <c r="H172" s="19" t="s">
        <v>2292</v>
      </c>
      <c r="I172" s="14" t="str">
        <f>HYPERLINK("http://dx.doi.org/10.1016/j.fsi.2018.07.032","http://dx.doi.org/10.1016/j.fsi.2018.07.032")</f>
        <v>http://dx.doi.org/10.1016/j.fsi.2018.07.032</v>
      </c>
    </row>
    <row r="173" spans="1:9" ht="358" x14ac:dyDescent="0.15">
      <c r="A173" s="12"/>
      <c r="B173" s="13" t="s">
        <v>108</v>
      </c>
      <c r="C173" s="14" t="s">
        <v>109</v>
      </c>
      <c r="D173" s="14" t="s">
        <v>110</v>
      </c>
      <c r="E173" s="14" t="s">
        <v>111</v>
      </c>
      <c r="F173" s="14" t="s">
        <v>112</v>
      </c>
      <c r="G173" s="14">
        <v>2018</v>
      </c>
      <c r="H173" s="14" t="s">
        <v>113</v>
      </c>
      <c r="I173" s="14" t="str">
        <f>HYPERLINK("http://dx.doi.org/10.1016/j.aquatox.2018.01.001","http://dx.doi.org/10.1016/j.aquatox.2018.01.001")</f>
        <v>http://dx.doi.org/10.1016/j.aquatox.2018.01.001</v>
      </c>
    </row>
    <row r="174" spans="1:9" ht="210" x14ac:dyDescent="0.15">
      <c r="A174" s="12"/>
      <c r="B174" s="13" t="s">
        <v>184</v>
      </c>
      <c r="C174" s="14" t="s">
        <v>185</v>
      </c>
      <c r="D174" s="14" t="s">
        <v>186</v>
      </c>
      <c r="E174" s="14" t="s">
        <v>187</v>
      </c>
      <c r="F174" s="14" t="s">
        <v>188</v>
      </c>
      <c r="G174" s="14">
        <v>2023</v>
      </c>
      <c r="H174" s="14" t="s">
        <v>189</v>
      </c>
      <c r="I174" s="14" t="str">
        <f>HYPERLINK("http://dx.doi.org/10.1016/j.envpol.2023.121667","http://dx.doi.org/10.1016/j.envpol.2023.121667")</f>
        <v>http://dx.doi.org/10.1016/j.envpol.2023.121667</v>
      </c>
    </row>
    <row r="175" spans="1:9" ht="210" x14ac:dyDescent="0.15">
      <c r="A175" s="14"/>
      <c r="B175" s="13" t="s">
        <v>481</v>
      </c>
      <c r="C175" s="14" t="s">
        <v>482</v>
      </c>
      <c r="D175" s="14" t="s">
        <v>156</v>
      </c>
      <c r="E175" s="14" t="s">
        <v>483</v>
      </c>
      <c r="F175" s="14" t="s">
        <v>484</v>
      </c>
      <c r="G175" s="14">
        <v>2017</v>
      </c>
      <c r="H175" s="14" t="s">
        <v>485</v>
      </c>
      <c r="I175" s="14" t="str">
        <f>HYPERLINK("http://dx.doi.org/10.1038/s41598-017-14673-6","http://dx.doi.org/10.1038/s41598-017-14673-6")</f>
        <v>http://dx.doi.org/10.1038/s41598-017-14673-6</v>
      </c>
    </row>
    <row r="176" spans="1:9" ht="306" x14ac:dyDescent="0.15">
      <c r="A176" s="14"/>
      <c r="B176" s="13" t="s">
        <v>1003</v>
      </c>
      <c r="C176" s="14" t="s">
        <v>1004</v>
      </c>
      <c r="D176" s="14" t="s">
        <v>234</v>
      </c>
      <c r="E176" s="14" t="s">
        <v>1005</v>
      </c>
      <c r="F176" s="14" t="s">
        <v>106</v>
      </c>
      <c r="G176" s="14">
        <v>2020</v>
      </c>
      <c r="H176" s="19" t="s">
        <v>1006</v>
      </c>
      <c r="I176" s="14" t="str">
        <f>HYPERLINK("http://dx.doi.org/10.1016/j.cbpb.2019.110406","http://dx.doi.org/10.1016/j.cbpb.2019.110406")</f>
        <v>http://dx.doi.org/10.1016/j.cbpb.2019.110406</v>
      </c>
    </row>
    <row r="177" spans="1:9" ht="319" x14ac:dyDescent="0.15">
      <c r="A177" s="14"/>
      <c r="B177" s="13" t="s">
        <v>589</v>
      </c>
      <c r="C177" s="14" t="s">
        <v>590</v>
      </c>
      <c r="D177" s="14" t="s">
        <v>110</v>
      </c>
      <c r="E177" s="14" t="s">
        <v>591</v>
      </c>
      <c r="F177" s="14" t="s">
        <v>62</v>
      </c>
      <c r="G177" s="14">
        <v>2016</v>
      </c>
      <c r="H177" s="14" t="s">
        <v>592</v>
      </c>
      <c r="I177" s="14" t="str">
        <f>HYPERLINK("http://dx.doi.org/10.1016/j.aquatox.2016.02.023","http://dx.doi.org/10.1016/j.aquatox.2016.02.023")</f>
        <v>http://dx.doi.org/10.1016/j.aquatox.2016.02.023</v>
      </c>
    </row>
    <row r="178" spans="1:9" ht="266" x14ac:dyDescent="0.15">
      <c r="A178" s="12"/>
      <c r="B178" s="13" t="s">
        <v>200</v>
      </c>
      <c r="C178" s="14" t="s">
        <v>201</v>
      </c>
      <c r="D178" s="14" t="s">
        <v>78</v>
      </c>
      <c r="E178" s="14" t="s">
        <v>202</v>
      </c>
      <c r="F178" s="14" t="s">
        <v>203</v>
      </c>
      <c r="G178" s="14">
        <v>2020</v>
      </c>
      <c r="H178" s="14" t="s">
        <v>204</v>
      </c>
      <c r="I178" s="14" t="str">
        <f>HYPERLINK("http://dx.doi.org/10.3389/fmars.2020.00225","http://dx.doi.org/10.3389/fmars.2020.00225")</f>
        <v>http://dx.doi.org/10.3389/fmars.2020.00225</v>
      </c>
    </row>
    <row r="179" spans="1:9" ht="266" x14ac:dyDescent="0.15">
      <c r="A179" s="12"/>
      <c r="B179" s="13" t="s">
        <v>325</v>
      </c>
      <c r="C179" s="14" t="s">
        <v>326</v>
      </c>
      <c r="D179" s="14" t="s">
        <v>327</v>
      </c>
      <c r="E179" s="14" t="s">
        <v>328</v>
      </c>
      <c r="F179" s="14" t="s">
        <v>329</v>
      </c>
      <c r="G179" s="14">
        <v>2024</v>
      </c>
      <c r="H179" s="14" t="s">
        <v>330</v>
      </c>
      <c r="I179" s="14" t="str">
        <f>HYPERLINK("http://dx.doi.org/10.1093/eep/dvae018","http://dx.doi.org/10.1093/eep/dvae018")</f>
        <v>http://dx.doi.org/10.1093/eep/dvae018</v>
      </c>
    </row>
    <row r="180" spans="1:9" ht="306" x14ac:dyDescent="0.15">
      <c r="A180" s="12"/>
      <c r="B180" s="13" t="s">
        <v>379</v>
      </c>
      <c r="C180" s="14" t="s">
        <v>380</v>
      </c>
      <c r="D180" s="14" t="s">
        <v>48</v>
      </c>
      <c r="E180" s="14" t="s">
        <v>381</v>
      </c>
      <c r="F180" s="14" t="s">
        <v>382</v>
      </c>
      <c r="G180" s="14">
        <v>2022</v>
      </c>
      <c r="H180" s="14" t="s">
        <v>383</v>
      </c>
      <c r="I180" s="14" t="str">
        <f>HYPERLINK("http://dx.doi.org/10.1186/s12864-022-08781-5","http://dx.doi.org/10.1186/s12864-022-08781-5")</f>
        <v>http://dx.doi.org/10.1186/s12864-022-08781-5</v>
      </c>
    </row>
    <row r="181" spans="1:9" ht="319" x14ac:dyDescent="0.15">
      <c r="A181" s="12"/>
      <c r="B181" s="13" t="s">
        <v>2057</v>
      </c>
      <c r="C181" s="14" t="s">
        <v>2058</v>
      </c>
      <c r="D181" s="14" t="s">
        <v>260</v>
      </c>
      <c r="E181" s="14" t="s">
        <v>2059</v>
      </c>
      <c r="F181" s="14" t="s">
        <v>1154</v>
      </c>
      <c r="G181" s="14">
        <v>2024</v>
      </c>
      <c r="H181" s="14" t="s">
        <v>2060</v>
      </c>
      <c r="I181" s="14" t="str">
        <f>HYPERLINK("http://dx.doi.org/10.1016/j.aquaculture.2023.740177","http://dx.doi.org/10.1016/j.aquaculture.2023.740177")</f>
        <v>http://dx.doi.org/10.1016/j.aquaculture.2023.740177</v>
      </c>
    </row>
    <row r="182" spans="1:9" ht="252" x14ac:dyDescent="0.15">
      <c r="A182" s="19"/>
      <c r="B182" s="13" t="s">
        <v>1926</v>
      </c>
      <c r="C182" s="14" t="s">
        <v>1927</v>
      </c>
      <c r="D182" s="14" t="s">
        <v>260</v>
      </c>
      <c r="E182" s="14" t="s">
        <v>1928</v>
      </c>
      <c r="F182" s="14" t="s">
        <v>262</v>
      </c>
      <c r="G182" s="14">
        <v>2026</v>
      </c>
      <c r="H182" s="19" t="s">
        <v>1929</v>
      </c>
      <c r="I182" s="14" t="str">
        <f>HYPERLINK("http://dx.doi.org/10.1016/j.aquaculture.2025.743181","http://dx.doi.org/10.1016/j.aquaculture.2025.743181")</f>
        <v>http://dx.doi.org/10.1016/j.aquaculture.2025.743181</v>
      </c>
    </row>
    <row r="183" spans="1:9" ht="210" x14ac:dyDescent="0.15">
      <c r="A183" s="19"/>
      <c r="B183" s="13" t="s">
        <v>1717</v>
      </c>
      <c r="C183" s="19" t="s">
        <v>1718</v>
      </c>
      <c r="D183" s="14" t="s">
        <v>142</v>
      </c>
      <c r="E183" s="14" t="s">
        <v>1719</v>
      </c>
      <c r="F183" s="14" t="s">
        <v>96</v>
      </c>
      <c r="G183" s="14">
        <v>2023</v>
      </c>
      <c r="H183" s="19" t="s">
        <v>1720</v>
      </c>
      <c r="I183" s="14" t="str">
        <f>HYPERLINK("http://dx.doi.org/10.1016/j.fsi.2023.109052","http://dx.doi.org/10.1016/j.fsi.2023.109052")</f>
        <v>http://dx.doi.org/10.1016/j.fsi.2023.109052</v>
      </c>
    </row>
    <row r="184" spans="1:9" ht="252" x14ac:dyDescent="0.15">
      <c r="A184" s="19"/>
      <c r="B184" s="13" t="s">
        <v>1732</v>
      </c>
      <c r="C184" s="14" t="s">
        <v>1733</v>
      </c>
      <c r="D184" s="14" t="s">
        <v>90</v>
      </c>
      <c r="E184" s="14" t="s">
        <v>1734</v>
      </c>
      <c r="F184" s="14" t="s">
        <v>56</v>
      </c>
      <c r="G184" s="14">
        <v>2025</v>
      </c>
      <c r="H184" s="19" t="s">
        <v>1735</v>
      </c>
      <c r="I184" s="14" t="str">
        <f>HYPERLINK("http://dx.doi.org/10.1016/j.cbd.2025.101468","http://dx.doi.org/10.1016/j.cbd.2025.101468")</f>
        <v>http://dx.doi.org/10.1016/j.cbd.2025.101468</v>
      </c>
    </row>
    <row r="185" spans="1:9" ht="319" x14ac:dyDescent="0.15">
      <c r="A185" s="14"/>
      <c r="B185" s="13" t="s">
        <v>1848</v>
      </c>
      <c r="C185" s="14" t="s">
        <v>1849</v>
      </c>
      <c r="D185" s="14" t="s">
        <v>1850</v>
      </c>
      <c r="E185" s="14" t="s">
        <v>1851</v>
      </c>
      <c r="F185" s="14" t="s">
        <v>1852</v>
      </c>
      <c r="G185" s="14">
        <v>2025</v>
      </c>
      <c r="H185" s="14" t="s">
        <v>1853</v>
      </c>
      <c r="I185" s="14" t="str">
        <f>HYPERLINK("http://dx.doi.org/10.3390/ani15202955","http://dx.doi.org/10.3390/ani15202955")</f>
        <v>http://dx.doi.org/10.3390/ani15202955</v>
      </c>
    </row>
    <row r="186" spans="1:9" ht="384" x14ac:dyDescent="0.15">
      <c r="A186" s="12"/>
      <c r="B186" s="13" t="s">
        <v>506</v>
      </c>
      <c r="C186" s="14" t="s">
        <v>507</v>
      </c>
      <c r="D186" s="14" t="s">
        <v>48</v>
      </c>
      <c r="E186" s="14" t="s">
        <v>508</v>
      </c>
      <c r="F186" s="14" t="s">
        <v>251</v>
      </c>
      <c r="G186" s="14">
        <v>2025</v>
      </c>
      <c r="H186" s="14" t="s">
        <v>509</v>
      </c>
      <c r="I186" s="14" t="str">
        <f>HYPERLINK("http://dx.doi.org/10.1186/s12864-025-11532-x","http://dx.doi.org/10.1186/s12864-025-11532-x")</f>
        <v>http://dx.doi.org/10.1186/s12864-025-11532-x</v>
      </c>
    </row>
    <row r="187" spans="1:9" ht="126" x14ac:dyDescent="0.15">
      <c r="A187" s="12"/>
      <c r="B187" s="13" t="s">
        <v>3225</v>
      </c>
      <c r="C187" s="14" t="s">
        <v>3226</v>
      </c>
      <c r="D187" s="14" t="s">
        <v>300</v>
      </c>
      <c r="E187" s="14" t="s">
        <v>3227</v>
      </c>
      <c r="F187" s="14" t="s">
        <v>2617</v>
      </c>
      <c r="G187" s="14">
        <v>2024</v>
      </c>
      <c r="H187" s="14" t="s">
        <v>3228</v>
      </c>
      <c r="I187" s="14" t="str">
        <f>HYPERLINK("http://dx.doi.org/10.1016/j.scitotenv.2023.169340","http://dx.doi.org/10.1016/j.scitotenv.2023.169340")</f>
        <v>http://dx.doi.org/10.1016/j.scitotenv.2023.169340</v>
      </c>
    </row>
    <row r="188" spans="1:9" ht="224" x14ac:dyDescent="0.15">
      <c r="A188" s="14"/>
      <c r="B188" s="13" t="s">
        <v>968</v>
      </c>
      <c r="C188" s="14" t="s">
        <v>969</v>
      </c>
      <c r="D188" s="14" t="s">
        <v>78</v>
      </c>
      <c r="E188" s="14" t="s">
        <v>970</v>
      </c>
      <c r="F188" s="14" t="s">
        <v>971</v>
      </c>
      <c r="G188" s="14">
        <v>2021</v>
      </c>
      <c r="H188" s="14" t="s">
        <v>972</v>
      </c>
      <c r="I188" s="14" t="str">
        <f>HYPERLINK("http://dx.doi.org/10.3389/fmars.2021.725628","http://dx.doi.org/10.3389/fmars.2021.725628")</f>
        <v>http://dx.doi.org/10.3389/fmars.2021.725628</v>
      </c>
    </row>
    <row r="189" spans="1:9" ht="319" x14ac:dyDescent="0.15">
      <c r="A189" s="12"/>
      <c r="B189" s="13" t="s">
        <v>29</v>
      </c>
      <c r="C189" s="14" t="s">
        <v>458</v>
      </c>
      <c r="D189" s="14" t="s">
        <v>300</v>
      </c>
      <c r="E189" s="14" t="s">
        <v>459</v>
      </c>
      <c r="F189" s="14" t="s">
        <v>460</v>
      </c>
      <c r="G189" s="14">
        <v>2023</v>
      </c>
      <c r="H189" s="14" t="s">
        <v>461</v>
      </c>
      <c r="I189" s="14" t="str">
        <f>HYPERLINK("http://dx.doi.org/10.1016/j.scitotenv.2023.162112","http://dx.doi.org/10.1016/j.scitotenv.2023.162112")</f>
        <v>http://dx.doi.org/10.1016/j.scitotenv.2023.162112</v>
      </c>
    </row>
    <row r="190" spans="1:9" ht="252" x14ac:dyDescent="0.15">
      <c r="A190" s="14"/>
      <c r="B190" s="13" t="s">
        <v>29</v>
      </c>
      <c r="C190" s="14" t="s">
        <v>30</v>
      </c>
      <c r="D190" s="14" t="s">
        <v>31</v>
      </c>
      <c r="E190" s="14" t="s">
        <v>32</v>
      </c>
      <c r="F190" s="14" t="s">
        <v>33</v>
      </c>
      <c r="G190" s="14">
        <v>2023</v>
      </c>
      <c r="H190" s="14" t="s">
        <v>34</v>
      </c>
      <c r="I190" s="14" t="str">
        <f>HYPERLINK("http://dx.doi.org/10.1007/s10126-023-10208-5","http://dx.doi.org/10.1007/s10126-023-10208-5")</f>
        <v>http://dx.doi.org/10.1007/s10126-023-10208-5</v>
      </c>
    </row>
    <row r="191" spans="1:9" ht="280" x14ac:dyDescent="0.15">
      <c r="A191" s="12"/>
      <c r="B191" s="13" t="s">
        <v>434</v>
      </c>
      <c r="C191" s="14" t="s">
        <v>435</v>
      </c>
      <c r="D191" s="14" t="s">
        <v>436</v>
      </c>
      <c r="E191" s="14" t="s">
        <v>437</v>
      </c>
      <c r="F191" s="14" t="s">
        <v>221</v>
      </c>
      <c r="G191" s="14">
        <v>2021</v>
      </c>
      <c r="H191" s="14" t="s">
        <v>438</v>
      </c>
      <c r="I191" s="14" t="str">
        <f>HYPERLINK("http://dx.doi.org/10.1038/s41437-020-0351-7","http://dx.doi.org/10.1038/s41437-020-0351-7")</f>
        <v>http://dx.doi.org/10.1038/s41437-020-0351-7</v>
      </c>
    </row>
    <row r="192" spans="1:9" ht="238" x14ac:dyDescent="0.15">
      <c r="A192" s="12"/>
      <c r="B192" s="13" t="s">
        <v>98</v>
      </c>
      <c r="C192" s="14" t="s">
        <v>99</v>
      </c>
      <c r="D192" s="14" t="s">
        <v>100</v>
      </c>
      <c r="E192" s="14" t="s">
        <v>101</v>
      </c>
      <c r="F192" s="14" t="s">
        <v>33</v>
      </c>
      <c r="G192" s="14">
        <v>2021</v>
      </c>
      <c r="H192" s="14" t="s">
        <v>102</v>
      </c>
      <c r="I192" s="14" t="str">
        <f>HYPERLINK("http://dx.doi.org/10.1016/j.envres.2021.111058","http://dx.doi.org/10.1016/j.envres.2021.111058")</f>
        <v>http://dx.doi.org/10.1016/j.envres.2021.111058</v>
      </c>
    </row>
    <row r="193" spans="1:9" ht="238" x14ac:dyDescent="0.15">
      <c r="A193" s="12"/>
      <c r="B193" s="13" t="s">
        <v>1199</v>
      </c>
      <c r="C193" s="14" t="s">
        <v>1200</v>
      </c>
      <c r="D193" s="14" t="s">
        <v>260</v>
      </c>
      <c r="E193" s="14" t="s">
        <v>1201</v>
      </c>
      <c r="F193" s="14" t="s">
        <v>1058</v>
      </c>
      <c r="G193" s="14">
        <v>2025</v>
      </c>
      <c r="H193" s="14" t="s">
        <v>1202</v>
      </c>
      <c r="I193" s="14" t="str">
        <f>HYPERLINK("http://dx.doi.org/10.1016/j.aquaculture.2025.742487","http://dx.doi.org/10.1016/j.aquaculture.2025.742487")</f>
        <v>http://dx.doi.org/10.1016/j.aquaculture.2025.742487</v>
      </c>
    </row>
    <row r="194" spans="1:9" ht="266" x14ac:dyDescent="0.15">
      <c r="A194" s="12"/>
      <c r="B194" s="13" t="s">
        <v>337</v>
      </c>
      <c r="C194" s="14" t="s">
        <v>338</v>
      </c>
      <c r="D194" s="14" t="s">
        <v>339</v>
      </c>
      <c r="E194" s="14" t="s">
        <v>340</v>
      </c>
      <c r="F194" s="14" t="s">
        <v>112</v>
      </c>
      <c r="G194" s="14">
        <v>2018</v>
      </c>
      <c r="H194" s="14" t="s">
        <v>341</v>
      </c>
      <c r="I194" s="14" t="str">
        <f>HYPERLINK("http://dx.doi.org/10.1007/s00227-018-3310-6","http://dx.doi.org/10.1007/s00227-018-3310-6")</f>
        <v>http://dx.doi.org/10.1007/s00227-018-3310-6</v>
      </c>
    </row>
    <row r="195" spans="1:9" ht="168" x14ac:dyDescent="0.15">
      <c r="A195" s="14"/>
      <c r="B195" s="13" t="s">
        <v>444</v>
      </c>
      <c r="C195" s="19" t="s">
        <v>445</v>
      </c>
      <c r="D195" s="14" t="s">
        <v>446</v>
      </c>
      <c r="E195" s="14" t="s">
        <v>447</v>
      </c>
      <c r="F195" s="14" t="s">
        <v>11</v>
      </c>
      <c r="G195" s="14">
        <v>2015</v>
      </c>
      <c r="H195" s="14" t="s">
        <v>11</v>
      </c>
      <c r="I195" s="14" t="s">
        <v>11</v>
      </c>
    </row>
    <row r="196" spans="1:9" ht="154" x14ac:dyDescent="0.15">
      <c r="A196" s="14"/>
      <c r="B196" s="13" t="s">
        <v>1007</v>
      </c>
      <c r="C196" s="14" t="s">
        <v>1008</v>
      </c>
      <c r="D196" s="14" t="s">
        <v>951</v>
      </c>
      <c r="E196" s="14" t="s">
        <v>1009</v>
      </c>
      <c r="F196" s="14" t="s">
        <v>68</v>
      </c>
      <c r="G196" s="14">
        <v>2021</v>
      </c>
      <c r="H196" s="14" t="s">
        <v>1010</v>
      </c>
      <c r="I196" s="14" t="str">
        <f>HYPERLINK("http://dx.doi.org/10.3390/ijms22147454","http://dx.doi.org/10.3390/ijms22147454")</f>
        <v>http://dx.doi.org/10.3390/ijms22147454</v>
      </c>
    </row>
    <row r="197" spans="1:9" ht="409.6" x14ac:dyDescent="0.15">
      <c r="A197" s="14"/>
      <c r="B197" s="13" t="s">
        <v>985</v>
      </c>
      <c r="C197" s="14" t="s">
        <v>986</v>
      </c>
      <c r="D197" s="14" t="s">
        <v>792</v>
      </c>
      <c r="E197" s="14" t="s">
        <v>987</v>
      </c>
      <c r="F197" s="14" t="s">
        <v>209</v>
      </c>
      <c r="G197" s="14">
        <v>2019</v>
      </c>
      <c r="H197" s="14" t="s">
        <v>988</v>
      </c>
      <c r="I197" s="14" t="str">
        <f>HYPERLINK("http://dx.doi.org/10.1371/journal.pgen.1008397","http://dx.doi.org/10.1371/journal.pgen.1008397")</f>
        <v>http://dx.doi.org/10.1371/journal.pgen.1008397</v>
      </c>
    </row>
    <row r="198" spans="1:9" ht="266" x14ac:dyDescent="0.15">
      <c r="A198" s="19"/>
      <c r="B198" s="13" t="s">
        <v>1488</v>
      </c>
      <c r="C198" s="14" t="s">
        <v>1489</v>
      </c>
      <c r="D198" s="14" t="s">
        <v>142</v>
      </c>
      <c r="E198" s="14" t="s">
        <v>1490</v>
      </c>
      <c r="F198" s="14" t="s">
        <v>68</v>
      </c>
      <c r="G198" s="14">
        <v>2023</v>
      </c>
      <c r="H198" s="19" t="s">
        <v>1491</v>
      </c>
      <c r="I198" s="14" t="str">
        <f>HYPERLINK("http://dx.doi.org/10.1016/j.fsi.2023.108868","http://dx.doi.org/10.1016/j.fsi.2023.108868")</f>
        <v>http://dx.doi.org/10.1016/j.fsi.2023.108868</v>
      </c>
    </row>
    <row r="199" spans="1:9" ht="238" x14ac:dyDescent="0.15">
      <c r="A199" s="12"/>
      <c r="B199" s="13" t="s">
        <v>1122</v>
      </c>
      <c r="C199" s="14" t="s">
        <v>1123</v>
      </c>
      <c r="D199" s="14" t="s">
        <v>300</v>
      </c>
      <c r="E199" s="14" t="s">
        <v>1124</v>
      </c>
      <c r="F199" s="14" t="s">
        <v>423</v>
      </c>
      <c r="G199" s="14">
        <v>2022</v>
      </c>
      <c r="H199" s="14" t="s">
        <v>1125</v>
      </c>
      <c r="I199" s="14" t="str">
        <f>HYPERLINK("http://dx.doi.org/10.1016/j.scitotenv.2022.153168","http://dx.doi.org/10.1016/j.scitotenv.2022.153168")</f>
        <v>http://dx.doi.org/10.1016/j.scitotenv.2022.153168</v>
      </c>
    </row>
    <row r="200" spans="1:9" ht="319" x14ac:dyDescent="0.15">
      <c r="A200" s="14"/>
      <c r="B200" s="13" t="s">
        <v>938</v>
      </c>
      <c r="C200" s="14" t="s">
        <v>939</v>
      </c>
      <c r="D200" s="14" t="s">
        <v>940</v>
      </c>
      <c r="E200" s="14" t="s">
        <v>941</v>
      </c>
      <c r="F200" s="14" t="s">
        <v>942</v>
      </c>
      <c r="G200" s="14">
        <v>2019</v>
      </c>
      <c r="H200" s="14" t="s">
        <v>943</v>
      </c>
      <c r="I200" s="14" t="str">
        <f>HYPERLINK("http://dx.doi.org/10.1186/s41065-019-0110-z","http://dx.doi.org/10.1186/s41065-019-0110-z")</f>
        <v>http://dx.doi.org/10.1186/s41065-019-0110-z</v>
      </c>
    </row>
    <row r="201" spans="1:9" ht="224" x14ac:dyDescent="0.15">
      <c r="A201" s="14"/>
      <c r="B201" s="13" t="s">
        <v>1229</v>
      </c>
      <c r="C201" s="14" t="s">
        <v>1230</v>
      </c>
      <c r="D201" s="14" t="s">
        <v>1231</v>
      </c>
      <c r="E201" s="14" t="s">
        <v>1232</v>
      </c>
      <c r="F201" s="14" t="s">
        <v>513</v>
      </c>
      <c r="G201" s="14">
        <v>2024</v>
      </c>
      <c r="H201" s="14" t="s">
        <v>1233</v>
      </c>
      <c r="I201" s="14" t="str">
        <f>HYPERLINK("http://dx.doi.org/10.1016/j.gene.2024.148555","http://dx.doi.org/10.1016/j.gene.2024.148555")</f>
        <v>http://dx.doi.org/10.1016/j.gene.2024.148555</v>
      </c>
    </row>
    <row r="202" spans="1:9" ht="293" x14ac:dyDescent="0.15">
      <c r="A202" s="14"/>
      <c r="B202" s="13" t="s">
        <v>1607</v>
      </c>
      <c r="C202" s="14" t="s">
        <v>1608</v>
      </c>
      <c r="D202" s="14" t="s">
        <v>1609</v>
      </c>
      <c r="E202" s="14" t="s">
        <v>1610</v>
      </c>
      <c r="F202" s="14" t="s">
        <v>106</v>
      </c>
      <c r="G202" s="14">
        <v>2021</v>
      </c>
      <c r="H202" s="14" t="s">
        <v>1611</v>
      </c>
      <c r="I202" s="14" t="str">
        <f>HYPERLINK("http://dx.doi.org/10.1016/j.molimm.2021.01.006","http://dx.doi.org/10.1016/j.molimm.2021.01.006")</f>
        <v>http://dx.doi.org/10.1016/j.molimm.2021.01.006</v>
      </c>
    </row>
    <row r="203" spans="1:9" ht="224" x14ac:dyDescent="0.15">
      <c r="A203" s="14"/>
      <c r="B203" s="13" t="s">
        <v>1279</v>
      </c>
      <c r="C203" s="19" t="s">
        <v>1280</v>
      </c>
      <c r="D203" s="14" t="s">
        <v>367</v>
      </c>
      <c r="E203" s="14" t="s">
        <v>1281</v>
      </c>
      <c r="F203" s="14" t="s">
        <v>606</v>
      </c>
      <c r="G203" s="14">
        <v>2023</v>
      </c>
      <c r="H203" s="14" t="s">
        <v>1282</v>
      </c>
      <c r="I203" s="14" t="str">
        <f>HYPERLINK("http://dx.doi.org/10.1016/j.jhazmat.2023.131594","http://dx.doi.org/10.1016/j.jhazmat.2023.131594")</f>
        <v>http://dx.doi.org/10.1016/j.jhazmat.2023.131594</v>
      </c>
    </row>
    <row r="204" spans="1:9" ht="319" x14ac:dyDescent="0.15">
      <c r="A204" s="12"/>
      <c r="B204" s="13" t="s">
        <v>348</v>
      </c>
      <c r="C204" s="14" t="s">
        <v>349</v>
      </c>
      <c r="D204" s="14" t="s">
        <v>350</v>
      </c>
      <c r="E204" s="14" t="s">
        <v>351</v>
      </c>
      <c r="F204" s="14" t="s">
        <v>56</v>
      </c>
      <c r="G204" s="14">
        <v>2020</v>
      </c>
      <c r="H204" s="14" t="s">
        <v>352</v>
      </c>
      <c r="I204" s="14" t="str">
        <f>HYPERLINK("http://dx.doi.org/10.3390/genes11091020","http://dx.doi.org/10.3390/genes11091020")</f>
        <v>http://dx.doi.org/10.3390/genes11091020</v>
      </c>
    </row>
    <row r="205" spans="1:9" ht="238" x14ac:dyDescent="0.15">
      <c r="A205" s="12"/>
      <c r="B205" s="13" t="s">
        <v>2229</v>
      </c>
      <c r="C205" s="14" t="s">
        <v>2230</v>
      </c>
      <c r="D205" s="14" t="s">
        <v>2231</v>
      </c>
      <c r="E205" s="14" t="s">
        <v>2232</v>
      </c>
      <c r="F205" s="14" t="s">
        <v>262</v>
      </c>
      <c r="G205" s="14">
        <v>2024</v>
      </c>
      <c r="H205" s="14" t="s">
        <v>2233</v>
      </c>
      <c r="I205" s="14" t="str">
        <f>HYPERLINK("http://dx.doi.org/10.1016/j.heliyon.2023.e23695","http://dx.doi.org/10.1016/j.heliyon.2023.e23695")</f>
        <v>http://dx.doi.org/10.1016/j.heliyon.2023.e23695</v>
      </c>
    </row>
    <row r="206" spans="1:9" ht="210" x14ac:dyDescent="0.15">
      <c r="A206" s="14"/>
      <c r="B206" s="13" t="s">
        <v>1203</v>
      </c>
      <c r="C206" s="14" t="s">
        <v>1204</v>
      </c>
      <c r="D206" s="14" t="s">
        <v>580</v>
      </c>
      <c r="E206" s="14" t="s">
        <v>1205</v>
      </c>
      <c r="F206" s="14" t="s">
        <v>112</v>
      </c>
      <c r="G206" s="14">
        <v>2025</v>
      </c>
      <c r="H206" s="14" t="s">
        <v>1206</v>
      </c>
      <c r="I206" s="14" t="str">
        <f>HYPERLINK("http://dx.doi.org/10.1016/j.marpolbul.2024.117514","http://dx.doi.org/10.1016/j.marpolbul.2024.117514")</f>
        <v>http://dx.doi.org/10.1016/j.marpolbul.2024.117514</v>
      </c>
    </row>
    <row r="207" spans="1:9" ht="196" x14ac:dyDescent="0.15">
      <c r="A207" s="14"/>
      <c r="B207" s="13" t="s">
        <v>921</v>
      </c>
      <c r="C207" s="14" t="s">
        <v>922</v>
      </c>
      <c r="D207" s="14" t="s">
        <v>110</v>
      </c>
      <c r="E207" s="14" t="s">
        <v>923</v>
      </c>
      <c r="F207" s="14" t="s">
        <v>96</v>
      </c>
      <c r="G207" s="14">
        <v>2024</v>
      </c>
      <c r="H207" s="14" t="s">
        <v>924</v>
      </c>
      <c r="I207" s="14" t="str">
        <f>HYPERLINK("http://dx.doi.org/10.1016/j.aquatox.2024.107062","http://dx.doi.org/10.1016/j.aquatox.2024.107062")</f>
        <v>http://dx.doi.org/10.1016/j.aquatox.2024.107062</v>
      </c>
    </row>
    <row r="208" spans="1:9" ht="280" x14ac:dyDescent="0.15">
      <c r="A208" s="19"/>
      <c r="B208" s="13" t="s">
        <v>574</v>
      </c>
      <c r="C208" s="14" t="s">
        <v>575</v>
      </c>
      <c r="D208" s="14" t="s">
        <v>90</v>
      </c>
      <c r="E208" s="14" t="s">
        <v>576</v>
      </c>
      <c r="F208" s="14" t="s">
        <v>21</v>
      </c>
      <c r="G208" s="14">
        <v>2024</v>
      </c>
      <c r="H208" s="19" t="s">
        <v>577</v>
      </c>
      <c r="I208" s="14" t="str">
        <f>HYPERLINK("http://dx.doi.org/10.1016/j.cbd.2024.101307","http://dx.doi.org/10.1016/j.cbd.2024.101307")</f>
        <v>http://dx.doi.org/10.1016/j.cbd.2024.101307</v>
      </c>
    </row>
    <row r="209" spans="1:9" ht="168" x14ac:dyDescent="0.15">
      <c r="A209" s="12"/>
      <c r="B209" s="13" t="s">
        <v>1250</v>
      </c>
      <c r="C209" s="14" t="s">
        <v>1251</v>
      </c>
      <c r="D209" s="14" t="s">
        <v>441</v>
      </c>
      <c r="E209" s="14" t="s">
        <v>1252</v>
      </c>
      <c r="F209" s="14" t="s">
        <v>209</v>
      </c>
      <c r="G209" s="14">
        <v>2020</v>
      </c>
      <c r="H209" s="14" t="s">
        <v>1253</v>
      </c>
      <c r="I209" s="14" t="str">
        <f>HYPERLINK("http://dx.doi.org/10.1016/j.ygeno.2020.07.036","http://dx.doi.org/10.1016/j.ygeno.2020.07.036")</f>
        <v>http://dx.doi.org/10.1016/j.ygeno.2020.07.036</v>
      </c>
    </row>
    <row r="210" spans="1:9" ht="238" x14ac:dyDescent="0.15">
      <c r="A210" s="14"/>
      <c r="B210" s="13" t="s">
        <v>949</v>
      </c>
      <c r="C210" s="14" t="s">
        <v>950</v>
      </c>
      <c r="D210" s="14" t="s">
        <v>951</v>
      </c>
      <c r="E210" s="14" t="s">
        <v>952</v>
      </c>
      <c r="F210" s="14" t="s">
        <v>256</v>
      </c>
      <c r="G210" s="14">
        <v>2025</v>
      </c>
      <c r="H210" s="14" t="s">
        <v>953</v>
      </c>
      <c r="I210" s="14" t="str">
        <f>HYPERLINK("http://dx.doi.org/10.3390/ijms26104523","http://dx.doi.org/10.3390/ijms26104523")</f>
        <v>http://dx.doi.org/10.3390/ijms26104523</v>
      </c>
    </row>
    <row r="211" spans="1:9" ht="266" x14ac:dyDescent="0.15">
      <c r="A211" s="14"/>
      <c r="B211" s="13" t="s">
        <v>2298</v>
      </c>
      <c r="C211" s="14" t="s">
        <v>2299</v>
      </c>
      <c r="D211" s="14" t="s">
        <v>281</v>
      </c>
      <c r="E211" s="14" t="s">
        <v>2300</v>
      </c>
      <c r="F211" s="14" t="s">
        <v>112</v>
      </c>
      <c r="G211" s="14">
        <v>2019</v>
      </c>
      <c r="H211" s="14" t="s">
        <v>2301</v>
      </c>
      <c r="I211" s="14" t="str">
        <f>HYPERLINK("http://dx.doi.org/10.1016/j.chemosphere.2018.11.119","http://dx.doi.org/10.1016/j.chemosphere.2018.11.119")</f>
        <v>http://dx.doi.org/10.1016/j.chemosphere.2018.11.119</v>
      </c>
    </row>
    <row r="212" spans="1:9" ht="224" x14ac:dyDescent="0.15">
      <c r="A212" s="19"/>
      <c r="B212" s="13" t="s">
        <v>1238</v>
      </c>
      <c r="C212" s="14" t="s">
        <v>1239</v>
      </c>
      <c r="D212" s="14" t="s">
        <v>142</v>
      </c>
      <c r="E212" s="14" t="s">
        <v>1240</v>
      </c>
      <c r="F212" s="14" t="s">
        <v>96</v>
      </c>
      <c r="G212" s="14">
        <v>2025</v>
      </c>
      <c r="H212" s="19" t="s">
        <v>1241</v>
      </c>
      <c r="I212" s="14" t="str">
        <f>HYPERLINK("http://dx.doi.org/10.1016/j.fsi.2025.110495","http://dx.doi.org/10.1016/j.fsi.2025.110495")</f>
        <v>http://dx.doi.org/10.1016/j.fsi.2025.110495</v>
      </c>
    </row>
    <row r="213" spans="1:9" ht="196" x14ac:dyDescent="0.15">
      <c r="A213" s="14"/>
      <c r="B213" s="13" t="s">
        <v>1645</v>
      </c>
      <c r="C213" s="14" t="s">
        <v>1646</v>
      </c>
      <c r="D213" s="14" t="s">
        <v>585</v>
      </c>
      <c r="E213" s="14" t="s">
        <v>1647</v>
      </c>
      <c r="F213" s="14" t="s">
        <v>1648</v>
      </c>
      <c r="G213" s="14">
        <v>2021</v>
      </c>
      <c r="H213" s="14" t="s">
        <v>1649</v>
      </c>
      <c r="I213" s="14" t="str">
        <f>HYPERLINK("http://dx.doi.org/10.3389/fimmu.2021.792040","http://dx.doi.org/10.3389/fimmu.2021.792040")</f>
        <v>http://dx.doi.org/10.3389/fimmu.2021.792040</v>
      </c>
    </row>
    <row r="214" spans="1:9" ht="238" x14ac:dyDescent="0.15">
      <c r="A214" s="19"/>
      <c r="B214" s="13" t="s">
        <v>1242</v>
      </c>
      <c r="C214" s="14" t="s">
        <v>1243</v>
      </c>
      <c r="D214" s="14" t="s">
        <v>142</v>
      </c>
      <c r="E214" s="14" t="s">
        <v>1244</v>
      </c>
      <c r="F214" s="14" t="s">
        <v>62</v>
      </c>
      <c r="G214" s="14">
        <v>2022</v>
      </c>
      <c r="H214" s="19" t="s">
        <v>1245</v>
      </c>
      <c r="I214" s="14" t="str">
        <f>HYPERLINK("http://dx.doi.org/10.1016/j.fsi.2022.04.040","http://dx.doi.org/10.1016/j.fsi.2022.04.040")</f>
        <v>http://dx.doi.org/10.1016/j.fsi.2022.04.040</v>
      </c>
    </row>
    <row r="215" spans="1:9" ht="224" x14ac:dyDescent="0.15">
      <c r="A215" s="12"/>
      <c r="B215" s="13" t="s">
        <v>205</v>
      </c>
      <c r="C215" s="14" t="s">
        <v>206</v>
      </c>
      <c r="D215" s="14" t="s">
        <v>207</v>
      </c>
      <c r="E215" s="14" t="s">
        <v>208</v>
      </c>
      <c r="F215" s="14" t="s">
        <v>209</v>
      </c>
      <c r="G215" s="14">
        <v>2017</v>
      </c>
      <c r="H215" s="14" t="s">
        <v>210</v>
      </c>
      <c r="I215" s="14" t="str">
        <f>HYPERLINK("http://dx.doi.org/10.1007/s13258-017-0583-y","http://dx.doi.org/10.1007/s13258-017-0583-y")</f>
        <v>http://dx.doi.org/10.1007/s13258-017-0583-y</v>
      </c>
    </row>
    <row r="216" spans="1:9" ht="266" x14ac:dyDescent="0.15">
      <c r="A216" s="12"/>
      <c r="B216" s="13" t="s">
        <v>205</v>
      </c>
      <c r="C216" s="14" t="s">
        <v>218</v>
      </c>
      <c r="D216" s="14" t="s">
        <v>219</v>
      </c>
      <c r="E216" s="14" t="s">
        <v>220</v>
      </c>
      <c r="F216" s="14" t="s">
        <v>221</v>
      </c>
      <c r="G216" s="14">
        <v>2018</v>
      </c>
      <c r="H216" s="14" t="s">
        <v>222</v>
      </c>
      <c r="I216" s="14" t="str">
        <f>HYPERLINK("http://dx.doi.org/10.1007/s12562-017-1154-5","http://dx.doi.org/10.1007/s12562-017-1154-5")</f>
        <v>http://dx.doi.org/10.1007/s12562-017-1154-5</v>
      </c>
    </row>
    <row r="217" spans="1:9" ht="196" x14ac:dyDescent="0.15">
      <c r="A217" s="19"/>
      <c r="B217" s="13" t="s">
        <v>1683</v>
      </c>
      <c r="C217" s="14" t="s">
        <v>1684</v>
      </c>
      <c r="D217" s="14" t="s">
        <v>142</v>
      </c>
      <c r="E217" s="14" t="s">
        <v>1685</v>
      </c>
      <c r="F217" s="14" t="s">
        <v>96</v>
      </c>
      <c r="G217" s="14">
        <v>2023</v>
      </c>
      <c r="H217" s="19" t="s">
        <v>1686</v>
      </c>
      <c r="I217" s="14" t="str">
        <f>HYPERLINK("http://dx.doi.org/10.1016/j.fsi.2023.109026","http://dx.doi.org/10.1016/j.fsi.2023.109026")</f>
        <v>http://dx.doi.org/10.1016/j.fsi.2023.109026</v>
      </c>
    </row>
    <row r="218" spans="1:9" ht="252" x14ac:dyDescent="0.15">
      <c r="A218" s="19"/>
      <c r="B218" s="13" t="s">
        <v>1543</v>
      </c>
      <c r="C218" s="14" t="s">
        <v>1544</v>
      </c>
      <c r="D218" s="14" t="s">
        <v>142</v>
      </c>
      <c r="E218" s="14" t="s">
        <v>1545</v>
      </c>
      <c r="F218" s="14" t="s">
        <v>122</v>
      </c>
      <c r="G218" s="14">
        <v>2024</v>
      </c>
      <c r="H218" s="19" t="s">
        <v>1546</v>
      </c>
      <c r="I218" s="14" t="str">
        <f>HYPERLINK("http://dx.doi.org/10.1016/j.fsi.2024.109670","http://dx.doi.org/10.1016/j.fsi.2024.109670")</f>
        <v>http://dx.doi.org/10.1016/j.fsi.2024.109670</v>
      </c>
    </row>
    <row r="219" spans="1:9" ht="182" x14ac:dyDescent="0.15">
      <c r="A219" s="12"/>
      <c r="B219" s="13" t="s">
        <v>1412</v>
      </c>
      <c r="C219" s="14" t="s">
        <v>1413</v>
      </c>
      <c r="D219" s="14" t="s">
        <v>156</v>
      </c>
      <c r="E219" s="14" t="s">
        <v>1414</v>
      </c>
      <c r="F219" s="14" t="s">
        <v>1415</v>
      </c>
      <c r="G219" s="14">
        <v>2016</v>
      </c>
      <c r="H219" s="14" t="s">
        <v>1416</v>
      </c>
      <c r="I219" s="14" t="str">
        <f>HYPERLINK("http://dx.doi.org/10.1038/srep22687","http://dx.doi.org/10.1038/srep22687")</f>
        <v>http://dx.doi.org/10.1038/srep22687</v>
      </c>
    </row>
    <row r="220" spans="1:9" ht="210" x14ac:dyDescent="0.15">
      <c r="A220" s="14"/>
      <c r="B220" s="13" t="s">
        <v>2258</v>
      </c>
      <c r="C220" s="14" t="s">
        <v>2259</v>
      </c>
      <c r="D220" s="14" t="s">
        <v>110</v>
      </c>
      <c r="E220" s="14" t="s">
        <v>2260</v>
      </c>
      <c r="F220" s="14" t="s">
        <v>21</v>
      </c>
      <c r="G220" s="14">
        <v>2025</v>
      </c>
      <c r="H220" s="14" t="s">
        <v>2261</v>
      </c>
      <c r="I220" s="14" t="str">
        <f>HYPERLINK("http://dx.doi.org/10.1016/j.aquatox.2025.107590","http://dx.doi.org/10.1016/j.aquatox.2025.107590")</f>
        <v>http://dx.doi.org/10.1016/j.aquatox.2025.107590</v>
      </c>
    </row>
    <row r="221" spans="1:9" ht="196" x14ac:dyDescent="0.15">
      <c r="A221" s="14"/>
      <c r="B221" s="13" t="s">
        <v>2737</v>
      </c>
      <c r="C221" s="14" t="s">
        <v>2738</v>
      </c>
      <c r="D221" s="14" t="s">
        <v>156</v>
      </c>
      <c r="E221" s="14" t="s">
        <v>2739</v>
      </c>
      <c r="F221" s="14" t="s">
        <v>2740</v>
      </c>
      <c r="G221" s="14">
        <v>2015</v>
      </c>
      <c r="H221" s="14" t="s">
        <v>2741</v>
      </c>
      <c r="I221" s="14" t="str">
        <f>HYPERLINK("http://dx.doi.org/10.1038/srep17763","http://dx.doi.org/10.1038/srep17763")</f>
        <v>http://dx.doi.org/10.1038/srep17763</v>
      </c>
    </row>
    <row r="222" spans="1:9" ht="319" x14ac:dyDescent="0.15">
      <c r="A222" s="19"/>
      <c r="B222" s="13" t="s">
        <v>2156</v>
      </c>
      <c r="C222" s="14" t="s">
        <v>2157</v>
      </c>
      <c r="D222" s="14" t="s">
        <v>142</v>
      </c>
      <c r="E222" s="14" t="s">
        <v>2158</v>
      </c>
      <c r="F222" s="14" t="s">
        <v>96</v>
      </c>
      <c r="G222" s="14">
        <v>2023</v>
      </c>
      <c r="H222" s="19" t="s">
        <v>2159</v>
      </c>
      <c r="I222" s="14" t="str">
        <f>HYPERLINK("http://dx.doi.org/10.1016/j.fsi.2023.109055","http://dx.doi.org/10.1016/j.fsi.2023.109055")</f>
        <v>http://dx.doi.org/10.1016/j.fsi.2023.109055</v>
      </c>
    </row>
    <row r="223" spans="1:9" ht="224" x14ac:dyDescent="0.15">
      <c r="A223" s="19"/>
      <c r="B223" s="13" t="s">
        <v>1211</v>
      </c>
      <c r="C223" s="14" t="s">
        <v>1212</v>
      </c>
      <c r="D223" s="14" t="s">
        <v>260</v>
      </c>
      <c r="E223" s="14" t="s">
        <v>1213</v>
      </c>
      <c r="F223" s="14" t="s">
        <v>302</v>
      </c>
      <c r="G223" s="14">
        <v>2025</v>
      </c>
      <c r="H223" s="19" t="s">
        <v>1214</v>
      </c>
      <c r="I223" s="14" t="str">
        <f>HYPERLINK("http://dx.doi.org/10.1016/j.aquaculture.2024.742017","http://dx.doi.org/10.1016/j.aquaculture.2024.742017")</f>
        <v>http://dx.doi.org/10.1016/j.aquaculture.2024.742017</v>
      </c>
    </row>
    <row r="224" spans="1:9" ht="168" x14ac:dyDescent="0.15">
      <c r="A224" s="19"/>
      <c r="B224" s="13" t="s">
        <v>2125</v>
      </c>
      <c r="C224" s="14" t="s">
        <v>2126</v>
      </c>
      <c r="D224" s="14" t="s">
        <v>142</v>
      </c>
      <c r="E224" s="14" t="s">
        <v>2127</v>
      </c>
      <c r="F224" s="14" t="s">
        <v>221</v>
      </c>
      <c r="G224" s="14">
        <v>2018</v>
      </c>
      <c r="H224" s="19" t="s">
        <v>2128</v>
      </c>
      <c r="I224" s="14" t="str">
        <f>HYPERLINK("http://dx.doi.org/10.1016/j.fsi.2017.10.031","http://dx.doi.org/10.1016/j.fsi.2017.10.031")</f>
        <v>http://dx.doi.org/10.1016/j.fsi.2017.10.031</v>
      </c>
    </row>
    <row r="226" spans="2:3" x14ac:dyDescent="0.15">
      <c r="B226" s="1"/>
      <c r="C226" s="1"/>
    </row>
  </sheetData>
  <sortState xmlns:xlrd2="http://schemas.microsoft.com/office/spreadsheetml/2017/richdata2" ref="A2:I224">
    <sortCondition sortBy="cellColor" ref="B218:B224" dxfId="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Original List</vt:lpstr>
      <vt:lpstr>Title and abstract screen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Emma Johnson</cp:lastModifiedBy>
  <dcterms:created xsi:type="dcterms:W3CDTF">2025-11-04T20:07:31Z</dcterms:created>
  <dcterms:modified xsi:type="dcterms:W3CDTF">2025-12-09T19:26:34Z</dcterms:modified>
</cp:coreProperties>
</file>